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i1" sheetId="1" r:id="rId5"/>
    <sheet state="visible" name="Semi1Reju" sheetId="2" r:id="rId6"/>
    <sheet state="visible" name="Semi2" sheetId="3" r:id="rId7"/>
    <sheet state="visible" name="Semi2Reju" sheetId="4" r:id="rId8"/>
    <sheet state="visible" name="Semi NQ" sheetId="5" r:id="rId9"/>
    <sheet state="visible" name="Final" sheetId="6" r:id="rId10"/>
    <sheet state="visible" name="Final reju" sheetId="7" r:id="rId11"/>
  </sheets>
  <definedNames/>
  <calcPr/>
</workbook>
</file>

<file path=xl/sharedStrings.xml><?xml version="1.0" encoding="utf-8"?>
<sst xmlns="http://schemas.openxmlformats.org/spreadsheetml/2006/main" count="365" uniqueCount="74">
  <si>
    <t>Carpentaria</t>
  </si>
  <si>
    <t>Reym-L-Dneurb</t>
  </si>
  <si>
    <t>Doire</t>
  </si>
  <si>
    <t>Roxma Nova</t>
  </si>
  <si>
    <t>Kordavian Islands</t>
  </si>
  <si>
    <t>Vylkuzeme</t>
  </si>
  <si>
    <t>Tír an Abhainn</t>
  </si>
  <si>
    <t>Afnia</t>
  </si>
  <si>
    <t>Aimūlli</t>
  </si>
  <si>
    <t>Öösingimäed</t>
  </si>
  <si>
    <t>Fierraria</t>
  </si>
  <si>
    <t>Yaponesia</t>
  </si>
  <si>
    <t>Halito</t>
  </si>
  <si>
    <t>Redwood Republic</t>
  </si>
  <si>
    <t>Södermalm</t>
  </si>
  <si>
    <t>Perryfornia</t>
  </si>
  <si>
    <t>Kimmystan</t>
  </si>
  <si>
    <t>Griffin Empire</t>
  </si>
  <si>
    <t>Balearica Island</t>
  </si>
  <si>
    <t>Adamsburg</t>
  </si>
  <si>
    <t>Insomnéa</t>
  </si>
  <si>
    <t>Calypso</t>
  </si>
  <si>
    <t>Xochimilia</t>
  </si>
  <si>
    <t>United Kingdom of Destrion</t>
  </si>
  <si>
    <t>Belvist</t>
  </si>
  <si>
    <t>Svobodnia</t>
  </si>
  <si>
    <t>Zombira</t>
  </si>
  <si>
    <t>Total</t>
  </si>
  <si>
    <t>Number</t>
  </si>
  <si>
    <t>Dwyforland</t>
  </si>
  <si>
    <t>Roseland</t>
  </si>
  <si>
    <t>Marcobia</t>
  </si>
  <si>
    <t>Szimbaya Kingdom</t>
  </si>
  <si>
    <t>Rumia</t>
  </si>
  <si>
    <t>Cydoni-Gibberia</t>
  </si>
  <si>
    <t>Dalisska</t>
  </si>
  <si>
    <t>Trollheimr</t>
  </si>
  <si>
    <t>Rahasia-Diati</t>
  </si>
  <si>
    <t>Papedink</t>
  </si>
  <si>
    <t>Ugaly</t>
  </si>
  <si>
    <t>New Bander State</t>
  </si>
  <si>
    <t>WI</t>
  </si>
  <si>
    <t>Fervorosia</t>
  </si>
  <si>
    <t>Tanoiro</t>
  </si>
  <si>
    <t>Oprah</t>
  </si>
  <si>
    <t>Voters</t>
  </si>
  <si>
    <t>MatiMati</t>
  </si>
  <si>
    <t>Rehi Kaita</t>
  </si>
  <si>
    <t>Grand Duchy of Strenci</t>
  </si>
  <si>
    <t>Sakuralia</t>
  </si>
  <si>
    <t>Biflovatia</t>
  </si>
  <si>
    <t>New Acadia</t>
  </si>
  <si>
    <t>Comino</t>
  </si>
  <si>
    <t>Tcher-Racoi</t>
  </si>
  <si>
    <t>Begonia</t>
  </si>
  <si>
    <t>Endórë</t>
  </si>
  <si>
    <t>Vermilion</t>
  </si>
  <si>
    <t>Waiting Iist of Shelley &amp; Nici</t>
  </si>
  <si>
    <t>Papendink</t>
  </si>
  <si>
    <t>Kamandé</t>
  </si>
  <si>
    <t>Points</t>
  </si>
  <si>
    <t>Veerg 1</t>
  </si>
  <si>
    <t>Veerg 2</t>
  </si>
  <si>
    <t>Veerg 3</t>
  </si>
  <si>
    <t>d</t>
  </si>
  <si>
    <t>Waliju</t>
  </si>
  <si>
    <t>Balearica Islands</t>
  </si>
  <si>
    <t>RLD</t>
  </si>
  <si>
    <t>UKOD</t>
  </si>
  <si>
    <t>GD Strenci</t>
  </si>
  <si>
    <t>Kordavian Island</t>
  </si>
  <si>
    <t>Tir An Abhainn</t>
  </si>
  <si>
    <t>Dež Republic</t>
  </si>
  <si>
    <t>Inzinimirit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</si>
</sst>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7.0"/>
      <color theme="1"/>
      <name val="Arial"/>
    </font>
    <font>
      <sz val="7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1" fillId="4" fontId="4" numFmtId="0" xfId="0" applyAlignment="1" applyBorder="1" applyFill="1" applyFont="1">
      <alignment readingOrder="0" shrinkToFit="0" vertical="center" wrapText="0"/>
    </xf>
    <xf borderId="1" fillId="4" fontId="4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3" numFmtId="0" xfId="0" applyAlignment="1" applyFont="1">
      <alignment shrinkToFit="0" vertical="bottom" wrapText="0"/>
    </xf>
    <xf borderId="0" fillId="4" fontId="4" numFmtId="0" xfId="0" applyAlignment="1" applyFont="1">
      <alignment shrinkToFit="0" vertical="center" wrapText="0"/>
    </xf>
    <xf borderId="0" fillId="0" fontId="4" numFmtId="0" xfId="0" applyAlignment="1" applyFont="1">
      <alignment readingOrder="0" textRotation="45"/>
    </xf>
    <xf borderId="0" fillId="0" fontId="4" numFmtId="0" xfId="0" applyAlignment="1" applyFont="1">
      <alignment textRotation="45"/>
    </xf>
    <xf borderId="0" fillId="0" fontId="4" numFmtId="0" xfId="0" applyAlignment="1" applyFont="1">
      <alignment textRotation="45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emi NQ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i NQ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i NQ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i NQ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6" displayName="Table1" name="Table1" id="1">
  <tableColumns count="3">
    <tableColumn name="Veerg 1" id="1"/>
    <tableColumn name="Veerg 2" id="2"/>
    <tableColumn name="Veerg 3" id="3"/>
  </tableColumns>
  <tableStyleInfo name="Semi NQ-style" showColumnStripes="0" showFirstColumn="1" showLastColumn="1" showRowStripes="1"/>
</table>
</file>

<file path=xl/tables/table2.xml><?xml version="1.0" encoding="utf-8"?>
<table xmlns="http://schemas.openxmlformats.org/spreadsheetml/2006/main" ref="E1:G14" displayName="Table2" name="Table2" id="2">
  <tableColumns count="3">
    <tableColumn name="Veerg 1" id="1"/>
    <tableColumn name="Veerg 2" id="2"/>
    <tableColumn name="Veerg 3" id="3"/>
  </tableColumns>
  <tableStyleInfo name="Semi NQ-style 2" showColumnStripes="0" showFirstColumn="1" showLastColumn="1" showRowStripes="1"/>
</table>
</file>

<file path=xl/tables/table3.xml><?xml version="1.0" encoding="utf-8"?>
<table xmlns="http://schemas.openxmlformats.org/spreadsheetml/2006/main" ref="A19:C34" displayName="Table3" name="Table3" id="3">
  <tableColumns count="3">
    <tableColumn name="Veerg 1" id="1"/>
    <tableColumn name="Veerg 2" id="2"/>
    <tableColumn name="Veerg 3" id="3"/>
  </tableColumns>
  <tableStyleInfo name="Semi NQ-style 3" showColumnStripes="0" showFirstColumn="1" showLastColumn="1" showRowStripes="1"/>
</table>
</file>

<file path=xl/tables/table4.xml><?xml version="1.0" encoding="utf-8"?>
<table xmlns="http://schemas.openxmlformats.org/spreadsheetml/2006/main" ref="E19:G32" displayName="Table4" name="Table4" id="4">
  <tableColumns count="3">
    <tableColumn name="Veerg 1" id="1"/>
    <tableColumn name="Veerg 2" id="2"/>
    <tableColumn name="Veerg 3" id="3"/>
  </tableColumns>
  <tableStyleInfo name="Semi NQ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0" width="6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>
      <c r="A2" s="3" t="s">
        <v>13</v>
      </c>
      <c r="B2" s="4">
        <v>7.0</v>
      </c>
      <c r="F2" s="4">
        <v>6.0</v>
      </c>
      <c r="G2" s="4">
        <v>8.0</v>
      </c>
      <c r="I2" s="4">
        <v>6.0</v>
      </c>
      <c r="L2" s="4">
        <v>12.0</v>
      </c>
      <c r="N2" s="4">
        <v>2.0</v>
      </c>
      <c r="R2" s="4">
        <v>10.0</v>
      </c>
      <c r="S2" s="4">
        <v>1.0</v>
      </c>
      <c r="T2" s="4">
        <v>6.0</v>
      </c>
      <c r="U2" s="4">
        <v>12.0</v>
      </c>
      <c r="X2" s="4">
        <v>1.0</v>
      </c>
      <c r="Y2" s="4">
        <v>12.0</v>
      </c>
      <c r="Z2" s="4">
        <v>6.0</v>
      </c>
      <c r="AA2" s="4">
        <v>10.0</v>
      </c>
      <c r="AB2" s="4">
        <v>6.0</v>
      </c>
      <c r="AC2" s="5">
        <f t="shared" ref="AC2:AC25" si="1">SUM(B2:AB2)</f>
        <v>105</v>
      </c>
      <c r="AD2" s="5">
        <f t="shared" ref="AD2:AD25" si="2">counta(B2:AB2)</f>
        <v>15</v>
      </c>
    </row>
    <row r="3">
      <c r="A3" s="3" t="s">
        <v>17</v>
      </c>
      <c r="B3" s="4">
        <v>12.0</v>
      </c>
      <c r="D3" s="4">
        <v>3.0</v>
      </c>
      <c r="E3" s="4">
        <v>2.0</v>
      </c>
      <c r="F3" s="4">
        <v>5.0</v>
      </c>
      <c r="G3" s="4">
        <v>4.0</v>
      </c>
      <c r="H3" s="4">
        <v>3.0</v>
      </c>
      <c r="L3" s="4">
        <v>2.0</v>
      </c>
      <c r="M3" s="4">
        <v>1.0</v>
      </c>
      <c r="O3" s="4">
        <v>7.0</v>
      </c>
      <c r="U3" s="4">
        <v>10.0</v>
      </c>
      <c r="V3" s="4">
        <v>6.0</v>
      </c>
      <c r="W3" s="4">
        <v>8.0</v>
      </c>
      <c r="X3" s="4">
        <v>12.0</v>
      </c>
      <c r="Y3" s="4">
        <v>4.0</v>
      </c>
      <c r="Z3" s="4">
        <v>5.0</v>
      </c>
      <c r="AA3" s="4">
        <v>5.0</v>
      </c>
      <c r="AC3" s="5">
        <f t="shared" si="1"/>
        <v>89</v>
      </c>
      <c r="AD3" s="5">
        <f t="shared" si="2"/>
        <v>16</v>
      </c>
    </row>
    <row r="4">
      <c r="A4" s="3" t="s">
        <v>3</v>
      </c>
      <c r="B4" s="4">
        <v>4.0</v>
      </c>
      <c r="C4" s="4">
        <v>5.0</v>
      </c>
      <c r="D4" s="4">
        <v>10.0</v>
      </c>
      <c r="F4" s="4">
        <v>2.0</v>
      </c>
      <c r="G4" s="4">
        <v>2.0</v>
      </c>
      <c r="H4" s="4">
        <v>2.0</v>
      </c>
      <c r="I4" s="4">
        <v>8.0</v>
      </c>
      <c r="K4" s="4">
        <v>10.0</v>
      </c>
      <c r="P4" s="4">
        <v>12.0</v>
      </c>
      <c r="R4" s="4">
        <v>6.0</v>
      </c>
      <c r="T4" s="4">
        <v>2.0</v>
      </c>
      <c r="V4" s="4">
        <v>7.0</v>
      </c>
      <c r="W4" s="4">
        <v>10.0</v>
      </c>
      <c r="X4" s="4">
        <v>4.0</v>
      </c>
      <c r="Z4" s="4">
        <v>2.0</v>
      </c>
      <c r="AC4" s="5">
        <f t="shared" si="1"/>
        <v>86</v>
      </c>
      <c r="AD4" s="5">
        <f t="shared" si="2"/>
        <v>15</v>
      </c>
    </row>
    <row r="5">
      <c r="A5" s="3" t="s">
        <v>6</v>
      </c>
      <c r="D5" s="4">
        <v>12.0</v>
      </c>
      <c r="E5" s="4">
        <v>12.0</v>
      </c>
      <c r="K5" s="4">
        <v>3.0</v>
      </c>
      <c r="M5" s="4">
        <v>7.0</v>
      </c>
      <c r="N5" s="4">
        <v>7.0</v>
      </c>
      <c r="P5" s="4">
        <v>8.0</v>
      </c>
      <c r="S5" s="4">
        <v>10.0</v>
      </c>
      <c r="T5" s="4">
        <v>10.0</v>
      </c>
      <c r="W5" s="4">
        <v>6.0</v>
      </c>
      <c r="AA5" s="4">
        <v>1.0</v>
      </c>
      <c r="AB5" s="4">
        <v>7.0</v>
      </c>
      <c r="AC5" s="5">
        <f t="shared" si="1"/>
        <v>83</v>
      </c>
      <c r="AD5" s="5">
        <f t="shared" si="2"/>
        <v>11</v>
      </c>
    </row>
    <row r="6">
      <c r="A6" s="3" t="s">
        <v>21</v>
      </c>
      <c r="C6" s="4">
        <v>1.0</v>
      </c>
      <c r="D6" s="4">
        <v>8.0</v>
      </c>
      <c r="E6" s="4">
        <v>6.0</v>
      </c>
      <c r="H6" s="4">
        <v>6.0</v>
      </c>
      <c r="I6" s="4">
        <v>1.0</v>
      </c>
      <c r="K6" s="4">
        <v>12.0</v>
      </c>
      <c r="L6" s="4">
        <v>4.0</v>
      </c>
      <c r="O6" s="4">
        <v>2.0</v>
      </c>
      <c r="P6" s="4">
        <v>10.0</v>
      </c>
      <c r="V6" s="4">
        <v>8.0</v>
      </c>
      <c r="X6" s="4">
        <v>8.0</v>
      </c>
      <c r="Z6" s="4">
        <v>7.0</v>
      </c>
      <c r="AC6" s="5">
        <f t="shared" si="1"/>
        <v>73</v>
      </c>
      <c r="AD6" s="5">
        <f t="shared" si="2"/>
        <v>12</v>
      </c>
    </row>
    <row r="7">
      <c r="A7" s="3" t="s">
        <v>12</v>
      </c>
      <c r="H7" s="4">
        <v>10.0</v>
      </c>
      <c r="M7" s="4">
        <v>12.0</v>
      </c>
      <c r="O7" s="4">
        <v>3.0</v>
      </c>
      <c r="R7" s="4">
        <v>4.0</v>
      </c>
      <c r="S7" s="4">
        <v>6.0</v>
      </c>
      <c r="T7" s="4">
        <v>8.0</v>
      </c>
      <c r="U7" s="4">
        <v>5.0</v>
      </c>
      <c r="Z7" s="4">
        <v>3.0</v>
      </c>
      <c r="AA7" s="4">
        <v>8.0</v>
      </c>
      <c r="AB7" s="4">
        <v>10.0</v>
      </c>
      <c r="AC7" s="5">
        <f t="shared" si="1"/>
        <v>69</v>
      </c>
      <c r="AD7" s="5">
        <f t="shared" si="2"/>
        <v>10</v>
      </c>
    </row>
    <row r="8">
      <c r="A8" s="3" t="s">
        <v>23</v>
      </c>
      <c r="B8" s="4">
        <v>8.0</v>
      </c>
      <c r="F8" s="4">
        <v>8.0</v>
      </c>
      <c r="G8" s="4">
        <v>5.0</v>
      </c>
      <c r="I8" s="4">
        <v>3.0</v>
      </c>
      <c r="K8" s="4">
        <v>8.0</v>
      </c>
      <c r="U8" s="4">
        <v>2.0</v>
      </c>
      <c r="V8" s="4">
        <v>10.0</v>
      </c>
      <c r="X8" s="4">
        <v>10.0</v>
      </c>
      <c r="Z8" s="4">
        <v>8.0</v>
      </c>
      <c r="AA8" s="4">
        <v>7.0</v>
      </c>
      <c r="AC8" s="5">
        <f t="shared" si="1"/>
        <v>69</v>
      </c>
      <c r="AD8" s="5">
        <f t="shared" si="2"/>
        <v>10</v>
      </c>
    </row>
    <row r="9">
      <c r="A9" s="3" t="s">
        <v>22</v>
      </c>
      <c r="D9" s="4">
        <v>7.0</v>
      </c>
      <c r="E9" s="4">
        <v>4.0</v>
      </c>
      <c r="F9" s="4">
        <v>3.0</v>
      </c>
      <c r="I9" s="4">
        <v>10.0</v>
      </c>
      <c r="K9" s="4">
        <v>1.0</v>
      </c>
      <c r="M9" s="4">
        <v>3.0</v>
      </c>
      <c r="O9" s="4">
        <v>5.0</v>
      </c>
      <c r="P9" s="4">
        <v>7.0</v>
      </c>
      <c r="R9" s="4">
        <v>2.0</v>
      </c>
      <c r="S9" s="4">
        <v>7.0</v>
      </c>
      <c r="V9" s="4">
        <v>12.0</v>
      </c>
      <c r="W9" s="4">
        <v>7.0</v>
      </c>
      <c r="AC9" s="5">
        <f t="shared" si="1"/>
        <v>68</v>
      </c>
      <c r="AD9" s="5">
        <f t="shared" si="2"/>
        <v>12</v>
      </c>
    </row>
    <row r="10">
      <c r="A10" s="3" t="s">
        <v>11</v>
      </c>
      <c r="B10" s="4">
        <v>2.0</v>
      </c>
      <c r="C10" s="4">
        <v>8.0</v>
      </c>
      <c r="D10" s="4">
        <v>1.0</v>
      </c>
      <c r="E10" s="4">
        <v>7.0</v>
      </c>
      <c r="L10" s="4">
        <v>7.0</v>
      </c>
      <c r="N10" s="4">
        <v>10.0</v>
      </c>
      <c r="O10" s="4">
        <v>6.0</v>
      </c>
      <c r="T10" s="4">
        <v>4.0</v>
      </c>
      <c r="U10" s="4">
        <v>6.0</v>
      </c>
      <c r="AB10" s="4">
        <v>12.0</v>
      </c>
      <c r="AC10" s="5">
        <f t="shared" si="1"/>
        <v>63</v>
      </c>
      <c r="AD10" s="5">
        <f t="shared" si="2"/>
        <v>10</v>
      </c>
    </row>
    <row r="11">
      <c r="A11" s="3" t="s">
        <v>18</v>
      </c>
      <c r="B11" s="4">
        <v>5.0</v>
      </c>
      <c r="G11" s="4">
        <v>3.0</v>
      </c>
      <c r="H11" s="4">
        <v>12.0</v>
      </c>
      <c r="N11" s="4">
        <v>5.0</v>
      </c>
      <c r="O11" s="4">
        <v>8.0</v>
      </c>
      <c r="R11" s="4">
        <v>12.0</v>
      </c>
      <c r="U11" s="4">
        <v>4.0</v>
      </c>
      <c r="AA11" s="4">
        <v>6.0</v>
      </c>
      <c r="AB11" s="4">
        <v>2.0</v>
      </c>
      <c r="AC11" s="5">
        <f t="shared" si="1"/>
        <v>57</v>
      </c>
      <c r="AD11" s="5">
        <f t="shared" si="2"/>
        <v>9</v>
      </c>
    </row>
    <row r="12">
      <c r="A12" s="3" t="s">
        <v>4</v>
      </c>
      <c r="G12" s="4">
        <v>10.0</v>
      </c>
      <c r="L12" s="4">
        <v>8.0</v>
      </c>
      <c r="R12" s="4">
        <v>7.0</v>
      </c>
      <c r="S12" s="4">
        <v>8.0</v>
      </c>
      <c r="T12" s="4">
        <v>7.0</v>
      </c>
      <c r="W12" s="4">
        <v>1.0</v>
      </c>
      <c r="Z12" s="4">
        <v>10.0</v>
      </c>
      <c r="AB12" s="4">
        <v>5.0</v>
      </c>
      <c r="AC12" s="5">
        <f t="shared" si="1"/>
        <v>56</v>
      </c>
      <c r="AD12" s="5">
        <f t="shared" si="2"/>
        <v>8</v>
      </c>
    </row>
    <row r="13">
      <c r="A13" s="6" t="s">
        <v>10</v>
      </c>
      <c r="B13" s="4">
        <v>10.0</v>
      </c>
      <c r="C13" s="4">
        <v>2.0</v>
      </c>
      <c r="D13" s="4">
        <v>2.0</v>
      </c>
      <c r="H13" s="4">
        <v>4.0</v>
      </c>
      <c r="R13" s="4">
        <v>5.0</v>
      </c>
      <c r="S13" s="4">
        <v>3.0</v>
      </c>
      <c r="T13" s="4">
        <v>3.0</v>
      </c>
      <c r="U13" s="4">
        <v>8.0</v>
      </c>
      <c r="V13" s="4">
        <v>5.0</v>
      </c>
      <c r="Y13" s="4">
        <v>10.0</v>
      </c>
      <c r="AC13" s="5">
        <f t="shared" si="1"/>
        <v>52</v>
      </c>
      <c r="AD13" s="5">
        <f t="shared" si="2"/>
        <v>10</v>
      </c>
    </row>
    <row r="14">
      <c r="A14" s="6" t="s">
        <v>9</v>
      </c>
      <c r="C14" s="4">
        <v>10.0</v>
      </c>
      <c r="E14" s="4">
        <v>5.0</v>
      </c>
      <c r="H14" s="4">
        <v>8.0</v>
      </c>
      <c r="I14" s="4">
        <v>7.0</v>
      </c>
      <c r="L14" s="4">
        <v>6.0</v>
      </c>
      <c r="P14" s="4">
        <v>4.0</v>
      </c>
      <c r="T14" s="4">
        <v>12.0</v>
      </c>
      <c r="AC14" s="5">
        <f t="shared" si="1"/>
        <v>52</v>
      </c>
      <c r="AD14" s="5">
        <f t="shared" si="2"/>
        <v>7</v>
      </c>
    </row>
    <row r="15">
      <c r="A15" s="6" t="s">
        <v>16</v>
      </c>
      <c r="B15" s="4">
        <v>3.0</v>
      </c>
      <c r="C15" s="4">
        <v>6.0</v>
      </c>
      <c r="D15" s="4">
        <v>6.0</v>
      </c>
      <c r="E15" s="4">
        <v>8.0</v>
      </c>
      <c r="I15" s="4">
        <v>5.0</v>
      </c>
      <c r="V15" s="4">
        <v>2.0</v>
      </c>
      <c r="W15" s="4">
        <v>12.0</v>
      </c>
      <c r="X15" s="4">
        <v>6.0</v>
      </c>
      <c r="AA15" s="4">
        <v>2.0</v>
      </c>
      <c r="AC15" s="5">
        <f t="shared" si="1"/>
        <v>50</v>
      </c>
      <c r="AD15" s="5">
        <f t="shared" si="2"/>
        <v>9</v>
      </c>
    </row>
    <row r="16">
      <c r="A16" s="6" t="s">
        <v>2</v>
      </c>
      <c r="F16" s="4">
        <v>7.0</v>
      </c>
      <c r="G16" s="4">
        <v>7.0</v>
      </c>
      <c r="H16" s="4">
        <v>5.0</v>
      </c>
      <c r="K16" s="4">
        <v>5.0</v>
      </c>
      <c r="M16" s="4">
        <v>8.0</v>
      </c>
      <c r="N16" s="4">
        <v>6.0</v>
      </c>
      <c r="O16" s="4">
        <v>4.0</v>
      </c>
      <c r="AB16" s="4">
        <v>4.0</v>
      </c>
      <c r="AC16" s="5">
        <f t="shared" si="1"/>
        <v>46</v>
      </c>
      <c r="AD16" s="5">
        <f t="shared" si="2"/>
        <v>8</v>
      </c>
    </row>
    <row r="17">
      <c r="A17" s="6" t="s">
        <v>19</v>
      </c>
      <c r="K17" s="4">
        <v>2.0</v>
      </c>
      <c r="M17" s="4">
        <v>10.0</v>
      </c>
      <c r="N17" s="4">
        <v>4.0</v>
      </c>
      <c r="P17" s="4">
        <v>6.0</v>
      </c>
      <c r="T17" s="4">
        <v>1.0</v>
      </c>
      <c r="W17" s="4">
        <v>4.0</v>
      </c>
      <c r="X17" s="4">
        <v>3.0</v>
      </c>
      <c r="Y17" s="4">
        <v>2.0</v>
      </c>
      <c r="AA17" s="4">
        <v>12.0</v>
      </c>
      <c r="AC17" s="5">
        <f t="shared" si="1"/>
        <v>44</v>
      </c>
      <c r="AD17" s="5">
        <f t="shared" si="2"/>
        <v>9</v>
      </c>
    </row>
    <row r="18">
      <c r="A18" s="6" t="s">
        <v>14</v>
      </c>
      <c r="C18" s="4">
        <v>7.0</v>
      </c>
      <c r="D18" s="4">
        <v>5.0</v>
      </c>
      <c r="I18" s="4">
        <v>4.0</v>
      </c>
      <c r="N18" s="4">
        <v>12.0</v>
      </c>
      <c r="U18" s="4">
        <v>1.0</v>
      </c>
      <c r="V18" s="4">
        <v>1.0</v>
      </c>
      <c r="W18" s="4">
        <v>2.0</v>
      </c>
      <c r="Y18" s="4">
        <v>8.0</v>
      </c>
      <c r="AB18" s="4">
        <v>3.0</v>
      </c>
      <c r="AC18" s="5">
        <f t="shared" si="1"/>
        <v>43</v>
      </c>
      <c r="AD18" s="5">
        <f t="shared" si="2"/>
        <v>9</v>
      </c>
    </row>
    <row r="19">
      <c r="A19" s="6" t="s">
        <v>5</v>
      </c>
      <c r="E19" s="4">
        <v>3.0</v>
      </c>
      <c r="F19" s="4">
        <v>10.0</v>
      </c>
      <c r="L19" s="4">
        <v>3.0</v>
      </c>
      <c r="N19" s="4">
        <v>3.0</v>
      </c>
      <c r="O19" s="4">
        <v>10.0</v>
      </c>
      <c r="X19" s="4">
        <v>5.0</v>
      </c>
      <c r="Z19" s="4">
        <v>4.0</v>
      </c>
      <c r="AA19" s="4">
        <v>4.0</v>
      </c>
      <c r="AC19" s="5">
        <f t="shared" si="1"/>
        <v>42</v>
      </c>
      <c r="AD19" s="5">
        <f t="shared" si="2"/>
        <v>8</v>
      </c>
    </row>
    <row r="20">
      <c r="A20" s="6" t="s">
        <v>20</v>
      </c>
      <c r="C20" s="4">
        <v>12.0</v>
      </c>
      <c r="D20" s="4">
        <v>4.0</v>
      </c>
      <c r="I20" s="4">
        <v>2.0</v>
      </c>
      <c r="M20" s="4">
        <v>6.0</v>
      </c>
      <c r="N20" s="4">
        <v>1.0</v>
      </c>
      <c r="P20" s="4">
        <v>2.0</v>
      </c>
      <c r="R20" s="4">
        <v>1.0</v>
      </c>
      <c r="U20" s="4">
        <v>7.0</v>
      </c>
      <c r="Y20" s="4">
        <v>1.0</v>
      </c>
      <c r="AA20" s="4">
        <v>3.0</v>
      </c>
      <c r="AC20" s="5">
        <f t="shared" si="1"/>
        <v>39</v>
      </c>
      <c r="AD20" s="5">
        <f t="shared" si="2"/>
        <v>10</v>
      </c>
    </row>
    <row r="21">
      <c r="A21" s="6" t="s">
        <v>7</v>
      </c>
      <c r="C21" s="4">
        <v>4.0</v>
      </c>
      <c r="H21" s="4">
        <v>1.0</v>
      </c>
      <c r="K21" s="4">
        <v>6.0</v>
      </c>
      <c r="N21" s="4">
        <v>8.0</v>
      </c>
      <c r="P21" s="4">
        <v>3.0</v>
      </c>
      <c r="V21" s="4">
        <v>4.0</v>
      </c>
      <c r="W21" s="4">
        <v>3.0</v>
      </c>
      <c r="X21" s="4">
        <v>2.0</v>
      </c>
      <c r="Y21" s="4">
        <v>6.0</v>
      </c>
      <c r="AB21" s="4">
        <v>1.0</v>
      </c>
      <c r="AC21" s="5">
        <f t="shared" si="1"/>
        <v>38</v>
      </c>
      <c r="AD21" s="5">
        <f t="shared" si="2"/>
        <v>10</v>
      </c>
    </row>
    <row r="22">
      <c r="A22" s="6" t="s">
        <v>0</v>
      </c>
      <c r="E22" s="4">
        <v>1.0</v>
      </c>
      <c r="F22" s="4">
        <v>4.0</v>
      </c>
      <c r="G22" s="4">
        <v>6.0</v>
      </c>
      <c r="K22" s="4">
        <v>4.0</v>
      </c>
      <c r="L22" s="4">
        <v>1.0</v>
      </c>
      <c r="O22" s="4">
        <v>1.0</v>
      </c>
      <c r="R22" s="4">
        <v>3.0</v>
      </c>
      <c r="S22" s="4">
        <v>12.0</v>
      </c>
      <c r="Y22" s="4">
        <v>3.0</v>
      </c>
      <c r="Z22" s="4">
        <v>1.0</v>
      </c>
      <c r="AC22" s="5">
        <f t="shared" si="1"/>
        <v>36</v>
      </c>
      <c r="AD22" s="5">
        <f t="shared" si="2"/>
        <v>10</v>
      </c>
    </row>
    <row r="23">
      <c r="A23" s="6" t="s">
        <v>1</v>
      </c>
      <c r="E23" s="4">
        <v>10.0</v>
      </c>
      <c r="F23" s="4">
        <v>1.0</v>
      </c>
      <c r="G23" s="4">
        <v>1.0</v>
      </c>
      <c r="H23" s="4">
        <v>7.0</v>
      </c>
      <c r="M23" s="4">
        <v>5.0</v>
      </c>
      <c r="S23" s="4">
        <v>2.0</v>
      </c>
      <c r="W23" s="4">
        <v>5.0</v>
      </c>
      <c r="AC23" s="5">
        <f t="shared" si="1"/>
        <v>31</v>
      </c>
      <c r="AD23" s="5">
        <f t="shared" si="2"/>
        <v>7</v>
      </c>
    </row>
    <row r="24">
      <c r="A24" s="6" t="s">
        <v>8</v>
      </c>
      <c r="B24" s="4">
        <v>6.0</v>
      </c>
      <c r="F24" s="4">
        <v>12.0</v>
      </c>
      <c r="G24" s="4">
        <v>12.0</v>
      </c>
      <c r="I24" s="4">
        <v>12.0</v>
      </c>
      <c r="L24" s="4">
        <v>5.0</v>
      </c>
      <c r="M24" s="4">
        <v>2.0</v>
      </c>
      <c r="O24" s="4">
        <v>12.0</v>
      </c>
      <c r="P24" s="4">
        <v>5.0</v>
      </c>
      <c r="S24" s="4">
        <v>5.0</v>
      </c>
      <c r="X24" s="4">
        <v>7.0</v>
      </c>
      <c r="Y24" s="4">
        <v>7.0</v>
      </c>
      <c r="Z24" s="4">
        <v>12.0</v>
      </c>
      <c r="AB24" s="4">
        <v>8.0</v>
      </c>
      <c r="AC24" s="5">
        <f t="shared" si="1"/>
        <v>105</v>
      </c>
      <c r="AD24" s="5">
        <f t="shared" si="2"/>
        <v>13</v>
      </c>
    </row>
    <row r="25">
      <c r="A25" s="6" t="s">
        <v>15</v>
      </c>
      <c r="B25" s="4">
        <v>1.0</v>
      </c>
      <c r="C25" s="4">
        <v>3.0</v>
      </c>
      <c r="K25" s="4">
        <v>7.0</v>
      </c>
      <c r="L25" s="4">
        <v>10.0</v>
      </c>
      <c r="M25" s="4">
        <v>4.0</v>
      </c>
      <c r="P25" s="4">
        <v>1.0</v>
      </c>
      <c r="R25" s="4">
        <v>8.0</v>
      </c>
      <c r="S25" s="4">
        <v>4.0</v>
      </c>
      <c r="T25" s="4">
        <v>5.0</v>
      </c>
      <c r="U25" s="4">
        <v>3.0</v>
      </c>
      <c r="V25" s="4">
        <v>3.0</v>
      </c>
      <c r="Y25" s="4">
        <v>5.0</v>
      </c>
      <c r="AC25" s="5">
        <f t="shared" si="1"/>
        <v>54</v>
      </c>
      <c r="AD25" s="5">
        <f t="shared" si="2"/>
        <v>12</v>
      </c>
    </row>
    <row r="27">
      <c r="B27" s="5">
        <f t="shared" ref="B27:AB27" si="3">sum(B2:B25)</f>
        <v>58</v>
      </c>
      <c r="C27" s="5">
        <f t="shared" si="3"/>
        <v>58</v>
      </c>
      <c r="D27" s="5">
        <f t="shared" si="3"/>
        <v>58</v>
      </c>
      <c r="E27" s="5">
        <f t="shared" si="3"/>
        <v>58</v>
      </c>
      <c r="F27" s="5">
        <f t="shared" si="3"/>
        <v>58</v>
      </c>
      <c r="G27" s="5">
        <f t="shared" si="3"/>
        <v>58</v>
      </c>
      <c r="H27" s="5">
        <f t="shared" si="3"/>
        <v>58</v>
      </c>
      <c r="I27" s="5">
        <f t="shared" si="3"/>
        <v>58</v>
      </c>
      <c r="J27" s="5">
        <f t="shared" si="3"/>
        <v>0</v>
      </c>
      <c r="K27" s="5">
        <f t="shared" si="3"/>
        <v>58</v>
      </c>
      <c r="L27" s="5">
        <f t="shared" si="3"/>
        <v>58</v>
      </c>
      <c r="M27" s="5">
        <f t="shared" si="3"/>
        <v>58</v>
      </c>
      <c r="N27" s="5">
        <f t="shared" si="3"/>
        <v>58</v>
      </c>
      <c r="O27" s="5">
        <f t="shared" si="3"/>
        <v>58</v>
      </c>
      <c r="P27" s="5">
        <f t="shared" si="3"/>
        <v>58</v>
      </c>
      <c r="Q27" s="5">
        <f t="shared" si="3"/>
        <v>0</v>
      </c>
      <c r="R27" s="5">
        <f t="shared" si="3"/>
        <v>58</v>
      </c>
      <c r="S27" s="5">
        <f t="shared" si="3"/>
        <v>58</v>
      </c>
      <c r="T27" s="5">
        <f t="shared" si="3"/>
        <v>58</v>
      </c>
      <c r="U27" s="5">
        <f t="shared" si="3"/>
        <v>58</v>
      </c>
      <c r="V27" s="5">
        <f t="shared" si="3"/>
        <v>58</v>
      </c>
      <c r="W27" s="5">
        <f t="shared" si="3"/>
        <v>58</v>
      </c>
      <c r="X27" s="5">
        <f t="shared" si="3"/>
        <v>58</v>
      </c>
      <c r="Y27" s="5">
        <f t="shared" si="3"/>
        <v>58</v>
      </c>
      <c r="Z27" s="5">
        <f t="shared" si="3"/>
        <v>58</v>
      </c>
      <c r="AA27" s="5">
        <f t="shared" si="3"/>
        <v>58</v>
      </c>
      <c r="AB27" s="5">
        <f t="shared" si="3"/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8" width="6.38"/>
  </cols>
  <sheetData>
    <row r="1"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6" t="s">
        <v>34</v>
      </c>
      <c r="H1" s="4" t="s">
        <v>35</v>
      </c>
      <c r="I1" s="4" t="s">
        <v>36</v>
      </c>
      <c r="J1" s="7" t="s">
        <v>37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  <c r="P1" s="4" t="s">
        <v>43</v>
      </c>
      <c r="Q1" s="4" t="s">
        <v>44</v>
      </c>
      <c r="R1" s="4" t="s">
        <v>27</v>
      </c>
      <c r="S1" s="4" t="s">
        <v>45</v>
      </c>
    </row>
    <row r="2">
      <c r="A2" s="3" t="s">
        <v>4</v>
      </c>
      <c r="B2" s="4">
        <v>6.0</v>
      </c>
      <c r="C2" s="4">
        <v>8.0</v>
      </c>
      <c r="D2" s="4">
        <v>10.0</v>
      </c>
      <c r="F2" s="4">
        <v>10.0</v>
      </c>
      <c r="I2" s="4">
        <v>8.0</v>
      </c>
      <c r="J2" s="4">
        <v>3.0</v>
      </c>
      <c r="L2" s="4">
        <v>1.0</v>
      </c>
      <c r="M2" s="4">
        <v>3.0</v>
      </c>
      <c r="N2" s="4">
        <v>3.0</v>
      </c>
      <c r="P2" s="4">
        <v>4.0</v>
      </c>
      <c r="Q2" s="4">
        <v>6.0</v>
      </c>
      <c r="R2" s="5">
        <f>SUM(B2:Q2)</f>
        <v>62</v>
      </c>
      <c r="S2" s="5">
        <f t="shared" ref="S2:S25" si="1">counta(B2:P2)</f>
        <v>10</v>
      </c>
    </row>
    <row r="3">
      <c r="A3" s="6" t="s">
        <v>13</v>
      </c>
      <c r="B3" s="4">
        <v>10.0</v>
      </c>
      <c r="C3" s="4">
        <v>7.0</v>
      </c>
      <c r="E3" s="4">
        <v>12.0</v>
      </c>
      <c r="F3" s="4">
        <v>7.0</v>
      </c>
      <c r="I3" s="4">
        <v>5.0</v>
      </c>
      <c r="J3" s="4">
        <v>5.0</v>
      </c>
      <c r="M3" s="4">
        <v>2.0</v>
      </c>
      <c r="O3" s="4">
        <v>12.0</v>
      </c>
      <c r="R3" s="5">
        <f>SUM(B3:P3)</f>
        <v>60</v>
      </c>
      <c r="S3" s="5">
        <f t="shared" si="1"/>
        <v>8</v>
      </c>
    </row>
    <row r="4">
      <c r="A4" s="6" t="s">
        <v>11</v>
      </c>
      <c r="E4" s="4">
        <v>7.0</v>
      </c>
      <c r="G4" s="4">
        <v>12.0</v>
      </c>
      <c r="L4" s="4">
        <v>3.0</v>
      </c>
      <c r="N4" s="4">
        <v>12.0</v>
      </c>
      <c r="O4" s="4">
        <v>8.0</v>
      </c>
      <c r="P4" s="4">
        <v>12.0</v>
      </c>
      <c r="Q4" s="4">
        <v>6.0</v>
      </c>
      <c r="R4" s="5">
        <f>SUM(B4:Q4)</f>
        <v>60</v>
      </c>
      <c r="S4" s="5">
        <f t="shared" si="1"/>
        <v>6</v>
      </c>
    </row>
    <row r="5">
      <c r="A5" s="6" t="s">
        <v>6</v>
      </c>
      <c r="B5" s="4">
        <v>12.0</v>
      </c>
      <c r="C5" s="4">
        <v>6.0</v>
      </c>
      <c r="D5" s="4">
        <v>4.0</v>
      </c>
      <c r="E5" s="4">
        <v>4.0</v>
      </c>
      <c r="G5" s="4">
        <v>4.0</v>
      </c>
      <c r="H5" s="4">
        <v>4.0</v>
      </c>
      <c r="K5" s="4">
        <v>7.0</v>
      </c>
      <c r="L5" s="4">
        <v>7.0</v>
      </c>
      <c r="P5" s="4">
        <v>10.0</v>
      </c>
      <c r="R5" s="5">
        <f t="shared" ref="R5:R6" si="2">SUM(B5:P5)</f>
        <v>58</v>
      </c>
      <c r="S5" s="5">
        <f t="shared" si="1"/>
        <v>9</v>
      </c>
    </row>
    <row r="6">
      <c r="A6" s="6" t="s">
        <v>17</v>
      </c>
      <c r="C6" s="4">
        <v>12.0</v>
      </c>
      <c r="D6" s="4">
        <v>8.0</v>
      </c>
      <c r="E6" s="4">
        <v>10.0</v>
      </c>
      <c r="H6" s="4">
        <v>2.0</v>
      </c>
      <c r="I6" s="4">
        <v>6.0</v>
      </c>
      <c r="J6" s="4">
        <v>12.0</v>
      </c>
      <c r="M6" s="4">
        <v>7.0</v>
      </c>
      <c r="R6" s="5">
        <f t="shared" si="2"/>
        <v>57</v>
      </c>
      <c r="S6" s="5">
        <f t="shared" si="1"/>
        <v>7</v>
      </c>
    </row>
    <row r="7">
      <c r="A7" s="6" t="s">
        <v>23</v>
      </c>
      <c r="C7" s="4">
        <v>5.0</v>
      </c>
      <c r="D7" s="4">
        <v>3.0</v>
      </c>
      <c r="F7" s="4">
        <v>12.0</v>
      </c>
      <c r="I7" s="4">
        <v>7.0</v>
      </c>
      <c r="J7" s="4">
        <v>7.0</v>
      </c>
      <c r="M7" s="4">
        <v>4.0</v>
      </c>
      <c r="O7" s="4">
        <v>10.0</v>
      </c>
      <c r="Q7" s="4">
        <v>6.0</v>
      </c>
      <c r="R7" s="5">
        <f>SUM(B7:Q7)</f>
        <v>54</v>
      </c>
      <c r="S7" s="5">
        <f t="shared" si="1"/>
        <v>7</v>
      </c>
    </row>
    <row r="8">
      <c r="A8" s="6" t="s">
        <v>12</v>
      </c>
      <c r="G8" s="4">
        <v>8.0</v>
      </c>
      <c r="H8" s="4">
        <v>10.0</v>
      </c>
      <c r="J8" s="4">
        <v>4.0</v>
      </c>
      <c r="L8" s="4">
        <v>12.0</v>
      </c>
      <c r="M8" s="4">
        <v>1.0</v>
      </c>
      <c r="N8" s="4">
        <v>10.0</v>
      </c>
      <c r="O8" s="4">
        <v>3.0</v>
      </c>
      <c r="P8" s="4">
        <v>5.0</v>
      </c>
      <c r="R8" s="5">
        <f t="shared" ref="R8:R11" si="3">SUM(B8:P8)</f>
        <v>53</v>
      </c>
      <c r="S8" s="5">
        <f t="shared" si="1"/>
        <v>8</v>
      </c>
    </row>
    <row r="9">
      <c r="A9" s="6" t="s">
        <v>10</v>
      </c>
      <c r="B9" s="4">
        <v>2.0</v>
      </c>
      <c r="E9" s="4">
        <v>2.0</v>
      </c>
      <c r="G9" s="4">
        <v>10.0</v>
      </c>
      <c r="H9" s="4">
        <v>6.0</v>
      </c>
      <c r="K9" s="4">
        <v>10.0</v>
      </c>
      <c r="L9" s="4">
        <v>4.0</v>
      </c>
      <c r="N9" s="4">
        <v>5.0</v>
      </c>
      <c r="O9" s="4">
        <v>6.0</v>
      </c>
      <c r="P9" s="4">
        <v>7.0</v>
      </c>
      <c r="R9" s="5">
        <f t="shared" si="3"/>
        <v>52</v>
      </c>
      <c r="S9" s="5">
        <f t="shared" si="1"/>
        <v>9</v>
      </c>
    </row>
    <row r="10">
      <c r="A10" s="6" t="s">
        <v>20</v>
      </c>
      <c r="C10" s="4">
        <v>4.0</v>
      </c>
      <c r="D10" s="4">
        <v>12.0</v>
      </c>
      <c r="F10" s="4">
        <v>2.0</v>
      </c>
      <c r="G10" s="4">
        <v>1.0</v>
      </c>
      <c r="H10" s="4">
        <v>8.0</v>
      </c>
      <c r="K10" s="4">
        <v>8.0</v>
      </c>
      <c r="L10" s="4">
        <v>10.0</v>
      </c>
      <c r="O10" s="4">
        <v>5.0</v>
      </c>
      <c r="P10" s="4">
        <v>1.0</v>
      </c>
      <c r="R10" s="5">
        <f t="shared" si="3"/>
        <v>51</v>
      </c>
      <c r="S10" s="5">
        <f t="shared" si="1"/>
        <v>9</v>
      </c>
    </row>
    <row r="11">
      <c r="A11" s="6" t="s">
        <v>19</v>
      </c>
      <c r="B11" s="4">
        <v>1.0</v>
      </c>
      <c r="C11" s="4">
        <v>2.0</v>
      </c>
      <c r="D11" s="4">
        <v>6.0</v>
      </c>
      <c r="G11" s="4">
        <v>6.0</v>
      </c>
      <c r="H11" s="4">
        <v>3.0</v>
      </c>
      <c r="L11" s="4">
        <v>8.0</v>
      </c>
      <c r="M11" s="4">
        <v>8.0</v>
      </c>
      <c r="N11" s="4">
        <v>8.0</v>
      </c>
      <c r="P11" s="4">
        <v>6.0</v>
      </c>
      <c r="R11" s="5">
        <f t="shared" si="3"/>
        <v>48</v>
      </c>
      <c r="S11" s="5">
        <f t="shared" si="1"/>
        <v>9</v>
      </c>
    </row>
    <row r="12">
      <c r="A12" s="6" t="s">
        <v>5</v>
      </c>
      <c r="E12" s="4">
        <v>3.0</v>
      </c>
      <c r="F12" s="4">
        <v>6.0</v>
      </c>
      <c r="G12" s="4">
        <v>2.0</v>
      </c>
      <c r="H12" s="4">
        <v>5.0</v>
      </c>
      <c r="I12" s="4">
        <v>12.0</v>
      </c>
      <c r="J12" s="4">
        <v>2.0</v>
      </c>
      <c r="K12" s="4">
        <v>12.0</v>
      </c>
      <c r="Q12" s="4">
        <v>6.0</v>
      </c>
      <c r="R12" s="5">
        <f t="shared" ref="R12:R13" si="4">SUM(B12:Q12)</f>
        <v>48</v>
      </c>
      <c r="S12" s="5">
        <f t="shared" si="1"/>
        <v>7</v>
      </c>
    </row>
    <row r="13">
      <c r="A13" s="6" t="s">
        <v>14</v>
      </c>
      <c r="B13" s="4">
        <v>5.0</v>
      </c>
      <c r="D13" s="4">
        <v>5.0</v>
      </c>
      <c r="F13" s="4">
        <v>4.0</v>
      </c>
      <c r="G13" s="4">
        <v>7.0</v>
      </c>
      <c r="H13" s="4">
        <v>12.0</v>
      </c>
      <c r="P13" s="4">
        <v>2.0</v>
      </c>
      <c r="Q13" s="4">
        <v>6.0</v>
      </c>
      <c r="R13" s="5">
        <f t="shared" si="4"/>
        <v>41</v>
      </c>
      <c r="S13" s="5">
        <f t="shared" si="1"/>
        <v>6</v>
      </c>
    </row>
    <row r="14">
      <c r="A14" s="6" t="s">
        <v>18</v>
      </c>
      <c r="B14" s="4">
        <v>3.0</v>
      </c>
      <c r="C14" s="4">
        <v>10.0</v>
      </c>
      <c r="D14" s="4">
        <v>2.0</v>
      </c>
      <c r="E14" s="4">
        <v>6.0</v>
      </c>
      <c r="N14" s="4">
        <v>6.0</v>
      </c>
      <c r="O14" s="4">
        <v>7.0</v>
      </c>
      <c r="R14" s="5">
        <f t="shared" ref="R14:R21" si="5">SUM(B14:P14)</f>
        <v>34</v>
      </c>
      <c r="S14" s="5">
        <f t="shared" si="1"/>
        <v>6</v>
      </c>
    </row>
    <row r="15">
      <c r="A15" s="6" t="s">
        <v>15</v>
      </c>
      <c r="B15" s="4">
        <v>4.0</v>
      </c>
      <c r="C15" s="4">
        <v>3.0</v>
      </c>
      <c r="K15" s="4">
        <v>5.0</v>
      </c>
      <c r="L15" s="4">
        <v>6.0</v>
      </c>
      <c r="N15" s="4">
        <v>7.0</v>
      </c>
      <c r="P15" s="4">
        <v>8.0</v>
      </c>
      <c r="R15" s="5">
        <f t="shared" si="5"/>
        <v>33</v>
      </c>
      <c r="S15" s="5">
        <f t="shared" si="1"/>
        <v>6</v>
      </c>
    </row>
    <row r="16">
      <c r="A16" s="6" t="s">
        <v>22</v>
      </c>
      <c r="F16" s="4">
        <v>1.0</v>
      </c>
      <c r="H16" s="4">
        <v>7.0</v>
      </c>
      <c r="J16" s="4">
        <v>8.0</v>
      </c>
      <c r="M16" s="4">
        <v>12.0</v>
      </c>
      <c r="N16" s="4">
        <v>1.0</v>
      </c>
      <c r="O16" s="4">
        <v>1.0</v>
      </c>
      <c r="R16" s="5">
        <f t="shared" si="5"/>
        <v>30</v>
      </c>
      <c r="S16" s="5">
        <f t="shared" si="1"/>
        <v>6</v>
      </c>
    </row>
    <row r="17">
      <c r="A17" s="6" t="s">
        <v>8</v>
      </c>
      <c r="D17" s="4">
        <v>1.0</v>
      </c>
      <c r="E17" s="4">
        <v>5.0</v>
      </c>
      <c r="F17" s="4">
        <v>8.0</v>
      </c>
      <c r="I17" s="4">
        <v>10.0</v>
      </c>
      <c r="K17" s="4">
        <v>1.0</v>
      </c>
      <c r="N17" s="4">
        <v>4.0</v>
      </c>
      <c r="R17" s="5">
        <f t="shared" si="5"/>
        <v>29</v>
      </c>
      <c r="S17" s="5">
        <f t="shared" si="1"/>
        <v>6</v>
      </c>
    </row>
    <row r="18">
      <c r="A18" s="6" t="s">
        <v>21</v>
      </c>
      <c r="G18" s="4">
        <v>5.0</v>
      </c>
      <c r="H18" s="4">
        <v>1.0</v>
      </c>
      <c r="J18" s="4">
        <v>10.0</v>
      </c>
      <c r="M18" s="4">
        <v>10.0</v>
      </c>
      <c r="O18" s="4">
        <v>2.0</v>
      </c>
      <c r="R18" s="5">
        <f t="shared" si="5"/>
        <v>28</v>
      </c>
      <c r="S18" s="5">
        <f t="shared" si="1"/>
        <v>5</v>
      </c>
    </row>
    <row r="19">
      <c r="A19" s="6" t="s">
        <v>3</v>
      </c>
      <c r="D19" s="4">
        <v>7.0</v>
      </c>
      <c r="I19" s="4">
        <v>4.0</v>
      </c>
      <c r="J19" s="4">
        <v>6.0</v>
      </c>
      <c r="K19" s="4">
        <v>4.0</v>
      </c>
      <c r="M19" s="4">
        <v>5.0</v>
      </c>
      <c r="R19" s="5">
        <f t="shared" si="5"/>
        <v>26</v>
      </c>
      <c r="S19" s="5">
        <f t="shared" si="1"/>
        <v>5</v>
      </c>
    </row>
    <row r="20">
      <c r="A20" s="6" t="s">
        <v>0</v>
      </c>
      <c r="B20" s="4">
        <v>8.0</v>
      </c>
      <c r="C20" s="4">
        <v>1.0</v>
      </c>
      <c r="E20" s="4">
        <v>8.0</v>
      </c>
      <c r="K20" s="4">
        <v>3.0</v>
      </c>
      <c r="O20" s="4">
        <v>4.0</v>
      </c>
      <c r="R20" s="5">
        <f t="shared" si="5"/>
        <v>24</v>
      </c>
      <c r="S20" s="5">
        <f t="shared" si="1"/>
        <v>5</v>
      </c>
    </row>
    <row r="21">
      <c r="A21" s="6" t="s">
        <v>7</v>
      </c>
      <c r="B21" s="4">
        <v>7.0</v>
      </c>
      <c r="E21" s="4">
        <v>1.0</v>
      </c>
      <c r="F21" s="4">
        <v>5.0</v>
      </c>
      <c r="I21" s="4">
        <v>3.0</v>
      </c>
      <c r="L21" s="4">
        <v>5.0</v>
      </c>
      <c r="R21" s="5">
        <f t="shared" si="5"/>
        <v>21</v>
      </c>
      <c r="S21" s="5">
        <f t="shared" si="1"/>
        <v>5</v>
      </c>
    </row>
    <row r="22">
      <c r="A22" s="6" t="s">
        <v>9</v>
      </c>
      <c r="G22" s="4">
        <v>3.0</v>
      </c>
      <c r="K22" s="4">
        <v>6.0</v>
      </c>
      <c r="P22" s="4">
        <v>3.0</v>
      </c>
      <c r="Q22" s="4">
        <v>6.0</v>
      </c>
      <c r="R22" s="5">
        <f t="shared" ref="R22:R25" si="6">SUM(B22:Q22)</f>
        <v>18</v>
      </c>
      <c r="S22" s="5">
        <f t="shared" si="1"/>
        <v>3</v>
      </c>
    </row>
    <row r="23">
      <c r="A23" s="6" t="s">
        <v>2</v>
      </c>
      <c r="F23" s="4">
        <v>3.0</v>
      </c>
      <c r="I23" s="4">
        <v>1.0</v>
      </c>
      <c r="J23" s="4">
        <v>1.0</v>
      </c>
      <c r="L23" s="4">
        <v>2.0</v>
      </c>
      <c r="N23" s="4">
        <v>2.0</v>
      </c>
      <c r="Q23" s="4">
        <v>6.0</v>
      </c>
      <c r="R23" s="5">
        <f t="shared" si="6"/>
        <v>15</v>
      </c>
      <c r="S23" s="5">
        <f t="shared" si="1"/>
        <v>5</v>
      </c>
    </row>
    <row r="24">
      <c r="A24" s="6" t="s">
        <v>16</v>
      </c>
      <c r="I24" s="4">
        <v>2.0</v>
      </c>
      <c r="M24" s="4">
        <v>6.0</v>
      </c>
      <c r="Q24" s="4">
        <v>6.0</v>
      </c>
      <c r="R24" s="5">
        <f t="shared" si="6"/>
        <v>14</v>
      </c>
      <c r="S24" s="5">
        <f t="shared" si="1"/>
        <v>2</v>
      </c>
    </row>
    <row r="25">
      <c r="A25" s="6" t="s">
        <v>1</v>
      </c>
      <c r="K25" s="4">
        <v>2.0</v>
      </c>
      <c r="Q25" s="4">
        <v>6.0</v>
      </c>
      <c r="R25" s="5">
        <f t="shared" si="6"/>
        <v>8</v>
      </c>
      <c r="S25" s="5">
        <f t="shared" si="1"/>
        <v>1</v>
      </c>
    </row>
    <row r="28">
      <c r="B28" s="5">
        <f t="shared" ref="B28:P28" si="7">sum(B2:B25)</f>
        <v>58</v>
      </c>
      <c r="C28" s="5">
        <f t="shared" si="7"/>
        <v>58</v>
      </c>
      <c r="D28" s="5">
        <f t="shared" si="7"/>
        <v>58</v>
      </c>
      <c r="E28" s="5">
        <f t="shared" si="7"/>
        <v>58</v>
      </c>
      <c r="F28" s="5">
        <f t="shared" si="7"/>
        <v>58</v>
      </c>
      <c r="G28" s="5">
        <f t="shared" si="7"/>
        <v>58</v>
      </c>
      <c r="H28" s="5">
        <f t="shared" si="7"/>
        <v>58</v>
      </c>
      <c r="I28" s="5">
        <f t="shared" si="7"/>
        <v>58</v>
      </c>
      <c r="J28" s="5">
        <f t="shared" si="7"/>
        <v>58</v>
      </c>
      <c r="K28" s="5">
        <f t="shared" si="7"/>
        <v>58</v>
      </c>
      <c r="L28" s="5">
        <f t="shared" si="7"/>
        <v>58</v>
      </c>
      <c r="M28" s="5">
        <f t="shared" si="7"/>
        <v>58</v>
      </c>
      <c r="N28" s="5">
        <f t="shared" si="7"/>
        <v>58</v>
      </c>
      <c r="O28" s="5">
        <f t="shared" si="7"/>
        <v>58</v>
      </c>
      <c r="P28" s="5">
        <f t="shared" si="7"/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0" width="6.38"/>
  </cols>
  <sheetData>
    <row r="1">
      <c r="B1" s="6" t="s">
        <v>34</v>
      </c>
      <c r="C1" s="6" t="s">
        <v>46</v>
      </c>
      <c r="D1" s="6" t="s">
        <v>47</v>
      </c>
      <c r="E1" s="6" t="s">
        <v>48</v>
      </c>
      <c r="F1" s="6" t="s">
        <v>40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36</v>
      </c>
      <c r="L1" s="6" t="s">
        <v>53</v>
      </c>
      <c r="M1" s="6" t="s">
        <v>30</v>
      </c>
      <c r="N1" s="6" t="s">
        <v>33</v>
      </c>
      <c r="O1" s="6" t="s">
        <v>32</v>
      </c>
      <c r="P1" s="6" t="s">
        <v>31</v>
      </c>
      <c r="Q1" s="6" t="s">
        <v>54</v>
      </c>
      <c r="R1" s="6" t="s">
        <v>55</v>
      </c>
      <c r="S1" s="6" t="s">
        <v>43</v>
      </c>
      <c r="T1" s="6" t="s">
        <v>56</v>
      </c>
      <c r="U1" s="6" t="s">
        <v>29</v>
      </c>
      <c r="V1" s="6" t="s">
        <v>57</v>
      </c>
      <c r="W1" s="6" t="s">
        <v>42</v>
      </c>
      <c r="X1" s="6" t="s">
        <v>35</v>
      </c>
      <c r="Y1" s="6" t="s">
        <v>58</v>
      </c>
      <c r="Z1" s="7" t="s">
        <v>59</v>
      </c>
      <c r="AA1" s="7" t="s">
        <v>37</v>
      </c>
      <c r="AB1" s="7" t="s">
        <v>39</v>
      </c>
      <c r="AC1" s="4" t="s">
        <v>27</v>
      </c>
      <c r="AD1" s="4" t="s">
        <v>28</v>
      </c>
    </row>
    <row r="2">
      <c r="A2" s="3" t="s">
        <v>54</v>
      </c>
      <c r="B2" s="4">
        <v>3.0</v>
      </c>
      <c r="C2" s="4">
        <v>4.0</v>
      </c>
      <c r="D2" s="4">
        <v>2.0</v>
      </c>
      <c r="F2" s="4">
        <v>10.0</v>
      </c>
      <c r="H2" s="4">
        <v>12.0</v>
      </c>
      <c r="I2" s="4">
        <v>5.0</v>
      </c>
      <c r="J2" s="4">
        <v>12.0</v>
      </c>
      <c r="K2" s="4">
        <v>1.0</v>
      </c>
      <c r="L2" s="4">
        <v>7.0</v>
      </c>
      <c r="M2" s="4">
        <v>8.0</v>
      </c>
      <c r="N2" s="4">
        <v>12.0</v>
      </c>
      <c r="P2" s="4">
        <v>5.0</v>
      </c>
      <c r="U2" s="4">
        <v>8.0</v>
      </c>
      <c r="X2" s="4">
        <v>2.0</v>
      </c>
      <c r="Y2" s="4">
        <v>10.0</v>
      </c>
      <c r="Z2" s="4">
        <v>2.0</v>
      </c>
      <c r="AA2" s="4">
        <v>6.0</v>
      </c>
      <c r="AB2" s="4">
        <v>8.0</v>
      </c>
      <c r="AC2" s="5">
        <f t="shared" ref="AC2:AC25" si="1">SUM(B2:AB2)</f>
        <v>117</v>
      </c>
      <c r="AD2" s="5">
        <f t="shared" ref="AD2:AD25" si="2">counta(B2:AB2)</f>
        <v>18</v>
      </c>
    </row>
    <row r="3">
      <c r="A3" s="3" t="s">
        <v>50</v>
      </c>
      <c r="B3" s="4">
        <v>10.0</v>
      </c>
      <c r="C3" s="4">
        <v>10.0</v>
      </c>
      <c r="D3" s="4">
        <v>8.0</v>
      </c>
      <c r="E3" s="4">
        <v>2.0</v>
      </c>
      <c r="Q3" s="4">
        <v>10.0</v>
      </c>
      <c r="S3" s="4">
        <v>8.0</v>
      </c>
      <c r="T3" s="4">
        <v>3.0</v>
      </c>
      <c r="U3" s="4">
        <v>1.0</v>
      </c>
      <c r="V3" s="4">
        <v>10.0</v>
      </c>
      <c r="X3" s="4">
        <v>10.0</v>
      </c>
      <c r="Y3" s="4">
        <v>5.0</v>
      </c>
      <c r="Z3" s="4">
        <v>1.0</v>
      </c>
      <c r="AB3" s="4">
        <v>10.0</v>
      </c>
      <c r="AC3" s="5">
        <f t="shared" si="1"/>
        <v>88</v>
      </c>
      <c r="AD3" s="5">
        <f t="shared" si="2"/>
        <v>13</v>
      </c>
    </row>
    <row r="4">
      <c r="A4" s="3" t="s">
        <v>42</v>
      </c>
      <c r="D4" s="4">
        <v>10.0</v>
      </c>
      <c r="F4" s="4">
        <v>8.0</v>
      </c>
      <c r="I4" s="4">
        <v>2.0</v>
      </c>
      <c r="K4" s="4">
        <v>12.0</v>
      </c>
      <c r="L4" s="4">
        <v>2.0</v>
      </c>
      <c r="O4" s="4">
        <v>4.0</v>
      </c>
      <c r="Q4" s="4">
        <v>6.0</v>
      </c>
      <c r="S4" s="4">
        <v>5.0</v>
      </c>
      <c r="U4" s="4">
        <v>6.0</v>
      </c>
      <c r="V4" s="4">
        <v>2.0</v>
      </c>
      <c r="Z4" s="4">
        <v>12.0</v>
      </c>
      <c r="AA4" s="4">
        <v>8.0</v>
      </c>
      <c r="AB4" s="4">
        <v>6.0</v>
      </c>
      <c r="AC4" s="5">
        <f t="shared" si="1"/>
        <v>83</v>
      </c>
      <c r="AD4" s="5">
        <f t="shared" si="2"/>
        <v>13</v>
      </c>
    </row>
    <row r="5">
      <c r="A5" s="3" t="s">
        <v>56</v>
      </c>
      <c r="D5" s="4">
        <v>4.0</v>
      </c>
      <c r="F5" s="4">
        <v>5.0</v>
      </c>
      <c r="G5" s="4">
        <v>10.0</v>
      </c>
      <c r="H5" s="4">
        <v>3.0</v>
      </c>
      <c r="I5" s="4">
        <v>12.0</v>
      </c>
      <c r="L5" s="4">
        <v>6.0</v>
      </c>
      <c r="P5" s="4">
        <v>7.0</v>
      </c>
      <c r="S5" s="4">
        <v>6.0</v>
      </c>
      <c r="U5" s="4">
        <v>7.0</v>
      </c>
      <c r="V5" s="4">
        <v>4.0</v>
      </c>
      <c r="W5" s="4">
        <v>5.0</v>
      </c>
      <c r="X5" s="4">
        <v>6.0</v>
      </c>
      <c r="AA5" s="4">
        <v>5.0</v>
      </c>
      <c r="AB5" s="4">
        <v>2.0</v>
      </c>
      <c r="AC5" s="5">
        <f t="shared" si="1"/>
        <v>82</v>
      </c>
      <c r="AD5" s="5">
        <f t="shared" si="2"/>
        <v>14</v>
      </c>
    </row>
    <row r="6">
      <c r="A6" s="3" t="s">
        <v>51</v>
      </c>
      <c r="B6" s="4">
        <v>5.0</v>
      </c>
      <c r="E6" s="4">
        <v>3.0</v>
      </c>
      <c r="F6" s="4">
        <v>7.0</v>
      </c>
      <c r="G6" s="4">
        <v>4.0</v>
      </c>
      <c r="K6" s="4">
        <v>4.0</v>
      </c>
      <c r="M6" s="4">
        <v>7.0</v>
      </c>
      <c r="N6" s="4">
        <v>1.0</v>
      </c>
      <c r="O6" s="4">
        <v>7.0</v>
      </c>
      <c r="P6" s="4">
        <v>8.0</v>
      </c>
      <c r="Q6" s="4">
        <v>5.0</v>
      </c>
      <c r="S6" s="4">
        <v>7.0</v>
      </c>
      <c r="T6" s="4">
        <v>5.0</v>
      </c>
      <c r="V6" s="4">
        <v>7.0</v>
      </c>
      <c r="AA6" s="4">
        <v>7.0</v>
      </c>
      <c r="AC6" s="5">
        <f t="shared" si="1"/>
        <v>77</v>
      </c>
      <c r="AD6" s="5">
        <f t="shared" si="2"/>
        <v>14</v>
      </c>
    </row>
    <row r="7">
      <c r="A7" s="3" t="s">
        <v>35</v>
      </c>
      <c r="B7" s="4">
        <v>2.0</v>
      </c>
      <c r="C7" s="4">
        <v>1.0</v>
      </c>
      <c r="E7" s="4">
        <v>12.0</v>
      </c>
      <c r="F7" s="4">
        <v>12.0</v>
      </c>
      <c r="G7" s="4">
        <v>6.0</v>
      </c>
      <c r="I7" s="4">
        <v>7.0</v>
      </c>
      <c r="J7" s="4">
        <v>7.0</v>
      </c>
      <c r="O7" s="4">
        <v>3.0</v>
      </c>
      <c r="P7" s="4">
        <v>6.0</v>
      </c>
      <c r="Q7" s="4">
        <v>12.0</v>
      </c>
      <c r="W7" s="4">
        <v>8.0</v>
      </c>
      <c r="AC7" s="5">
        <f t="shared" si="1"/>
        <v>76</v>
      </c>
      <c r="AD7" s="5">
        <f t="shared" si="2"/>
        <v>11</v>
      </c>
    </row>
    <row r="8">
      <c r="A8" s="3" t="s">
        <v>30</v>
      </c>
      <c r="B8" s="4">
        <v>12.0</v>
      </c>
      <c r="E8" s="4">
        <v>5.0</v>
      </c>
      <c r="J8" s="4">
        <v>10.0</v>
      </c>
      <c r="L8" s="4">
        <v>4.0</v>
      </c>
      <c r="N8" s="4">
        <v>8.0</v>
      </c>
      <c r="O8" s="4">
        <v>10.0</v>
      </c>
      <c r="T8" s="4">
        <v>4.0</v>
      </c>
      <c r="V8" s="4">
        <v>3.0</v>
      </c>
      <c r="W8" s="4">
        <v>6.0</v>
      </c>
      <c r="Y8" s="4">
        <v>12.0</v>
      </c>
      <c r="AA8" s="4">
        <v>1.0</v>
      </c>
      <c r="AC8" s="5">
        <f t="shared" si="1"/>
        <v>75</v>
      </c>
      <c r="AD8" s="5">
        <f t="shared" si="2"/>
        <v>11</v>
      </c>
    </row>
    <row r="9">
      <c r="A9" s="3" t="s">
        <v>53</v>
      </c>
      <c r="B9" s="4">
        <v>8.0</v>
      </c>
      <c r="F9" s="4">
        <v>4.0</v>
      </c>
      <c r="G9" s="4">
        <v>2.0</v>
      </c>
      <c r="H9" s="4">
        <v>5.0</v>
      </c>
      <c r="I9" s="4">
        <v>1.0</v>
      </c>
      <c r="M9" s="4">
        <v>10.0</v>
      </c>
      <c r="N9" s="4">
        <v>7.0</v>
      </c>
      <c r="O9" s="4">
        <v>6.0</v>
      </c>
      <c r="P9" s="4">
        <v>3.0</v>
      </c>
      <c r="Q9" s="4">
        <v>3.0</v>
      </c>
      <c r="V9" s="4">
        <v>1.0</v>
      </c>
      <c r="X9" s="4">
        <v>5.0</v>
      </c>
      <c r="Y9" s="4">
        <v>3.0</v>
      </c>
      <c r="Z9" s="4">
        <v>6.0</v>
      </c>
      <c r="AA9" s="4">
        <v>10.0</v>
      </c>
      <c r="AC9" s="5">
        <f t="shared" si="1"/>
        <v>74</v>
      </c>
      <c r="AD9" s="5">
        <f t="shared" si="2"/>
        <v>15</v>
      </c>
    </row>
    <row r="10">
      <c r="A10" s="3" t="s">
        <v>40</v>
      </c>
      <c r="C10" s="4">
        <v>6.0</v>
      </c>
      <c r="D10" s="4">
        <v>1.0</v>
      </c>
      <c r="E10" s="4">
        <v>4.0</v>
      </c>
      <c r="G10" s="4">
        <v>1.0</v>
      </c>
      <c r="I10" s="4">
        <v>8.0</v>
      </c>
      <c r="J10" s="4">
        <v>6.0</v>
      </c>
      <c r="L10" s="4">
        <v>12.0</v>
      </c>
      <c r="N10" s="4">
        <v>3.0</v>
      </c>
      <c r="S10" s="4">
        <v>4.0</v>
      </c>
      <c r="T10" s="4">
        <v>2.0</v>
      </c>
      <c r="W10" s="4">
        <v>3.0</v>
      </c>
      <c r="X10" s="4">
        <v>8.0</v>
      </c>
      <c r="AA10" s="4">
        <v>12.0</v>
      </c>
      <c r="AC10" s="5">
        <f t="shared" si="1"/>
        <v>70</v>
      </c>
      <c r="AD10" s="5">
        <f t="shared" si="2"/>
        <v>13</v>
      </c>
    </row>
    <row r="11">
      <c r="A11" s="3" t="s">
        <v>49</v>
      </c>
      <c r="C11" s="4">
        <v>5.0</v>
      </c>
      <c r="H11" s="4">
        <v>1.0</v>
      </c>
      <c r="K11" s="4">
        <v>6.0</v>
      </c>
      <c r="L11" s="4">
        <v>10.0</v>
      </c>
      <c r="M11" s="4">
        <v>3.0</v>
      </c>
      <c r="N11" s="4">
        <v>5.0</v>
      </c>
      <c r="O11" s="4">
        <v>8.0</v>
      </c>
      <c r="P11" s="4">
        <v>10.0</v>
      </c>
      <c r="Q11" s="4">
        <v>1.0</v>
      </c>
      <c r="T11" s="4">
        <v>6.0</v>
      </c>
      <c r="U11" s="4">
        <v>10.0</v>
      </c>
      <c r="X11" s="4">
        <v>1.0</v>
      </c>
      <c r="AA11" s="4">
        <v>3.0</v>
      </c>
      <c r="AC11" s="5">
        <f t="shared" si="1"/>
        <v>69</v>
      </c>
      <c r="AD11" s="5">
        <f t="shared" si="2"/>
        <v>13</v>
      </c>
    </row>
    <row r="12">
      <c r="A12" s="6" t="s">
        <v>33</v>
      </c>
      <c r="D12" s="4">
        <v>5.0</v>
      </c>
      <c r="E12" s="4">
        <v>10.0</v>
      </c>
      <c r="G12" s="4">
        <v>12.0</v>
      </c>
      <c r="H12" s="4">
        <v>6.0</v>
      </c>
      <c r="K12" s="4">
        <v>7.0</v>
      </c>
      <c r="T12" s="4">
        <v>1.0</v>
      </c>
      <c r="U12" s="4">
        <v>4.0</v>
      </c>
      <c r="W12" s="4">
        <v>2.0</v>
      </c>
      <c r="X12" s="4">
        <v>12.0</v>
      </c>
      <c r="Y12" s="4">
        <v>2.0</v>
      </c>
      <c r="AB12" s="4">
        <v>5.0</v>
      </c>
      <c r="AC12" s="5">
        <f t="shared" si="1"/>
        <v>66</v>
      </c>
      <c r="AD12" s="5">
        <f t="shared" si="2"/>
        <v>11</v>
      </c>
    </row>
    <row r="13">
      <c r="A13" s="6" t="s">
        <v>34</v>
      </c>
      <c r="I13" s="4">
        <v>10.0</v>
      </c>
      <c r="J13" s="4">
        <v>3.0</v>
      </c>
      <c r="L13" s="4">
        <v>8.0</v>
      </c>
      <c r="M13" s="4">
        <v>6.0</v>
      </c>
      <c r="S13" s="4">
        <v>10.0</v>
      </c>
      <c r="V13" s="4">
        <v>12.0</v>
      </c>
      <c r="W13" s="4">
        <v>12.0</v>
      </c>
      <c r="Z13" s="4">
        <v>5.0</v>
      </c>
      <c r="AC13" s="5">
        <f t="shared" si="1"/>
        <v>66</v>
      </c>
      <c r="AD13" s="5">
        <f t="shared" si="2"/>
        <v>8</v>
      </c>
    </row>
    <row r="14">
      <c r="A14" s="6" t="s">
        <v>36</v>
      </c>
      <c r="B14" s="4">
        <v>1.0</v>
      </c>
      <c r="G14" s="4">
        <v>8.0</v>
      </c>
      <c r="N14" s="4">
        <v>4.0</v>
      </c>
      <c r="O14" s="4">
        <v>12.0</v>
      </c>
      <c r="P14" s="4">
        <v>2.0</v>
      </c>
      <c r="T14" s="4">
        <v>12.0</v>
      </c>
      <c r="U14" s="4">
        <v>12.0</v>
      </c>
      <c r="W14" s="4">
        <v>10.0</v>
      </c>
      <c r="Z14" s="4">
        <v>4.0</v>
      </c>
      <c r="AC14" s="5">
        <f t="shared" si="1"/>
        <v>65</v>
      </c>
      <c r="AD14" s="5">
        <f t="shared" si="2"/>
        <v>9</v>
      </c>
    </row>
    <row r="15">
      <c r="A15" s="3" t="s">
        <v>29</v>
      </c>
      <c r="F15" s="4">
        <v>3.0</v>
      </c>
      <c r="J15" s="4">
        <v>8.0</v>
      </c>
      <c r="K15" s="4">
        <v>8.0</v>
      </c>
      <c r="L15" s="4">
        <v>5.0</v>
      </c>
      <c r="O15" s="4">
        <v>5.0</v>
      </c>
      <c r="P15" s="4">
        <v>12.0</v>
      </c>
      <c r="Q15" s="4">
        <v>2.0</v>
      </c>
      <c r="T15" s="4">
        <v>7.0</v>
      </c>
      <c r="Z15" s="4">
        <v>8.0</v>
      </c>
      <c r="AA15" s="4">
        <v>4.0</v>
      </c>
      <c r="AC15" s="5">
        <f t="shared" si="1"/>
        <v>62</v>
      </c>
      <c r="AD15" s="5">
        <f t="shared" si="2"/>
        <v>10</v>
      </c>
    </row>
    <row r="16">
      <c r="A16" s="6" t="s">
        <v>43</v>
      </c>
      <c r="D16" s="4">
        <v>12.0</v>
      </c>
      <c r="G16" s="4">
        <v>3.0</v>
      </c>
      <c r="I16" s="4">
        <v>4.0</v>
      </c>
      <c r="M16" s="4">
        <v>5.0</v>
      </c>
      <c r="P16" s="4">
        <v>4.0</v>
      </c>
      <c r="T16" s="4">
        <v>10.0</v>
      </c>
      <c r="V16" s="4">
        <v>6.0</v>
      </c>
      <c r="W16" s="4">
        <v>7.0</v>
      </c>
      <c r="Y16" s="4">
        <v>6.0</v>
      </c>
      <c r="Z16" s="4">
        <v>3.0</v>
      </c>
      <c r="AC16" s="5">
        <f t="shared" si="1"/>
        <v>60</v>
      </c>
      <c r="AD16" s="5">
        <f t="shared" si="2"/>
        <v>10</v>
      </c>
    </row>
    <row r="17">
      <c r="A17" s="6" t="s">
        <v>31</v>
      </c>
      <c r="C17" s="4">
        <v>8.0</v>
      </c>
      <c r="E17" s="4">
        <v>8.0</v>
      </c>
      <c r="F17" s="4">
        <v>2.0</v>
      </c>
      <c r="H17" s="4">
        <v>2.0</v>
      </c>
      <c r="J17" s="4">
        <v>5.0</v>
      </c>
      <c r="K17" s="4">
        <v>2.0</v>
      </c>
      <c r="M17" s="4">
        <v>1.0</v>
      </c>
      <c r="O17" s="4">
        <v>1.0</v>
      </c>
      <c r="U17" s="4">
        <v>2.0</v>
      </c>
      <c r="X17" s="4">
        <v>4.0</v>
      </c>
      <c r="Y17" s="4">
        <v>4.0</v>
      </c>
      <c r="Z17" s="4">
        <v>7.0</v>
      </c>
      <c r="AB17" s="4">
        <v>12.0</v>
      </c>
      <c r="AC17" s="5">
        <f t="shared" si="1"/>
        <v>58</v>
      </c>
      <c r="AD17" s="5">
        <f t="shared" si="2"/>
        <v>13</v>
      </c>
    </row>
    <row r="18">
      <c r="A18" s="6" t="s">
        <v>52</v>
      </c>
      <c r="C18" s="4">
        <v>7.0</v>
      </c>
      <c r="H18" s="4">
        <v>4.0</v>
      </c>
      <c r="M18" s="4">
        <v>2.0</v>
      </c>
      <c r="Q18" s="4">
        <v>4.0</v>
      </c>
      <c r="S18" s="4">
        <v>3.0</v>
      </c>
      <c r="T18" s="4">
        <v>8.0</v>
      </c>
      <c r="V18" s="4">
        <v>5.0</v>
      </c>
      <c r="X18" s="4">
        <v>7.0</v>
      </c>
      <c r="Z18" s="4">
        <v>10.0</v>
      </c>
      <c r="AB18" s="4">
        <v>7.0</v>
      </c>
      <c r="AC18" s="5">
        <f t="shared" si="1"/>
        <v>57</v>
      </c>
      <c r="AD18" s="5">
        <f t="shared" si="2"/>
        <v>10</v>
      </c>
    </row>
    <row r="19">
      <c r="A19" s="6" t="s">
        <v>58</v>
      </c>
      <c r="B19" s="4">
        <v>7.0</v>
      </c>
      <c r="C19" s="4">
        <v>2.0</v>
      </c>
      <c r="E19" s="4">
        <v>6.0</v>
      </c>
      <c r="I19" s="4">
        <v>6.0</v>
      </c>
      <c r="J19" s="4">
        <v>4.0</v>
      </c>
      <c r="L19" s="4">
        <v>1.0</v>
      </c>
      <c r="M19" s="4">
        <v>4.0</v>
      </c>
      <c r="O19" s="4">
        <v>2.0</v>
      </c>
      <c r="Q19" s="4">
        <v>8.0</v>
      </c>
      <c r="V19" s="4">
        <v>8.0</v>
      </c>
      <c r="X19" s="4">
        <v>3.0</v>
      </c>
      <c r="AB19" s="4">
        <v>1.0</v>
      </c>
      <c r="AC19" s="5">
        <f t="shared" si="1"/>
        <v>52</v>
      </c>
      <c r="AD19" s="5">
        <f t="shared" si="2"/>
        <v>12</v>
      </c>
    </row>
    <row r="20">
      <c r="A20" s="6" t="s">
        <v>46</v>
      </c>
      <c r="D20" s="4">
        <v>3.0</v>
      </c>
      <c r="E20" s="4">
        <v>7.0</v>
      </c>
      <c r="F20" s="4">
        <v>6.0</v>
      </c>
      <c r="H20" s="4">
        <v>7.0</v>
      </c>
      <c r="K20" s="4">
        <v>5.0</v>
      </c>
      <c r="N20" s="4">
        <v>10.0</v>
      </c>
      <c r="S20" s="4">
        <v>2.0</v>
      </c>
      <c r="Y20" s="4">
        <v>7.0</v>
      </c>
      <c r="AB20" s="4">
        <v>4.0</v>
      </c>
      <c r="AC20" s="5">
        <f t="shared" si="1"/>
        <v>51</v>
      </c>
      <c r="AD20" s="5">
        <f t="shared" si="2"/>
        <v>9</v>
      </c>
    </row>
    <row r="21">
      <c r="A21" s="6" t="s">
        <v>32</v>
      </c>
      <c r="G21" s="4">
        <v>7.0</v>
      </c>
      <c r="H21" s="4">
        <v>10.0</v>
      </c>
      <c r="I21" s="4">
        <v>3.0</v>
      </c>
      <c r="J21" s="4">
        <v>1.0</v>
      </c>
      <c r="K21" s="4">
        <v>10.0</v>
      </c>
      <c r="M21" s="4">
        <v>12.0</v>
      </c>
      <c r="AA21" s="4">
        <v>2.0</v>
      </c>
      <c r="AC21" s="5">
        <f t="shared" si="1"/>
        <v>45</v>
      </c>
      <c r="AD21" s="5">
        <f t="shared" si="2"/>
        <v>7</v>
      </c>
    </row>
    <row r="22">
      <c r="A22" s="6" t="s">
        <v>47</v>
      </c>
      <c r="B22" s="4">
        <v>6.0</v>
      </c>
      <c r="C22" s="4">
        <v>3.0</v>
      </c>
      <c r="K22" s="4">
        <v>3.0</v>
      </c>
      <c r="S22" s="4">
        <v>12.0</v>
      </c>
      <c r="W22" s="4">
        <v>4.0</v>
      </c>
      <c r="AB22" s="4">
        <v>3.0</v>
      </c>
      <c r="AC22" s="5">
        <f t="shared" si="1"/>
        <v>31</v>
      </c>
      <c r="AD22" s="5">
        <f t="shared" si="2"/>
        <v>6</v>
      </c>
    </row>
    <row r="23">
      <c r="A23" s="6" t="s">
        <v>48</v>
      </c>
      <c r="G23" s="4">
        <v>5.0</v>
      </c>
      <c r="J23" s="4">
        <v>2.0</v>
      </c>
      <c r="N23" s="4">
        <v>2.0</v>
      </c>
      <c r="P23" s="4">
        <v>1.0</v>
      </c>
      <c r="U23" s="4">
        <v>5.0</v>
      </c>
      <c r="Y23" s="4">
        <v>1.0</v>
      </c>
      <c r="AC23" s="5">
        <f t="shared" si="1"/>
        <v>16</v>
      </c>
      <c r="AD23" s="5">
        <f t="shared" si="2"/>
        <v>6</v>
      </c>
    </row>
    <row r="24">
      <c r="A24" s="6" t="s">
        <v>57</v>
      </c>
      <c r="B24" s="4">
        <v>4.0</v>
      </c>
      <c r="D24" s="4">
        <v>6.0</v>
      </c>
      <c r="S24" s="4">
        <v>1.0</v>
      </c>
      <c r="U24" s="4">
        <v>3.0</v>
      </c>
      <c r="AC24" s="5">
        <f t="shared" si="1"/>
        <v>14</v>
      </c>
      <c r="AD24" s="5">
        <f t="shared" si="2"/>
        <v>4</v>
      </c>
    </row>
    <row r="25">
      <c r="A25" s="6" t="s">
        <v>55</v>
      </c>
      <c r="C25" s="4">
        <v>12.0</v>
      </c>
      <c r="D25" s="4">
        <v>7.0</v>
      </c>
      <c r="E25" s="4">
        <v>1.0</v>
      </c>
      <c r="F25" s="4">
        <v>1.0</v>
      </c>
      <c r="H25" s="4">
        <v>8.0</v>
      </c>
      <c r="L25" s="4">
        <v>3.0</v>
      </c>
      <c r="N25" s="4">
        <v>6.0</v>
      </c>
      <c r="Q25" s="4">
        <v>7.0</v>
      </c>
      <c r="W25" s="4">
        <v>1.0</v>
      </c>
      <c r="Y25" s="4">
        <v>8.0</v>
      </c>
      <c r="AC25" s="5">
        <f t="shared" si="1"/>
        <v>54</v>
      </c>
      <c r="AD25" s="5">
        <f t="shared" si="2"/>
        <v>10</v>
      </c>
    </row>
    <row r="28">
      <c r="B28" s="5">
        <f t="shared" ref="B28:AB28" si="3">sum(B2:B25)</f>
        <v>58</v>
      </c>
      <c r="C28" s="5">
        <f t="shared" si="3"/>
        <v>58</v>
      </c>
      <c r="D28" s="5">
        <f t="shared" si="3"/>
        <v>58</v>
      </c>
      <c r="E28" s="5">
        <f t="shared" si="3"/>
        <v>58</v>
      </c>
      <c r="F28" s="5">
        <f t="shared" si="3"/>
        <v>58</v>
      </c>
      <c r="G28" s="5">
        <f t="shared" si="3"/>
        <v>58</v>
      </c>
      <c r="H28" s="5">
        <f t="shared" si="3"/>
        <v>58</v>
      </c>
      <c r="I28" s="5">
        <f t="shared" si="3"/>
        <v>58</v>
      </c>
      <c r="J28" s="5">
        <f t="shared" si="3"/>
        <v>58</v>
      </c>
      <c r="K28" s="5">
        <f t="shared" si="3"/>
        <v>58</v>
      </c>
      <c r="L28" s="5">
        <f t="shared" si="3"/>
        <v>58</v>
      </c>
      <c r="M28" s="5">
        <f t="shared" si="3"/>
        <v>58</v>
      </c>
      <c r="N28" s="5">
        <f t="shared" si="3"/>
        <v>58</v>
      </c>
      <c r="O28" s="5">
        <f t="shared" si="3"/>
        <v>58</v>
      </c>
      <c r="P28" s="5">
        <f t="shared" si="3"/>
        <v>58</v>
      </c>
      <c r="Q28" s="5">
        <f t="shared" si="3"/>
        <v>58</v>
      </c>
      <c r="R28" s="5">
        <f t="shared" si="3"/>
        <v>0</v>
      </c>
      <c r="S28" s="5">
        <f t="shared" si="3"/>
        <v>58</v>
      </c>
      <c r="T28" s="5">
        <f t="shared" si="3"/>
        <v>58</v>
      </c>
      <c r="U28" s="5">
        <f t="shared" si="3"/>
        <v>58</v>
      </c>
      <c r="V28" s="5">
        <f t="shared" si="3"/>
        <v>58</v>
      </c>
      <c r="W28" s="5">
        <f t="shared" si="3"/>
        <v>58</v>
      </c>
      <c r="X28" s="5">
        <f t="shared" si="3"/>
        <v>58</v>
      </c>
      <c r="Y28" s="5">
        <f t="shared" si="3"/>
        <v>58</v>
      </c>
      <c r="Z28" s="5">
        <f t="shared" si="3"/>
        <v>58</v>
      </c>
      <c r="AA28" s="5">
        <f t="shared" si="3"/>
        <v>58</v>
      </c>
      <c r="AB28" s="5">
        <f t="shared" si="3"/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8" t="s">
        <v>23</v>
      </c>
      <c r="C1" s="4" t="s">
        <v>16</v>
      </c>
      <c r="D1" s="4" t="s">
        <v>14</v>
      </c>
      <c r="E1" s="4" t="s">
        <v>1</v>
      </c>
      <c r="F1" s="4" t="s">
        <v>2</v>
      </c>
      <c r="G1" s="1" t="s">
        <v>4</v>
      </c>
      <c r="H1" s="4" t="s">
        <v>5</v>
      </c>
      <c r="I1" s="4" t="s">
        <v>26</v>
      </c>
      <c r="J1" s="4" t="s">
        <v>21</v>
      </c>
      <c r="K1" s="4" t="s">
        <v>25</v>
      </c>
      <c r="L1" s="4" t="s">
        <v>11</v>
      </c>
      <c r="M1" s="4" t="s">
        <v>9</v>
      </c>
      <c r="N1" s="4" t="s">
        <v>44</v>
      </c>
      <c r="O1" s="4" t="s">
        <v>60</v>
      </c>
      <c r="P1" s="4" t="s">
        <v>45</v>
      </c>
    </row>
    <row r="2">
      <c r="A2" s="6" t="s">
        <v>54</v>
      </c>
      <c r="B2" s="4">
        <v>5.0</v>
      </c>
      <c r="C2" s="4">
        <v>8.0</v>
      </c>
      <c r="D2" s="4">
        <v>5.0</v>
      </c>
      <c r="F2" s="4">
        <v>10.0</v>
      </c>
      <c r="G2" s="4">
        <v>5.0</v>
      </c>
      <c r="I2" s="4">
        <v>6.0</v>
      </c>
      <c r="J2" s="4">
        <v>10.0</v>
      </c>
      <c r="K2" s="4">
        <v>10.0</v>
      </c>
      <c r="O2" s="5">
        <f t="shared" ref="O2:O25" si="1">sum(B2:N2)</f>
        <v>59</v>
      </c>
      <c r="P2" s="5">
        <f t="shared" ref="P2:P25" si="2">counta(B2:M2)</f>
        <v>8</v>
      </c>
    </row>
    <row r="3">
      <c r="A3" s="9" t="s">
        <v>29</v>
      </c>
      <c r="B3" s="4">
        <v>10.0</v>
      </c>
      <c r="C3" s="4">
        <v>7.0</v>
      </c>
      <c r="D3" s="4">
        <v>8.0</v>
      </c>
      <c r="F3" s="4">
        <v>5.0</v>
      </c>
      <c r="G3" s="4">
        <v>4.0</v>
      </c>
      <c r="I3" s="4">
        <v>7.0</v>
      </c>
      <c r="K3" s="4">
        <v>5.0</v>
      </c>
      <c r="M3" s="4"/>
      <c r="N3" s="4">
        <v>6.0</v>
      </c>
      <c r="O3" s="5">
        <f t="shared" si="1"/>
        <v>52</v>
      </c>
      <c r="P3" s="5">
        <f t="shared" si="2"/>
        <v>7</v>
      </c>
    </row>
    <row r="4">
      <c r="A4" s="6" t="s">
        <v>42</v>
      </c>
      <c r="B4" s="4">
        <v>1.0</v>
      </c>
      <c r="C4" s="4">
        <v>6.0</v>
      </c>
      <c r="D4" s="4">
        <v>7.0</v>
      </c>
      <c r="H4" s="4">
        <v>10.0</v>
      </c>
      <c r="I4" s="4">
        <v>8.0</v>
      </c>
      <c r="J4" s="4">
        <v>7.0</v>
      </c>
      <c r="L4" s="4">
        <v>6.0</v>
      </c>
      <c r="M4" s="4"/>
      <c r="N4" s="4">
        <v>6.0</v>
      </c>
      <c r="O4" s="5">
        <f t="shared" si="1"/>
        <v>51</v>
      </c>
      <c r="P4" s="5">
        <f t="shared" si="2"/>
        <v>7</v>
      </c>
    </row>
    <row r="5">
      <c r="A5" s="6" t="s">
        <v>35</v>
      </c>
      <c r="D5" s="4">
        <v>6.0</v>
      </c>
      <c r="F5" s="4">
        <v>12.0</v>
      </c>
      <c r="G5" s="4">
        <v>2.0</v>
      </c>
      <c r="H5" s="4">
        <v>3.0</v>
      </c>
      <c r="I5" s="4">
        <v>1.0</v>
      </c>
      <c r="J5" s="4">
        <v>4.0</v>
      </c>
      <c r="L5" s="4">
        <v>8.0</v>
      </c>
      <c r="M5" s="4">
        <v>7.0</v>
      </c>
      <c r="N5" s="4">
        <v>6.0</v>
      </c>
      <c r="O5" s="5">
        <f t="shared" si="1"/>
        <v>49</v>
      </c>
      <c r="P5" s="5">
        <f t="shared" si="2"/>
        <v>8</v>
      </c>
    </row>
    <row r="6">
      <c r="A6" s="6" t="s">
        <v>40</v>
      </c>
      <c r="D6" s="4">
        <v>12.0</v>
      </c>
      <c r="E6" s="4">
        <v>1.0</v>
      </c>
      <c r="F6" s="4">
        <v>7.0</v>
      </c>
      <c r="H6" s="4">
        <v>4.0</v>
      </c>
      <c r="J6" s="4">
        <v>12.0</v>
      </c>
      <c r="L6" s="4">
        <v>2.0</v>
      </c>
      <c r="M6" s="4">
        <v>4.0</v>
      </c>
      <c r="N6" s="4">
        <v>6.0</v>
      </c>
      <c r="O6" s="5">
        <f t="shared" si="1"/>
        <v>48</v>
      </c>
      <c r="P6" s="5">
        <f t="shared" si="2"/>
        <v>7</v>
      </c>
    </row>
    <row r="7">
      <c r="A7" s="6" t="s">
        <v>52</v>
      </c>
      <c r="D7" s="4">
        <v>2.0</v>
      </c>
      <c r="E7" s="4">
        <v>6.0</v>
      </c>
      <c r="F7" s="4">
        <v>8.0</v>
      </c>
      <c r="I7" s="4">
        <v>10.0</v>
      </c>
      <c r="J7" s="4">
        <v>2.0</v>
      </c>
      <c r="K7" s="4">
        <v>12.0</v>
      </c>
      <c r="L7" s="4">
        <v>4.0</v>
      </c>
      <c r="O7" s="5">
        <f t="shared" si="1"/>
        <v>44</v>
      </c>
      <c r="P7" s="5">
        <f t="shared" si="2"/>
        <v>7</v>
      </c>
    </row>
    <row r="8">
      <c r="A8" s="6" t="s">
        <v>33</v>
      </c>
      <c r="D8" s="4">
        <v>3.0</v>
      </c>
      <c r="E8" s="4">
        <v>8.0</v>
      </c>
      <c r="F8" s="4">
        <v>4.0</v>
      </c>
      <c r="H8" s="4">
        <v>7.0</v>
      </c>
      <c r="I8" s="4">
        <v>4.0</v>
      </c>
      <c r="J8" s="4">
        <v>5.0</v>
      </c>
      <c r="K8" s="4">
        <v>6.0</v>
      </c>
      <c r="M8" s="4"/>
      <c r="N8" s="4">
        <v>6.0</v>
      </c>
      <c r="O8" s="5">
        <f t="shared" si="1"/>
        <v>43</v>
      </c>
      <c r="P8" s="5">
        <f t="shared" si="2"/>
        <v>7</v>
      </c>
    </row>
    <row r="9">
      <c r="A9" s="6" t="s">
        <v>36</v>
      </c>
      <c r="B9" s="4">
        <v>8.0</v>
      </c>
      <c r="C9" s="4">
        <v>4.0</v>
      </c>
      <c r="G9" s="4">
        <v>10.0</v>
      </c>
      <c r="H9" s="4">
        <v>12.0</v>
      </c>
      <c r="K9" s="4">
        <v>3.0</v>
      </c>
      <c r="M9" s="4"/>
      <c r="N9" s="4">
        <v>6.0</v>
      </c>
      <c r="O9" s="5">
        <f t="shared" si="1"/>
        <v>43</v>
      </c>
      <c r="P9" s="5">
        <f t="shared" si="2"/>
        <v>5</v>
      </c>
    </row>
    <row r="10">
      <c r="A10" s="6" t="s">
        <v>30</v>
      </c>
      <c r="B10" s="4">
        <v>4.0</v>
      </c>
      <c r="C10" s="4">
        <v>10.0</v>
      </c>
      <c r="F10" s="4">
        <v>3.0</v>
      </c>
      <c r="I10" s="4">
        <v>12.0</v>
      </c>
      <c r="M10" s="4">
        <v>3.0</v>
      </c>
      <c r="N10" s="4">
        <v>6.0</v>
      </c>
      <c r="O10" s="5">
        <f t="shared" si="1"/>
        <v>38</v>
      </c>
      <c r="P10" s="5">
        <f t="shared" si="2"/>
        <v>5</v>
      </c>
    </row>
    <row r="11">
      <c r="A11" s="6" t="s">
        <v>47</v>
      </c>
      <c r="D11" s="4">
        <v>10.0</v>
      </c>
      <c r="E11" s="4">
        <v>12.0</v>
      </c>
      <c r="F11" s="4">
        <v>6.0</v>
      </c>
      <c r="G11" s="4">
        <v>1.0</v>
      </c>
      <c r="K11" s="4">
        <v>7.0</v>
      </c>
      <c r="L11" s="4">
        <v>1.0</v>
      </c>
      <c r="O11" s="5">
        <f t="shared" si="1"/>
        <v>37</v>
      </c>
      <c r="P11" s="5">
        <f t="shared" si="2"/>
        <v>6</v>
      </c>
    </row>
    <row r="12">
      <c r="A12" s="6" t="s">
        <v>53</v>
      </c>
      <c r="C12" s="4">
        <v>5.0</v>
      </c>
      <c r="G12" s="4">
        <v>8.0</v>
      </c>
      <c r="H12" s="4">
        <v>8.0</v>
      </c>
      <c r="J12" s="4">
        <v>1.0</v>
      </c>
      <c r="L12" s="4">
        <v>7.0</v>
      </c>
      <c r="M12" s="4">
        <v>5.0</v>
      </c>
      <c r="O12" s="5">
        <f t="shared" si="1"/>
        <v>34</v>
      </c>
      <c r="P12" s="5">
        <f t="shared" si="2"/>
        <v>6</v>
      </c>
    </row>
    <row r="13">
      <c r="A13" s="6" t="s">
        <v>34</v>
      </c>
      <c r="C13" s="4">
        <v>12.0</v>
      </c>
      <c r="F13" s="4">
        <v>1.0</v>
      </c>
      <c r="I13" s="4">
        <v>5.0</v>
      </c>
      <c r="M13" s="4">
        <v>8.0</v>
      </c>
      <c r="N13" s="4">
        <v>6.0</v>
      </c>
      <c r="O13" s="5">
        <f t="shared" si="1"/>
        <v>32</v>
      </c>
      <c r="P13" s="5">
        <f t="shared" si="2"/>
        <v>4</v>
      </c>
    </row>
    <row r="14">
      <c r="A14" s="6" t="s">
        <v>58</v>
      </c>
      <c r="C14" s="4">
        <v>3.0</v>
      </c>
      <c r="I14" s="4">
        <v>2.0</v>
      </c>
      <c r="K14" s="4">
        <v>1.0</v>
      </c>
      <c r="L14" s="4">
        <v>12.0</v>
      </c>
      <c r="M14" s="4">
        <v>2.0</v>
      </c>
      <c r="N14" s="4">
        <v>6.0</v>
      </c>
      <c r="O14" s="5">
        <f t="shared" si="1"/>
        <v>26</v>
      </c>
      <c r="P14" s="5">
        <f t="shared" si="2"/>
        <v>5</v>
      </c>
    </row>
    <row r="15">
      <c r="A15" s="6" t="s">
        <v>49</v>
      </c>
      <c r="B15" s="4">
        <v>7.0</v>
      </c>
      <c r="G15" s="4">
        <v>6.0</v>
      </c>
      <c r="H15" s="4">
        <v>5.0</v>
      </c>
      <c r="K15" s="4">
        <v>8.0</v>
      </c>
      <c r="O15" s="5">
        <f t="shared" si="1"/>
        <v>26</v>
      </c>
      <c r="P15" s="5">
        <f t="shared" si="2"/>
        <v>4</v>
      </c>
    </row>
    <row r="16">
      <c r="A16" s="6" t="s">
        <v>32</v>
      </c>
      <c r="G16" s="4">
        <v>12.0</v>
      </c>
      <c r="H16" s="4">
        <v>2.0</v>
      </c>
      <c r="K16" s="4">
        <v>4.0</v>
      </c>
      <c r="M16" s="4"/>
      <c r="N16" s="4">
        <v>6.0</v>
      </c>
      <c r="O16" s="5">
        <f t="shared" si="1"/>
        <v>24</v>
      </c>
      <c r="P16" s="5">
        <f t="shared" si="2"/>
        <v>3</v>
      </c>
    </row>
    <row r="17">
      <c r="A17" s="6" t="s">
        <v>46</v>
      </c>
      <c r="C17" s="4">
        <v>1.0</v>
      </c>
      <c r="D17" s="4">
        <v>1.0</v>
      </c>
      <c r="E17" s="4">
        <v>7.0</v>
      </c>
      <c r="J17" s="4">
        <v>3.0</v>
      </c>
      <c r="L17" s="4">
        <v>10.0</v>
      </c>
      <c r="M17" s="4">
        <v>1.0</v>
      </c>
      <c r="O17" s="5">
        <f t="shared" si="1"/>
        <v>23</v>
      </c>
      <c r="P17" s="5">
        <f t="shared" si="2"/>
        <v>6</v>
      </c>
    </row>
    <row r="18">
      <c r="A18" s="6" t="s">
        <v>48</v>
      </c>
      <c r="E18" s="4">
        <v>5.0</v>
      </c>
      <c r="G18" s="4">
        <v>3.0</v>
      </c>
      <c r="H18" s="4">
        <v>6.0</v>
      </c>
      <c r="J18" s="4">
        <v>8.0</v>
      </c>
      <c r="O18" s="5">
        <f t="shared" si="1"/>
        <v>22</v>
      </c>
      <c r="P18" s="5">
        <f t="shared" si="2"/>
        <v>4</v>
      </c>
    </row>
    <row r="19">
      <c r="A19" s="6" t="s">
        <v>31</v>
      </c>
      <c r="B19" s="4">
        <v>3.0</v>
      </c>
      <c r="F19" s="4">
        <v>2.0</v>
      </c>
      <c r="I19" s="4">
        <v>3.0</v>
      </c>
      <c r="J19" s="4">
        <v>6.0</v>
      </c>
      <c r="M19" s="4"/>
      <c r="N19" s="4">
        <v>6.0</v>
      </c>
      <c r="O19" s="5">
        <f t="shared" si="1"/>
        <v>20</v>
      </c>
      <c r="P19" s="5">
        <f t="shared" si="2"/>
        <v>4</v>
      </c>
    </row>
    <row r="20">
      <c r="A20" s="6" t="s">
        <v>43</v>
      </c>
      <c r="B20" s="4">
        <v>2.0</v>
      </c>
      <c r="C20" s="4">
        <v>2.0</v>
      </c>
      <c r="E20" s="4">
        <v>3.0</v>
      </c>
      <c r="M20" s="4">
        <v>6.0</v>
      </c>
      <c r="N20" s="4">
        <v>6.0</v>
      </c>
      <c r="O20" s="5">
        <f t="shared" si="1"/>
        <v>19</v>
      </c>
      <c r="P20" s="5">
        <f t="shared" si="2"/>
        <v>4</v>
      </c>
    </row>
    <row r="21">
      <c r="A21" s="6" t="s">
        <v>55</v>
      </c>
      <c r="D21" s="4">
        <v>4.0</v>
      </c>
      <c r="E21" s="4">
        <v>2.0</v>
      </c>
      <c r="L21" s="4">
        <v>3.0</v>
      </c>
      <c r="M21" s="4">
        <v>10.0</v>
      </c>
      <c r="O21" s="5">
        <f t="shared" si="1"/>
        <v>19</v>
      </c>
      <c r="P21" s="5">
        <f t="shared" si="2"/>
        <v>4</v>
      </c>
    </row>
    <row r="22">
      <c r="A22" s="6" t="s">
        <v>51</v>
      </c>
      <c r="B22" s="4">
        <v>6.0</v>
      </c>
      <c r="G22" s="4">
        <v>7.0</v>
      </c>
      <c r="L22" s="4">
        <v>5.0</v>
      </c>
      <c r="O22" s="5">
        <f t="shared" si="1"/>
        <v>18</v>
      </c>
      <c r="P22" s="5">
        <f t="shared" si="2"/>
        <v>3</v>
      </c>
    </row>
    <row r="23">
      <c r="A23" s="6" t="s">
        <v>50</v>
      </c>
      <c r="E23" s="4">
        <v>4.0</v>
      </c>
      <c r="K23" s="4">
        <v>2.0</v>
      </c>
      <c r="M23" s="4">
        <v>12.0</v>
      </c>
      <c r="O23" s="5">
        <f t="shared" si="1"/>
        <v>18</v>
      </c>
      <c r="P23" s="5">
        <f t="shared" si="2"/>
        <v>3</v>
      </c>
    </row>
    <row r="24">
      <c r="A24" s="6" t="s">
        <v>57</v>
      </c>
      <c r="E24" s="4">
        <v>10.0</v>
      </c>
      <c r="M24" s="4"/>
      <c r="N24" s="4">
        <v>6.0</v>
      </c>
      <c r="O24" s="5">
        <f t="shared" si="1"/>
        <v>16</v>
      </c>
      <c r="P24" s="5">
        <f t="shared" si="2"/>
        <v>1</v>
      </c>
    </row>
    <row r="25">
      <c r="A25" s="6" t="s">
        <v>56</v>
      </c>
      <c r="B25" s="4">
        <v>12.0</v>
      </c>
      <c r="H25" s="4">
        <v>1.0</v>
      </c>
      <c r="O25" s="5">
        <f t="shared" si="1"/>
        <v>13</v>
      </c>
      <c r="P25" s="5">
        <f t="shared" si="2"/>
        <v>2</v>
      </c>
    </row>
    <row r="30">
      <c r="B30" s="5">
        <f t="shared" ref="B30:M30" si="3">SUM(B2:B25)</f>
        <v>58</v>
      </c>
      <c r="C30" s="5">
        <f t="shared" si="3"/>
        <v>58</v>
      </c>
      <c r="D30" s="5">
        <f t="shared" si="3"/>
        <v>58</v>
      </c>
      <c r="E30" s="5">
        <f t="shared" si="3"/>
        <v>58</v>
      </c>
      <c r="F30" s="5">
        <f t="shared" si="3"/>
        <v>58</v>
      </c>
      <c r="G30" s="5">
        <f t="shared" si="3"/>
        <v>58</v>
      </c>
      <c r="H30" s="5">
        <f t="shared" si="3"/>
        <v>58</v>
      </c>
      <c r="I30" s="5">
        <f t="shared" si="3"/>
        <v>58</v>
      </c>
      <c r="J30" s="5">
        <f t="shared" si="3"/>
        <v>58</v>
      </c>
      <c r="K30" s="5">
        <f t="shared" si="3"/>
        <v>58</v>
      </c>
      <c r="L30" s="5">
        <f t="shared" si="3"/>
        <v>58</v>
      </c>
      <c r="M30" s="5">
        <f t="shared" si="3"/>
        <v>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4.13"/>
    <col customWidth="1" min="3" max="3" width="8.0"/>
    <col customWidth="1" min="5" max="5" width="7.5"/>
    <col customWidth="1" min="6" max="6" width="14.13"/>
    <col customWidth="1" min="7" max="7" width="6.88"/>
  </cols>
  <sheetData>
    <row r="1" ht="22.5" customHeight="1">
      <c r="A1" s="10" t="s">
        <v>61</v>
      </c>
      <c r="B1" s="11" t="s">
        <v>62</v>
      </c>
      <c r="C1" s="10" t="s">
        <v>63</v>
      </c>
      <c r="E1" s="12" t="s">
        <v>61</v>
      </c>
      <c r="F1" s="13" t="s">
        <v>62</v>
      </c>
      <c r="G1" s="11" t="s">
        <v>63</v>
      </c>
    </row>
    <row r="2" ht="22.5" customHeight="1">
      <c r="A2" s="14">
        <v>10.0</v>
      </c>
      <c r="B2" s="15"/>
      <c r="C2" s="14">
        <v>57.0</v>
      </c>
      <c r="E2" s="16">
        <v>8.0</v>
      </c>
      <c r="F2" s="17" t="s">
        <v>10</v>
      </c>
      <c r="G2" s="18">
        <v>52.0</v>
      </c>
    </row>
    <row r="3" ht="22.5" customHeight="1">
      <c r="A3" s="19">
        <v>11.0</v>
      </c>
      <c r="B3" s="20"/>
      <c r="C3" s="19">
        <v>56.0</v>
      </c>
      <c r="E3" s="16">
        <v>9.0</v>
      </c>
      <c r="F3" s="17" t="s">
        <v>20</v>
      </c>
      <c r="G3" s="18">
        <v>51.0</v>
      </c>
    </row>
    <row r="4" ht="22.5" customHeight="1">
      <c r="A4" s="21">
        <v>12.0</v>
      </c>
      <c r="B4" s="22" t="s">
        <v>10</v>
      </c>
      <c r="C4" s="15">
        <v>52.0</v>
      </c>
      <c r="E4" s="16">
        <v>10.0</v>
      </c>
      <c r="F4" s="17" t="s">
        <v>19</v>
      </c>
      <c r="G4" s="18">
        <v>48.0</v>
      </c>
    </row>
    <row r="5" ht="22.5" customHeight="1">
      <c r="A5" s="21">
        <v>13.0</v>
      </c>
      <c r="B5" s="22" t="s">
        <v>9</v>
      </c>
      <c r="C5" s="15">
        <v>52.0</v>
      </c>
      <c r="E5" s="16">
        <v>11.0</v>
      </c>
      <c r="F5" s="17" t="s">
        <v>5</v>
      </c>
      <c r="G5" s="18">
        <v>48.0</v>
      </c>
    </row>
    <row r="6" ht="22.5" customHeight="1">
      <c r="A6" s="21">
        <v>14.0</v>
      </c>
      <c r="B6" s="22" t="s">
        <v>16</v>
      </c>
      <c r="C6" s="15">
        <v>50.0</v>
      </c>
      <c r="E6" s="16">
        <v>12.0</v>
      </c>
      <c r="F6" s="17" t="s">
        <v>14</v>
      </c>
      <c r="G6" s="18">
        <v>41.0</v>
      </c>
    </row>
    <row r="7" ht="22.5" customHeight="1">
      <c r="A7" s="21">
        <v>15.0</v>
      </c>
      <c r="B7" s="22" t="s">
        <v>2</v>
      </c>
      <c r="C7" s="15">
        <v>46.0</v>
      </c>
      <c r="E7" s="16">
        <v>14.0</v>
      </c>
      <c r="F7" s="17" t="s">
        <v>15</v>
      </c>
      <c r="G7" s="18">
        <v>33.0</v>
      </c>
    </row>
    <row r="8" ht="22.5" customHeight="1">
      <c r="A8" s="21">
        <v>16.0</v>
      </c>
      <c r="B8" s="22" t="s">
        <v>19</v>
      </c>
      <c r="C8" s="15">
        <v>44.0</v>
      </c>
      <c r="E8" s="16">
        <v>16.0</v>
      </c>
      <c r="F8" s="17" t="s">
        <v>8</v>
      </c>
      <c r="G8" s="18">
        <v>29.0</v>
      </c>
      <c r="M8" s="4" t="s">
        <v>64</v>
      </c>
    </row>
    <row r="9" ht="22.5" customHeight="1">
      <c r="A9" s="21">
        <v>17.0</v>
      </c>
      <c r="B9" s="22" t="s">
        <v>14</v>
      </c>
      <c r="C9" s="15">
        <v>43.0</v>
      </c>
      <c r="E9" s="16">
        <v>19.0</v>
      </c>
      <c r="F9" s="17" t="s">
        <v>0</v>
      </c>
      <c r="G9" s="18">
        <v>24.0</v>
      </c>
    </row>
    <row r="10" ht="22.5" customHeight="1">
      <c r="A10" s="21">
        <v>18.0</v>
      </c>
      <c r="B10" s="22" t="s">
        <v>5</v>
      </c>
      <c r="C10" s="15">
        <v>42.0</v>
      </c>
      <c r="E10" s="16">
        <v>20.0</v>
      </c>
      <c r="F10" s="17" t="s">
        <v>7</v>
      </c>
      <c r="G10" s="18">
        <v>21.0</v>
      </c>
    </row>
    <row r="11" ht="22.5" customHeight="1">
      <c r="A11" s="21">
        <v>19.0</v>
      </c>
      <c r="B11" s="22" t="s">
        <v>20</v>
      </c>
      <c r="C11" s="15">
        <v>39.0</v>
      </c>
      <c r="E11" s="16">
        <v>21.0</v>
      </c>
      <c r="F11" s="17" t="s">
        <v>9</v>
      </c>
      <c r="G11" s="18">
        <v>18.0</v>
      </c>
    </row>
    <row r="12" ht="22.5" customHeight="1">
      <c r="A12" s="21">
        <v>20.0</v>
      </c>
      <c r="B12" s="22" t="s">
        <v>7</v>
      </c>
      <c r="C12" s="15">
        <v>38.0</v>
      </c>
      <c r="E12" s="16">
        <v>22.0</v>
      </c>
      <c r="F12" s="17" t="s">
        <v>2</v>
      </c>
      <c r="G12" s="18">
        <v>15.0</v>
      </c>
    </row>
    <row r="13" ht="22.5" customHeight="1">
      <c r="A13" s="21">
        <v>21.0</v>
      </c>
      <c r="B13" s="22" t="s">
        <v>0</v>
      </c>
      <c r="C13" s="15">
        <v>36.0</v>
      </c>
      <c r="E13" s="16">
        <v>23.0</v>
      </c>
      <c r="F13" s="17" t="s">
        <v>16</v>
      </c>
      <c r="G13" s="18">
        <v>14.0</v>
      </c>
    </row>
    <row r="14" ht="22.5" customHeight="1">
      <c r="A14" s="21">
        <v>22.0</v>
      </c>
      <c r="B14" s="22" t="s">
        <v>1</v>
      </c>
      <c r="C14" s="15">
        <v>31.0</v>
      </c>
      <c r="E14" s="16">
        <v>24.0</v>
      </c>
      <c r="F14" s="17" t="s">
        <v>1</v>
      </c>
      <c r="G14" s="18">
        <v>8.0</v>
      </c>
    </row>
    <row r="15" ht="22.5" customHeight="1">
      <c r="A15" s="21">
        <v>23.0</v>
      </c>
      <c r="B15" s="22" t="s">
        <v>8</v>
      </c>
      <c r="C15" s="15">
        <v>26.25</v>
      </c>
    </row>
    <row r="16" ht="22.5" customHeight="1">
      <c r="A16" s="21">
        <v>24.0</v>
      </c>
      <c r="B16" s="22" t="s">
        <v>15</v>
      </c>
      <c r="C16" s="15">
        <v>13.5</v>
      </c>
      <c r="E16" s="23"/>
      <c r="F16" s="6"/>
    </row>
    <row r="19" ht="22.5" customHeight="1">
      <c r="A19" s="11" t="s">
        <v>61</v>
      </c>
      <c r="B19" s="11" t="s">
        <v>62</v>
      </c>
      <c r="C19" s="11" t="s">
        <v>63</v>
      </c>
      <c r="E19" s="11" t="s">
        <v>61</v>
      </c>
      <c r="F19" s="11" t="s">
        <v>62</v>
      </c>
      <c r="G19" s="11" t="s">
        <v>63</v>
      </c>
    </row>
    <row r="20" ht="22.5" customHeight="1">
      <c r="A20" s="24">
        <v>10.0</v>
      </c>
      <c r="B20" s="17"/>
      <c r="C20" s="24">
        <v>69.0</v>
      </c>
      <c r="E20" s="24">
        <v>6.0</v>
      </c>
      <c r="F20" s="17" t="s">
        <v>52</v>
      </c>
      <c r="G20" s="18">
        <v>44.0</v>
      </c>
    </row>
    <row r="21" ht="22.5" customHeight="1">
      <c r="A21" s="16">
        <v>11.0</v>
      </c>
      <c r="B21" s="17" t="s">
        <v>33</v>
      </c>
      <c r="C21" s="18">
        <v>66.0</v>
      </c>
      <c r="E21" s="24">
        <v>7.0</v>
      </c>
      <c r="F21" s="17" t="s">
        <v>33</v>
      </c>
      <c r="G21" s="18">
        <v>43.0</v>
      </c>
    </row>
    <row r="22" ht="22.5" customHeight="1">
      <c r="A22" s="24">
        <v>12.0</v>
      </c>
      <c r="B22" s="17" t="s">
        <v>34</v>
      </c>
      <c r="C22" s="18">
        <v>66.0</v>
      </c>
      <c r="E22" s="24">
        <v>8.0</v>
      </c>
      <c r="F22" s="17" t="s">
        <v>36</v>
      </c>
      <c r="G22" s="18">
        <v>43.0</v>
      </c>
    </row>
    <row r="23" ht="22.5" customHeight="1">
      <c r="A23" s="16">
        <v>13.0</v>
      </c>
      <c r="B23" s="17" t="s">
        <v>36</v>
      </c>
      <c r="C23" s="18">
        <v>65.0</v>
      </c>
      <c r="E23" s="24">
        <v>10.0</v>
      </c>
      <c r="F23" s="17" t="s">
        <v>47</v>
      </c>
      <c r="G23" s="18">
        <v>37.0</v>
      </c>
    </row>
    <row r="24" ht="22.5" customHeight="1">
      <c r="A24" s="25">
        <v>14.0</v>
      </c>
      <c r="B24" s="26"/>
      <c r="C24" s="27"/>
      <c r="E24" s="24">
        <v>11.0</v>
      </c>
      <c r="F24" s="17" t="s">
        <v>34</v>
      </c>
      <c r="G24" s="18">
        <v>32.0</v>
      </c>
    </row>
    <row r="25" ht="22.5" customHeight="1">
      <c r="A25" s="16">
        <v>15.0</v>
      </c>
      <c r="B25" s="17" t="s">
        <v>43</v>
      </c>
      <c r="C25" s="18">
        <v>60.0</v>
      </c>
      <c r="E25" s="24">
        <v>13.0</v>
      </c>
      <c r="F25" s="17" t="s">
        <v>58</v>
      </c>
      <c r="G25" s="18">
        <v>26.0</v>
      </c>
    </row>
    <row r="26" ht="22.5" customHeight="1">
      <c r="A26" s="24">
        <v>16.0</v>
      </c>
      <c r="B26" s="17" t="s">
        <v>31</v>
      </c>
      <c r="C26" s="18">
        <v>58.0</v>
      </c>
      <c r="E26" s="24">
        <v>15.0</v>
      </c>
      <c r="F26" s="17" t="s">
        <v>32</v>
      </c>
      <c r="G26" s="18">
        <v>24.0</v>
      </c>
    </row>
    <row r="27" ht="22.5" customHeight="1">
      <c r="A27" s="16">
        <v>17.0</v>
      </c>
      <c r="B27" s="17" t="s">
        <v>52</v>
      </c>
      <c r="C27" s="18">
        <v>57.0</v>
      </c>
      <c r="E27" s="24">
        <v>16.0</v>
      </c>
      <c r="F27" s="17" t="s">
        <v>46</v>
      </c>
      <c r="G27" s="18">
        <v>22.0</v>
      </c>
    </row>
    <row r="28" ht="22.5" customHeight="1">
      <c r="A28" s="24">
        <v>18.0</v>
      </c>
      <c r="B28" s="17" t="s">
        <v>58</v>
      </c>
      <c r="C28" s="18">
        <v>52.0</v>
      </c>
      <c r="E28" s="24">
        <v>17.0</v>
      </c>
      <c r="F28" s="17" t="s">
        <v>48</v>
      </c>
      <c r="G28" s="18">
        <v>22.0</v>
      </c>
    </row>
    <row r="29" ht="22.5" customHeight="1">
      <c r="A29" s="16">
        <v>19.0</v>
      </c>
      <c r="B29" s="17" t="s">
        <v>46</v>
      </c>
      <c r="C29" s="18">
        <v>51.0</v>
      </c>
      <c r="E29" s="24">
        <v>18.0</v>
      </c>
      <c r="F29" s="17" t="s">
        <v>31</v>
      </c>
      <c r="G29" s="18">
        <v>20.0</v>
      </c>
    </row>
    <row r="30" ht="22.5" customHeight="1">
      <c r="A30" s="24">
        <v>20.0</v>
      </c>
      <c r="B30" s="17" t="s">
        <v>32</v>
      </c>
      <c r="C30" s="18">
        <v>45.0</v>
      </c>
      <c r="E30" s="24">
        <v>19.0</v>
      </c>
      <c r="F30" s="17" t="s">
        <v>43</v>
      </c>
      <c r="G30" s="18">
        <v>19.0</v>
      </c>
    </row>
    <row r="31" ht="22.5" customHeight="1">
      <c r="A31" s="16">
        <v>21.0</v>
      </c>
      <c r="B31" s="17" t="s">
        <v>47</v>
      </c>
      <c r="C31" s="18">
        <v>31.0</v>
      </c>
      <c r="E31" s="24">
        <v>21.0</v>
      </c>
      <c r="F31" s="17" t="s">
        <v>57</v>
      </c>
      <c r="G31" s="18">
        <v>16.0</v>
      </c>
    </row>
    <row r="32" ht="22.5" customHeight="1">
      <c r="A32" s="24">
        <v>22.0</v>
      </c>
      <c r="B32" s="17" t="s">
        <v>48</v>
      </c>
      <c r="C32" s="18">
        <v>16.0</v>
      </c>
      <c r="E32" s="24">
        <v>23.0</v>
      </c>
      <c r="F32" s="17" t="s">
        <v>55</v>
      </c>
      <c r="G32" s="18">
        <v>9.0</v>
      </c>
    </row>
    <row r="33" ht="22.5" customHeight="1">
      <c r="A33" s="16">
        <v>23.0</v>
      </c>
      <c r="B33" s="17" t="s">
        <v>57</v>
      </c>
      <c r="C33" s="18">
        <v>14.0</v>
      </c>
    </row>
    <row r="34" ht="22.5" customHeight="1">
      <c r="A34" s="24">
        <v>24.0</v>
      </c>
      <c r="B34" s="17" t="s">
        <v>55</v>
      </c>
      <c r="C34" s="18">
        <v>13.5</v>
      </c>
    </row>
    <row r="38">
      <c r="F38" s="6"/>
    </row>
    <row r="39">
      <c r="F39" s="6"/>
    </row>
    <row r="41">
      <c r="F41" s="6"/>
    </row>
  </sheetData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56" width="3.88"/>
  </cols>
  <sheetData>
    <row r="1">
      <c r="B1" s="28" t="s">
        <v>65</v>
      </c>
      <c r="C1" s="28" t="s">
        <v>26</v>
      </c>
      <c r="D1" s="28" t="s">
        <v>66</v>
      </c>
      <c r="E1" s="28" t="s">
        <v>3</v>
      </c>
      <c r="F1" s="28" t="s">
        <v>16</v>
      </c>
      <c r="G1" s="28" t="s">
        <v>30</v>
      </c>
      <c r="H1" s="28" t="s">
        <v>32</v>
      </c>
      <c r="I1" s="28" t="s">
        <v>14</v>
      </c>
      <c r="J1" s="28" t="s">
        <v>35</v>
      </c>
      <c r="K1" s="28" t="s">
        <v>12</v>
      </c>
      <c r="L1" s="28" t="s">
        <v>54</v>
      </c>
      <c r="M1" s="28" t="s">
        <v>59</v>
      </c>
      <c r="N1" s="28" t="s">
        <v>42</v>
      </c>
      <c r="O1" s="28" t="s">
        <v>36</v>
      </c>
      <c r="P1" s="29" t="s">
        <v>34</v>
      </c>
      <c r="Q1" s="28" t="s">
        <v>11</v>
      </c>
      <c r="R1" s="28" t="s">
        <v>13</v>
      </c>
      <c r="S1" s="28" t="s">
        <v>43</v>
      </c>
      <c r="T1" s="28" t="s">
        <v>19</v>
      </c>
      <c r="U1" s="28" t="s">
        <v>31</v>
      </c>
      <c r="V1" s="28" t="s">
        <v>49</v>
      </c>
      <c r="W1" s="28" t="s">
        <v>29</v>
      </c>
      <c r="X1" s="28" t="s">
        <v>17</v>
      </c>
      <c r="Y1" s="28" t="s">
        <v>52</v>
      </c>
      <c r="Z1" s="28" t="s">
        <v>38</v>
      </c>
      <c r="AA1" s="28" t="s">
        <v>56</v>
      </c>
      <c r="AB1" s="28" t="s">
        <v>7</v>
      </c>
      <c r="AC1" s="28" t="s">
        <v>25</v>
      </c>
      <c r="AD1" s="28" t="s">
        <v>57</v>
      </c>
      <c r="AE1" s="28" t="s">
        <v>51</v>
      </c>
      <c r="AF1" s="30" t="s">
        <v>8</v>
      </c>
      <c r="AG1" s="28" t="s">
        <v>67</v>
      </c>
      <c r="AH1" s="28" t="s">
        <v>68</v>
      </c>
      <c r="AI1" s="28" t="s">
        <v>50</v>
      </c>
      <c r="AJ1" s="28" t="s">
        <v>69</v>
      </c>
      <c r="AK1" s="28" t="s">
        <v>5</v>
      </c>
      <c r="AL1" s="28" t="s">
        <v>0</v>
      </c>
      <c r="AM1" s="28" t="s">
        <v>33</v>
      </c>
      <c r="AN1" s="28" t="s">
        <v>53</v>
      </c>
      <c r="AO1" s="28" t="s">
        <v>46</v>
      </c>
      <c r="AP1" s="28" t="s">
        <v>2</v>
      </c>
      <c r="AQ1" s="28" t="s">
        <v>39</v>
      </c>
      <c r="AR1" s="28" t="s">
        <v>24</v>
      </c>
      <c r="AS1" s="30" t="s">
        <v>37</v>
      </c>
      <c r="AT1" s="28" t="s">
        <v>40</v>
      </c>
      <c r="AU1" s="28" t="s">
        <v>21</v>
      </c>
      <c r="AV1" s="28" t="s">
        <v>70</v>
      </c>
      <c r="AW1" s="28" t="s">
        <v>71</v>
      </c>
      <c r="AX1" s="28" t="s">
        <v>10</v>
      </c>
      <c r="AY1" s="28" t="s">
        <v>9</v>
      </c>
      <c r="AZ1" s="28" t="s">
        <v>47</v>
      </c>
      <c r="BA1" s="30" t="s">
        <v>22</v>
      </c>
      <c r="BB1" s="28" t="s">
        <v>55</v>
      </c>
      <c r="BC1" s="28" t="s">
        <v>20</v>
      </c>
      <c r="BD1" s="30"/>
    </row>
    <row r="2">
      <c r="A2" s="6" t="s">
        <v>24</v>
      </c>
      <c r="B2" s="4">
        <v>12.0</v>
      </c>
      <c r="C2" s="4">
        <v>6.0</v>
      </c>
      <c r="D2" s="4">
        <v>10.0</v>
      </c>
      <c r="G2" s="4">
        <v>3.0</v>
      </c>
      <c r="I2" s="4">
        <v>5.0</v>
      </c>
      <c r="M2" s="4">
        <v>6.0</v>
      </c>
      <c r="R2" s="4">
        <v>5.0</v>
      </c>
      <c r="S2" s="4">
        <v>12.0</v>
      </c>
      <c r="U2" s="4">
        <v>5.0</v>
      </c>
      <c r="X2" s="4">
        <v>1.0</v>
      </c>
      <c r="Z2" s="4">
        <v>1.0</v>
      </c>
      <c r="AA2" s="4">
        <v>10.0</v>
      </c>
      <c r="AB2" s="4">
        <v>5.0</v>
      </c>
      <c r="AD2" s="4">
        <v>10.0</v>
      </c>
      <c r="AE2" s="4">
        <v>12.0</v>
      </c>
      <c r="AF2" s="4">
        <v>12.0</v>
      </c>
      <c r="AG2" s="4">
        <v>7.0</v>
      </c>
      <c r="AH2" s="4">
        <v>12.0</v>
      </c>
      <c r="AI2" s="4">
        <v>7.0</v>
      </c>
      <c r="AL2" s="4">
        <v>6.0</v>
      </c>
      <c r="AN2" s="4">
        <v>8.0</v>
      </c>
      <c r="AO2" s="4">
        <v>1.0</v>
      </c>
      <c r="AS2" s="4">
        <v>10.0</v>
      </c>
      <c r="AW2" s="4">
        <v>4.0</v>
      </c>
      <c r="AX2" s="4">
        <v>8.0</v>
      </c>
      <c r="AY2" s="4">
        <v>8.0</v>
      </c>
      <c r="BB2" s="4">
        <v>5.0</v>
      </c>
      <c r="BD2" s="5">
        <f t="shared" ref="BD2:BD29" si="1">sum(B2:BC2)</f>
        <v>191</v>
      </c>
      <c r="BE2" s="5">
        <f t="shared" ref="BE2:BE29" si="2">counta(B2:BC2)</f>
        <v>27</v>
      </c>
      <c r="BF2" s="5">
        <f t="shared" ref="BF2:BF29" si="3">countif(B2:BC2,12)</f>
        <v>5</v>
      </c>
    </row>
    <row r="3">
      <c r="A3" s="6" t="s">
        <v>54</v>
      </c>
      <c r="B3" s="4"/>
      <c r="C3" s="4">
        <v>3.0</v>
      </c>
      <c r="D3" s="4">
        <v>2.0</v>
      </c>
      <c r="E3" s="4">
        <v>4.0</v>
      </c>
      <c r="F3" s="4">
        <v>5.0</v>
      </c>
      <c r="G3" s="4">
        <v>6.0</v>
      </c>
      <c r="J3" s="4">
        <v>2.0</v>
      </c>
      <c r="M3" s="4">
        <v>3.0</v>
      </c>
      <c r="P3" s="4">
        <v>1.0</v>
      </c>
      <c r="T3" s="4">
        <v>12.0</v>
      </c>
      <c r="W3" s="4">
        <v>8.0</v>
      </c>
      <c r="Y3" s="4">
        <v>12.0</v>
      </c>
      <c r="Z3" s="4">
        <v>10.0</v>
      </c>
      <c r="AC3" s="4">
        <v>8.0</v>
      </c>
      <c r="AI3" s="4">
        <v>10.0</v>
      </c>
      <c r="AM3" s="4">
        <v>10.0</v>
      </c>
      <c r="AP3" s="4">
        <v>12.0</v>
      </c>
      <c r="AQ3" s="4">
        <v>8.0</v>
      </c>
      <c r="AS3" s="4">
        <v>5.0</v>
      </c>
      <c r="AT3" s="4">
        <v>8.0</v>
      </c>
      <c r="AU3" s="4">
        <v>6.0</v>
      </c>
      <c r="AV3" s="4">
        <v>2.0</v>
      </c>
      <c r="AW3" s="4">
        <v>7.0</v>
      </c>
      <c r="AY3" s="4">
        <v>7.0</v>
      </c>
      <c r="BA3" s="4">
        <v>5.0</v>
      </c>
      <c r="BC3" s="4">
        <v>4.0</v>
      </c>
      <c r="BD3" s="5">
        <f t="shared" si="1"/>
        <v>160</v>
      </c>
      <c r="BE3" s="5">
        <f t="shared" si="2"/>
        <v>25</v>
      </c>
      <c r="BF3" s="5">
        <f t="shared" si="3"/>
        <v>3</v>
      </c>
    </row>
    <row r="4">
      <c r="A4" s="6" t="s">
        <v>17</v>
      </c>
      <c r="E4" s="4">
        <v>3.0</v>
      </c>
      <c r="G4" s="4">
        <v>12.0</v>
      </c>
      <c r="H4" s="4">
        <v>8.0</v>
      </c>
      <c r="J4" s="4">
        <v>5.0</v>
      </c>
      <c r="N4" s="4">
        <v>2.0</v>
      </c>
      <c r="O4" s="4">
        <v>6.0</v>
      </c>
      <c r="Q4" s="4">
        <v>4.0</v>
      </c>
      <c r="R4" s="4">
        <v>12.0</v>
      </c>
      <c r="T4" s="4">
        <v>7.0</v>
      </c>
      <c r="U4" s="4">
        <v>6.0</v>
      </c>
      <c r="V4" s="4">
        <v>5.0</v>
      </c>
      <c r="Y4" s="4">
        <v>2.0</v>
      </c>
      <c r="Z4" s="4">
        <v>3.0</v>
      </c>
      <c r="AA4" s="4">
        <v>8.0</v>
      </c>
      <c r="AB4" s="4">
        <v>6.0</v>
      </c>
      <c r="AC4" s="4">
        <v>3.0</v>
      </c>
      <c r="AE4" s="4">
        <v>6.0</v>
      </c>
      <c r="AJ4" s="4">
        <v>6.0</v>
      </c>
      <c r="AK4" s="4">
        <v>2.0</v>
      </c>
      <c r="AL4" s="4">
        <v>12.0</v>
      </c>
      <c r="AO4" s="4">
        <v>2.0</v>
      </c>
      <c r="AS4" s="4">
        <v>2.0</v>
      </c>
      <c r="AT4" s="4">
        <v>2.0</v>
      </c>
      <c r="AU4" s="4">
        <v>10.0</v>
      </c>
      <c r="BA4" s="4">
        <v>10.0</v>
      </c>
      <c r="BC4" s="4">
        <v>5.0</v>
      </c>
      <c r="BD4" s="5">
        <f t="shared" si="1"/>
        <v>149</v>
      </c>
      <c r="BE4" s="5">
        <f t="shared" si="2"/>
        <v>26</v>
      </c>
      <c r="BF4" s="5">
        <f t="shared" si="3"/>
        <v>3</v>
      </c>
    </row>
    <row r="5">
      <c r="A5" s="6" t="s">
        <v>6</v>
      </c>
      <c r="B5" s="4"/>
      <c r="C5" s="4"/>
      <c r="D5" s="4">
        <v>4.0</v>
      </c>
      <c r="E5" s="4">
        <v>12.0</v>
      </c>
      <c r="H5" s="4">
        <v>1.0</v>
      </c>
      <c r="I5" s="4">
        <v>4.0</v>
      </c>
      <c r="J5" s="4">
        <v>6.0</v>
      </c>
      <c r="K5" s="4">
        <v>8.0</v>
      </c>
      <c r="L5" s="4">
        <v>4.0</v>
      </c>
      <c r="P5" s="4">
        <v>7.0</v>
      </c>
      <c r="Q5" s="4">
        <v>8.0</v>
      </c>
      <c r="S5" s="4">
        <v>8.0</v>
      </c>
      <c r="U5" s="4">
        <v>10.0</v>
      </c>
      <c r="W5" s="4">
        <v>12.0</v>
      </c>
      <c r="X5" s="4">
        <v>8.0</v>
      </c>
      <c r="Y5" s="4">
        <v>7.0</v>
      </c>
      <c r="Z5" s="4">
        <v>7.0</v>
      </c>
      <c r="AB5" s="4">
        <v>1.0</v>
      </c>
      <c r="AF5" s="4">
        <v>3.0</v>
      </c>
      <c r="AI5" s="4">
        <v>6.0</v>
      </c>
      <c r="AJ5" s="4">
        <v>1.0</v>
      </c>
      <c r="AP5" s="4">
        <v>8.0</v>
      </c>
      <c r="AQ5" s="4">
        <v>7.0</v>
      </c>
      <c r="AU5" s="4">
        <v>5.0</v>
      </c>
      <c r="AY5" s="4">
        <v>4.0</v>
      </c>
      <c r="AZ5" s="4">
        <v>6.0</v>
      </c>
      <c r="BD5" s="5">
        <f t="shared" si="1"/>
        <v>147</v>
      </c>
      <c r="BE5" s="5">
        <f t="shared" si="2"/>
        <v>24</v>
      </c>
      <c r="BF5" s="5">
        <f t="shared" si="3"/>
        <v>2</v>
      </c>
    </row>
    <row r="6">
      <c r="A6" s="6" t="s">
        <v>3</v>
      </c>
      <c r="B6" s="4">
        <v>2.0</v>
      </c>
      <c r="F6" s="4">
        <v>10.0</v>
      </c>
      <c r="I6" s="4">
        <v>12.0</v>
      </c>
      <c r="O6" s="4">
        <v>2.0</v>
      </c>
      <c r="V6" s="4">
        <v>12.0</v>
      </c>
      <c r="Z6" s="4">
        <v>5.0</v>
      </c>
      <c r="AB6" s="4">
        <v>4.0</v>
      </c>
      <c r="AG6" s="4">
        <v>10.0</v>
      </c>
      <c r="AJ6" s="4">
        <v>12.0</v>
      </c>
      <c r="AL6" s="4">
        <v>3.0</v>
      </c>
      <c r="AO6" s="4">
        <v>10.0</v>
      </c>
      <c r="AP6" s="4">
        <v>5.0</v>
      </c>
      <c r="AT6" s="4">
        <v>5.0</v>
      </c>
      <c r="AU6" s="4">
        <v>12.0</v>
      </c>
      <c r="AV6" s="4">
        <v>3.0</v>
      </c>
      <c r="AW6" s="4">
        <v>10.0</v>
      </c>
      <c r="AY6" s="4">
        <v>5.0</v>
      </c>
      <c r="AZ6" s="4">
        <v>10.0</v>
      </c>
      <c r="BA6" s="4">
        <v>1.0</v>
      </c>
      <c r="BC6" s="4">
        <v>8.0</v>
      </c>
      <c r="BD6" s="5">
        <f t="shared" si="1"/>
        <v>141</v>
      </c>
      <c r="BE6" s="5">
        <f t="shared" si="2"/>
        <v>20</v>
      </c>
      <c r="BF6" s="5">
        <f t="shared" si="3"/>
        <v>4</v>
      </c>
    </row>
    <row r="7">
      <c r="A7" s="6" t="s">
        <v>22</v>
      </c>
      <c r="B7" s="4">
        <v>8.0</v>
      </c>
      <c r="E7" s="4">
        <v>7.0</v>
      </c>
      <c r="I7" s="4">
        <v>3.0</v>
      </c>
      <c r="J7" s="4">
        <v>10.0</v>
      </c>
      <c r="L7" s="4">
        <v>6.0</v>
      </c>
      <c r="X7" s="4">
        <v>6.0</v>
      </c>
      <c r="AA7" s="4">
        <v>1.0</v>
      </c>
      <c r="AB7" s="4">
        <v>7.0</v>
      </c>
      <c r="AE7" s="4">
        <v>8.0</v>
      </c>
      <c r="AF7" s="4">
        <v>8.0</v>
      </c>
      <c r="AG7" s="4">
        <v>5.0</v>
      </c>
      <c r="AH7" s="4">
        <v>2.0</v>
      </c>
      <c r="AI7" s="4">
        <v>1.0</v>
      </c>
      <c r="AJ7" s="4">
        <v>2.0</v>
      </c>
      <c r="AN7" s="4">
        <v>10.0</v>
      </c>
      <c r="AO7" s="4">
        <v>8.0</v>
      </c>
      <c r="AP7" s="4">
        <v>4.0</v>
      </c>
      <c r="AT7" s="4">
        <v>10.0</v>
      </c>
      <c r="AU7" s="4">
        <v>8.0</v>
      </c>
      <c r="AV7" s="4">
        <v>1.0</v>
      </c>
      <c r="AW7" s="4">
        <v>12.0</v>
      </c>
      <c r="AZ7" s="4">
        <v>1.0</v>
      </c>
      <c r="BC7" s="4">
        <v>12.0</v>
      </c>
      <c r="BD7" s="5">
        <f t="shared" si="1"/>
        <v>140</v>
      </c>
      <c r="BE7" s="5">
        <f t="shared" si="2"/>
        <v>23</v>
      </c>
      <c r="BF7" s="5">
        <f t="shared" si="3"/>
        <v>2</v>
      </c>
    </row>
    <row r="8">
      <c r="A8" s="6" t="s">
        <v>12</v>
      </c>
      <c r="B8" s="4"/>
      <c r="C8" s="4">
        <v>10.0</v>
      </c>
      <c r="D8" s="4">
        <v>1.0</v>
      </c>
      <c r="F8" s="4">
        <v>1.0</v>
      </c>
      <c r="J8" s="4">
        <v>12.0</v>
      </c>
      <c r="L8" s="4">
        <v>12.0</v>
      </c>
      <c r="M8" s="4">
        <v>2.0</v>
      </c>
      <c r="P8" s="4">
        <v>10.0</v>
      </c>
      <c r="Q8" s="4">
        <v>12.0</v>
      </c>
      <c r="T8" s="4">
        <v>3.0</v>
      </c>
      <c r="X8" s="4">
        <v>5.0</v>
      </c>
      <c r="AB8" s="4">
        <v>8.0</v>
      </c>
      <c r="AC8" s="4">
        <v>6.0</v>
      </c>
      <c r="AD8" s="4">
        <v>7.0</v>
      </c>
      <c r="AI8" s="4">
        <v>8.0</v>
      </c>
      <c r="AJ8" s="4">
        <v>7.0</v>
      </c>
      <c r="AN8" s="4">
        <v>5.0</v>
      </c>
      <c r="AQ8" s="4">
        <v>12.0</v>
      </c>
      <c r="AW8" s="4">
        <v>5.0</v>
      </c>
      <c r="AZ8" s="4">
        <v>8.0</v>
      </c>
      <c r="BD8" s="5">
        <f t="shared" si="1"/>
        <v>134</v>
      </c>
      <c r="BE8" s="5">
        <f t="shared" si="2"/>
        <v>19</v>
      </c>
      <c r="BF8" s="5">
        <f t="shared" si="3"/>
        <v>4</v>
      </c>
    </row>
    <row r="9">
      <c r="A9" s="6" t="s">
        <v>13</v>
      </c>
      <c r="B9" s="4">
        <v>5.0</v>
      </c>
      <c r="C9" s="4">
        <v>5.0</v>
      </c>
      <c r="F9" s="4">
        <v>8.0</v>
      </c>
      <c r="G9" s="4">
        <v>1.0</v>
      </c>
      <c r="H9" s="4">
        <v>12.0</v>
      </c>
      <c r="M9" s="4">
        <v>7.0</v>
      </c>
      <c r="N9" s="4">
        <v>10.0</v>
      </c>
      <c r="O9" s="4">
        <v>5.0</v>
      </c>
      <c r="T9" s="4">
        <v>8.0</v>
      </c>
      <c r="W9" s="4">
        <v>6.0</v>
      </c>
      <c r="X9" s="4">
        <v>4.0</v>
      </c>
      <c r="Y9" s="4">
        <v>3.0</v>
      </c>
      <c r="AC9" s="4">
        <v>12.0</v>
      </c>
      <c r="AE9" s="4">
        <v>3.0</v>
      </c>
      <c r="AH9" s="4">
        <v>8.0</v>
      </c>
      <c r="AK9" s="4">
        <v>7.0</v>
      </c>
      <c r="AL9" s="4">
        <v>7.0</v>
      </c>
      <c r="AM9" s="4">
        <v>5.0</v>
      </c>
      <c r="AN9" s="4">
        <v>1.0</v>
      </c>
      <c r="AX9" s="4">
        <v>6.0</v>
      </c>
      <c r="AY9" s="4">
        <v>3.0</v>
      </c>
      <c r="BB9" s="4">
        <v>6.0</v>
      </c>
      <c r="BD9" s="5">
        <f t="shared" si="1"/>
        <v>132</v>
      </c>
      <c r="BE9" s="5">
        <f t="shared" si="2"/>
        <v>22</v>
      </c>
      <c r="BF9" s="5">
        <f t="shared" si="3"/>
        <v>2</v>
      </c>
    </row>
    <row r="10">
      <c r="A10" s="6" t="s">
        <v>50</v>
      </c>
      <c r="B10" s="4"/>
      <c r="C10" s="4"/>
      <c r="D10" s="4">
        <v>12.0</v>
      </c>
      <c r="E10" s="4">
        <v>5.0</v>
      </c>
      <c r="J10" s="4">
        <v>8.0</v>
      </c>
      <c r="K10" s="4">
        <v>7.0</v>
      </c>
      <c r="L10" s="4">
        <v>8.0</v>
      </c>
      <c r="P10" s="4">
        <v>8.0</v>
      </c>
      <c r="R10" s="4">
        <v>1.0</v>
      </c>
      <c r="S10" s="4">
        <v>6.0</v>
      </c>
      <c r="W10" s="4">
        <v>4.0</v>
      </c>
      <c r="Z10" s="4">
        <v>6.0</v>
      </c>
      <c r="AC10" s="4">
        <v>1.0</v>
      </c>
      <c r="AD10" s="4">
        <v>8.0</v>
      </c>
      <c r="AF10" s="4">
        <v>6.0</v>
      </c>
      <c r="AG10" s="4">
        <v>6.0</v>
      </c>
      <c r="AJ10" s="4">
        <v>3.0</v>
      </c>
      <c r="AO10" s="4">
        <v>6.0</v>
      </c>
      <c r="AQ10" s="4">
        <v>10.0</v>
      </c>
      <c r="AX10" s="4">
        <v>12.0</v>
      </c>
      <c r="AY10" s="4">
        <v>12.0</v>
      </c>
      <c r="AZ10" s="4">
        <v>2.0</v>
      </c>
      <c r="BD10" s="5">
        <f t="shared" si="1"/>
        <v>131</v>
      </c>
      <c r="BE10" s="5">
        <f t="shared" si="2"/>
        <v>20</v>
      </c>
      <c r="BF10" s="5">
        <f t="shared" si="3"/>
        <v>3</v>
      </c>
    </row>
    <row r="11">
      <c r="A11" s="6" t="s">
        <v>21</v>
      </c>
      <c r="E11" s="4">
        <v>8.0</v>
      </c>
      <c r="I11" s="4">
        <v>6.0</v>
      </c>
      <c r="J11" s="4">
        <v>1.0</v>
      </c>
      <c r="K11" s="4">
        <v>1.0</v>
      </c>
      <c r="P11" s="4">
        <v>5.0</v>
      </c>
      <c r="R11" s="4">
        <v>2.0</v>
      </c>
      <c r="V11" s="4">
        <v>3.0</v>
      </c>
      <c r="X11" s="4">
        <v>10.0</v>
      </c>
      <c r="Y11" s="4">
        <v>5.0</v>
      </c>
      <c r="AB11" s="4">
        <v>10.0</v>
      </c>
      <c r="AG11" s="4">
        <v>8.0</v>
      </c>
      <c r="AH11" s="4">
        <v>1.0</v>
      </c>
      <c r="AI11" s="4">
        <v>12.0</v>
      </c>
      <c r="AO11" s="4">
        <v>7.0</v>
      </c>
      <c r="AP11" s="4">
        <v>6.0</v>
      </c>
      <c r="AR11" s="4">
        <v>4.0</v>
      </c>
      <c r="AS11" s="4">
        <v>6.0</v>
      </c>
      <c r="AT11" s="4">
        <v>6.0</v>
      </c>
      <c r="AW11" s="4">
        <v>1.0</v>
      </c>
      <c r="AX11" s="4">
        <v>5.0</v>
      </c>
      <c r="AY11" s="4">
        <v>10.0</v>
      </c>
      <c r="BA11" s="4">
        <v>3.0</v>
      </c>
      <c r="BB11" s="4">
        <v>3.0</v>
      </c>
      <c r="BC11" s="4">
        <v>7.0</v>
      </c>
      <c r="BD11" s="5">
        <f t="shared" si="1"/>
        <v>130</v>
      </c>
      <c r="BE11" s="5">
        <f t="shared" si="2"/>
        <v>24</v>
      </c>
      <c r="BF11" s="5">
        <f t="shared" si="3"/>
        <v>1</v>
      </c>
    </row>
    <row r="12">
      <c r="A12" s="6" t="s">
        <v>23</v>
      </c>
      <c r="B12" s="4">
        <v>7.0</v>
      </c>
      <c r="E12" s="4">
        <v>1.0</v>
      </c>
      <c r="N12" s="4">
        <v>12.0</v>
      </c>
      <c r="O12" s="4">
        <v>7.0</v>
      </c>
      <c r="R12" s="4">
        <v>4.0</v>
      </c>
      <c r="V12" s="4">
        <v>8.0</v>
      </c>
      <c r="AA12" s="4">
        <v>5.0</v>
      </c>
      <c r="AB12" s="4">
        <v>12.0</v>
      </c>
      <c r="AC12" s="4">
        <v>4.0</v>
      </c>
      <c r="AI12" s="4">
        <v>4.0</v>
      </c>
      <c r="AK12" s="4">
        <v>4.0</v>
      </c>
      <c r="AL12" s="4">
        <v>8.0</v>
      </c>
      <c r="AM12" s="4">
        <v>12.0</v>
      </c>
      <c r="AR12" s="4">
        <v>3.0</v>
      </c>
      <c r="AS12" s="4">
        <v>1.0</v>
      </c>
      <c r="AV12" s="4">
        <v>12.0</v>
      </c>
      <c r="BA12" s="4">
        <v>6.0</v>
      </c>
      <c r="BB12" s="4">
        <v>8.0</v>
      </c>
      <c r="BC12" s="4">
        <v>10.0</v>
      </c>
      <c r="BD12" s="5">
        <f t="shared" si="1"/>
        <v>128</v>
      </c>
      <c r="BE12" s="5">
        <f t="shared" si="2"/>
        <v>19</v>
      </c>
      <c r="BF12" s="5">
        <f t="shared" si="3"/>
        <v>4</v>
      </c>
    </row>
    <row r="13">
      <c r="A13" s="6" t="s">
        <v>42</v>
      </c>
      <c r="B13" s="4"/>
      <c r="C13" s="4">
        <v>8.0</v>
      </c>
      <c r="D13" s="4">
        <v>8.0</v>
      </c>
      <c r="F13" s="4">
        <v>3.0</v>
      </c>
      <c r="L13" s="4">
        <v>10.0</v>
      </c>
      <c r="M13" s="4">
        <v>8.0</v>
      </c>
      <c r="O13" s="4">
        <v>12.0</v>
      </c>
      <c r="Q13" s="4">
        <v>6.0</v>
      </c>
      <c r="S13" s="4">
        <v>1.0</v>
      </c>
      <c r="W13" s="4">
        <v>5.0</v>
      </c>
      <c r="AD13" s="4">
        <v>1.0</v>
      </c>
      <c r="AK13" s="4">
        <v>8.0</v>
      </c>
      <c r="AQ13" s="4">
        <v>6.0</v>
      </c>
      <c r="AR13" s="4">
        <v>12.0</v>
      </c>
      <c r="AS13" s="4">
        <v>12.0</v>
      </c>
      <c r="AT13" s="4">
        <v>4.0</v>
      </c>
      <c r="AU13" s="4">
        <v>3.0</v>
      </c>
      <c r="AW13" s="4">
        <v>2.0</v>
      </c>
      <c r="AX13" s="4">
        <v>3.0</v>
      </c>
      <c r="AZ13" s="4">
        <v>7.0</v>
      </c>
      <c r="BA13" s="4">
        <v>7.0</v>
      </c>
      <c r="BD13" s="5">
        <f t="shared" si="1"/>
        <v>126</v>
      </c>
      <c r="BE13" s="5">
        <f t="shared" si="2"/>
        <v>20</v>
      </c>
      <c r="BF13" s="5">
        <f t="shared" si="3"/>
        <v>3</v>
      </c>
    </row>
    <row r="14">
      <c r="A14" s="6" t="s">
        <v>37</v>
      </c>
      <c r="B14" s="4">
        <v>6.0</v>
      </c>
      <c r="C14" s="4">
        <v>1.0</v>
      </c>
      <c r="D14" s="4">
        <v>5.0</v>
      </c>
      <c r="E14" s="4">
        <v>2.0</v>
      </c>
      <c r="I14" s="4">
        <v>7.0</v>
      </c>
      <c r="K14" s="4">
        <v>2.0</v>
      </c>
      <c r="O14" s="4">
        <v>3.0</v>
      </c>
      <c r="S14" s="4">
        <v>7.0</v>
      </c>
      <c r="T14" s="4">
        <v>4.0</v>
      </c>
      <c r="Y14" s="4">
        <v>1.0</v>
      </c>
      <c r="AE14" s="4">
        <v>4.0</v>
      </c>
      <c r="AH14" s="4">
        <v>5.0</v>
      </c>
      <c r="AJ14" s="4">
        <v>4.0</v>
      </c>
      <c r="AK14" s="4">
        <v>5.0</v>
      </c>
      <c r="AM14" s="4">
        <v>1.0</v>
      </c>
      <c r="AN14" s="4">
        <v>12.0</v>
      </c>
      <c r="AO14" s="4">
        <v>12.0</v>
      </c>
      <c r="AR14" s="4">
        <v>10.0</v>
      </c>
      <c r="AT14" s="4">
        <v>7.0</v>
      </c>
      <c r="AU14" s="4">
        <v>4.0</v>
      </c>
      <c r="AV14" s="4">
        <v>6.0</v>
      </c>
      <c r="AW14" s="4">
        <v>3.0</v>
      </c>
      <c r="AZ14" s="4">
        <v>3.0</v>
      </c>
      <c r="BA14" s="4">
        <v>8.0</v>
      </c>
      <c r="BD14" s="5">
        <f t="shared" si="1"/>
        <v>122</v>
      </c>
      <c r="BE14" s="5">
        <f t="shared" si="2"/>
        <v>24</v>
      </c>
      <c r="BF14" s="5">
        <f t="shared" si="3"/>
        <v>2</v>
      </c>
    </row>
    <row r="15">
      <c r="A15" s="6" t="s">
        <v>30</v>
      </c>
      <c r="B15" s="4"/>
      <c r="C15" s="4">
        <v>7.0</v>
      </c>
      <c r="F15" s="4">
        <v>7.0</v>
      </c>
      <c r="H15" s="4">
        <v>10.0</v>
      </c>
      <c r="K15" s="4">
        <v>10.0</v>
      </c>
      <c r="N15" s="4">
        <v>6.0</v>
      </c>
      <c r="P15" s="4">
        <v>4.0</v>
      </c>
      <c r="R15" s="4">
        <v>3.0</v>
      </c>
      <c r="T15" s="4">
        <v>2.0</v>
      </c>
      <c r="W15" s="4">
        <v>1.0</v>
      </c>
      <c r="X15" s="4">
        <v>12.0</v>
      </c>
      <c r="Y15" s="4">
        <v>10.0</v>
      </c>
      <c r="Z15" s="4">
        <v>12.0</v>
      </c>
      <c r="AA15" s="4">
        <v>4.0</v>
      </c>
      <c r="AH15" s="4">
        <v>6.0</v>
      </c>
      <c r="AL15" s="4">
        <v>10.0</v>
      </c>
      <c r="AM15" s="4">
        <v>8.0</v>
      </c>
      <c r="AX15" s="4">
        <v>2.0</v>
      </c>
      <c r="AY15" s="4">
        <v>1.0</v>
      </c>
      <c r="BB15" s="4">
        <v>2.0</v>
      </c>
      <c r="BD15" s="5">
        <f t="shared" si="1"/>
        <v>117</v>
      </c>
      <c r="BE15" s="5">
        <f t="shared" si="2"/>
        <v>19</v>
      </c>
      <c r="BF15" s="5">
        <f t="shared" si="3"/>
        <v>2</v>
      </c>
    </row>
    <row r="16">
      <c r="A16" s="6" t="s">
        <v>35</v>
      </c>
      <c r="B16" s="4">
        <v>3.0</v>
      </c>
      <c r="E16" s="4">
        <v>6.0</v>
      </c>
      <c r="I16" s="4">
        <v>8.0</v>
      </c>
      <c r="L16" s="4">
        <v>2.0</v>
      </c>
      <c r="N16" s="4">
        <v>7.0</v>
      </c>
      <c r="Q16" s="4">
        <v>2.0</v>
      </c>
      <c r="T16" s="4">
        <v>6.0</v>
      </c>
      <c r="U16" s="4">
        <v>4.0</v>
      </c>
      <c r="V16" s="4">
        <v>10.0</v>
      </c>
      <c r="Y16" s="4">
        <v>6.0</v>
      </c>
      <c r="AF16" s="4">
        <v>4.0</v>
      </c>
      <c r="AG16" s="4">
        <v>4.0</v>
      </c>
      <c r="AJ16" s="4">
        <v>10.0</v>
      </c>
      <c r="AP16" s="4">
        <v>10.0</v>
      </c>
      <c r="AT16" s="4">
        <v>12.0</v>
      </c>
      <c r="AU16" s="4">
        <v>2.0</v>
      </c>
      <c r="AW16" s="4">
        <v>6.0</v>
      </c>
      <c r="AX16" s="4">
        <v>4.0</v>
      </c>
      <c r="AY16" s="4">
        <v>2.0</v>
      </c>
      <c r="BC16" s="4">
        <v>6.0</v>
      </c>
      <c r="BD16" s="5">
        <f t="shared" si="1"/>
        <v>114</v>
      </c>
      <c r="BE16" s="5">
        <f t="shared" si="2"/>
        <v>20</v>
      </c>
      <c r="BF16" s="5">
        <f t="shared" si="3"/>
        <v>1</v>
      </c>
    </row>
    <row r="17">
      <c r="A17" s="6" t="s">
        <v>11</v>
      </c>
      <c r="B17" s="4"/>
      <c r="C17" s="4">
        <v>12.0</v>
      </c>
      <c r="E17" s="4">
        <v>10.0</v>
      </c>
      <c r="H17" s="4">
        <v>5.0</v>
      </c>
      <c r="K17" s="4">
        <v>12.0</v>
      </c>
      <c r="N17" s="4">
        <v>8.0</v>
      </c>
      <c r="P17" s="4">
        <v>12.0</v>
      </c>
      <c r="S17" s="4">
        <v>10.0</v>
      </c>
      <c r="T17" s="4">
        <v>1.0</v>
      </c>
      <c r="AD17" s="4">
        <v>12.0</v>
      </c>
      <c r="AG17" s="4">
        <v>12.0</v>
      </c>
      <c r="AO17" s="4">
        <v>5.0</v>
      </c>
      <c r="AQ17" s="4">
        <v>4.0</v>
      </c>
      <c r="AZ17" s="4">
        <v>4.0</v>
      </c>
      <c r="BD17" s="5">
        <f t="shared" si="1"/>
        <v>107</v>
      </c>
      <c r="BE17" s="5">
        <f t="shared" si="2"/>
        <v>13</v>
      </c>
      <c r="BF17" s="5">
        <f t="shared" si="3"/>
        <v>5</v>
      </c>
    </row>
    <row r="18">
      <c r="A18" s="6" t="s">
        <v>4</v>
      </c>
      <c r="B18" s="4"/>
      <c r="C18" s="4"/>
      <c r="D18" s="4">
        <v>3.0</v>
      </c>
      <c r="F18" s="4">
        <v>6.0</v>
      </c>
      <c r="G18" s="4">
        <v>4.0</v>
      </c>
      <c r="K18" s="4">
        <v>3.0</v>
      </c>
      <c r="M18" s="4">
        <v>10.0</v>
      </c>
      <c r="O18" s="4">
        <v>10.0</v>
      </c>
      <c r="Q18" s="4">
        <v>1.0</v>
      </c>
      <c r="U18" s="4">
        <v>8.0</v>
      </c>
      <c r="W18" s="4">
        <v>3.0</v>
      </c>
      <c r="X18" s="4">
        <v>7.0</v>
      </c>
      <c r="AE18" s="4">
        <v>7.0</v>
      </c>
      <c r="AF18" s="4">
        <v>1.0</v>
      </c>
      <c r="AK18" s="4">
        <v>10.0</v>
      </c>
      <c r="AL18" s="4">
        <v>1.0</v>
      </c>
      <c r="AM18" s="4">
        <v>7.0</v>
      </c>
      <c r="AQ18" s="4">
        <v>2.0</v>
      </c>
      <c r="AR18" s="4">
        <v>6.0</v>
      </c>
      <c r="AU18" s="4">
        <v>1.0</v>
      </c>
      <c r="BB18" s="4">
        <v>12.0</v>
      </c>
      <c r="BD18" s="5">
        <f t="shared" si="1"/>
        <v>102</v>
      </c>
      <c r="BE18" s="5">
        <f t="shared" si="2"/>
        <v>19</v>
      </c>
      <c r="BF18" s="5">
        <f t="shared" si="3"/>
        <v>1</v>
      </c>
    </row>
    <row r="19">
      <c r="A19" s="6" t="s">
        <v>26</v>
      </c>
      <c r="B19" s="4">
        <v>10.0</v>
      </c>
      <c r="M19" s="4">
        <v>1.0</v>
      </c>
      <c r="O19" s="4">
        <v>8.0</v>
      </c>
      <c r="Q19" s="4">
        <v>3.0</v>
      </c>
      <c r="R19" s="4">
        <v>8.0</v>
      </c>
      <c r="U19" s="4">
        <v>1.0</v>
      </c>
      <c r="V19" s="4">
        <v>6.0</v>
      </c>
      <c r="AB19" s="4">
        <v>2.0</v>
      </c>
      <c r="AF19" s="4">
        <v>10.0</v>
      </c>
      <c r="AG19" s="4">
        <v>2.0</v>
      </c>
      <c r="AJ19" s="4">
        <v>5.0</v>
      </c>
      <c r="AK19" s="4">
        <v>12.0</v>
      </c>
      <c r="AM19" s="4">
        <v>3.0</v>
      </c>
      <c r="AR19" s="4">
        <v>5.0</v>
      </c>
      <c r="AV19" s="4">
        <v>10.0</v>
      </c>
      <c r="BB19" s="4">
        <v>10.0</v>
      </c>
      <c r="BD19" s="5">
        <f t="shared" si="1"/>
        <v>96</v>
      </c>
      <c r="BE19" s="5">
        <f t="shared" si="2"/>
        <v>16</v>
      </c>
      <c r="BF19" s="5">
        <f t="shared" si="3"/>
        <v>1</v>
      </c>
    </row>
    <row r="20">
      <c r="A20" s="6" t="s">
        <v>53</v>
      </c>
      <c r="F20" s="4">
        <v>2.0</v>
      </c>
      <c r="G20" s="4">
        <v>8.0</v>
      </c>
      <c r="H20" s="4">
        <v>4.0</v>
      </c>
      <c r="J20" s="4">
        <v>7.0</v>
      </c>
      <c r="L20" s="4">
        <v>1.0</v>
      </c>
      <c r="M20" s="4">
        <v>5.0</v>
      </c>
      <c r="P20" s="4">
        <v>3.0</v>
      </c>
      <c r="Q20" s="4">
        <v>5.0</v>
      </c>
      <c r="R20" s="4">
        <v>6.0</v>
      </c>
      <c r="V20" s="4">
        <v>4.0</v>
      </c>
      <c r="Z20" s="4">
        <v>4.0</v>
      </c>
      <c r="AE20" s="4">
        <v>1.0</v>
      </c>
      <c r="AI20" s="4">
        <v>3.0</v>
      </c>
      <c r="AK20" s="4">
        <v>6.0</v>
      </c>
      <c r="AM20" s="4">
        <v>6.0</v>
      </c>
      <c r="AR20" s="4">
        <v>7.0</v>
      </c>
      <c r="AS20" s="4">
        <v>7.0</v>
      </c>
      <c r="AV20" s="4">
        <v>8.0</v>
      </c>
      <c r="BD20" s="5">
        <f t="shared" si="1"/>
        <v>87</v>
      </c>
      <c r="BE20" s="5">
        <f t="shared" si="2"/>
        <v>18</v>
      </c>
      <c r="BF20" s="5">
        <f t="shared" si="3"/>
        <v>0</v>
      </c>
    </row>
    <row r="21">
      <c r="A21" s="6" t="s">
        <v>49</v>
      </c>
      <c r="H21" s="4">
        <v>7.0</v>
      </c>
      <c r="O21" s="4">
        <v>1.0</v>
      </c>
      <c r="U21" s="4">
        <v>2.0</v>
      </c>
      <c r="W21" s="4">
        <v>10.0</v>
      </c>
      <c r="AA21" s="4">
        <v>7.0</v>
      </c>
      <c r="AC21" s="4">
        <v>10.0</v>
      </c>
      <c r="AE21" s="4">
        <v>2.0</v>
      </c>
      <c r="AF21" s="4">
        <v>5.0</v>
      </c>
      <c r="AH21" s="4">
        <v>4.0</v>
      </c>
      <c r="AK21" s="4">
        <v>3.0</v>
      </c>
      <c r="AL21" s="4">
        <v>4.0</v>
      </c>
      <c r="AM21" s="4">
        <v>4.0</v>
      </c>
      <c r="AN21" s="4">
        <v>6.0</v>
      </c>
      <c r="AO21" s="4">
        <v>3.0</v>
      </c>
      <c r="AV21" s="4">
        <v>5.0</v>
      </c>
      <c r="BA21" s="4">
        <v>4.0</v>
      </c>
      <c r="BB21" s="4">
        <v>7.0</v>
      </c>
      <c r="BC21" s="4">
        <v>3.0</v>
      </c>
      <c r="BD21" s="5">
        <f t="shared" si="1"/>
        <v>87</v>
      </c>
      <c r="BE21" s="5">
        <f t="shared" si="2"/>
        <v>18</v>
      </c>
      <c r="BF21" s="5">
        <f t="shared" si="3"/>
        <v>0</v>
      </c>
    </row>
    <row r="22">
      <c r="A22" s="6" t="s">
        <v>29</v>
      </c>
      <c r="B22" s="4"/>
      <c r="C22" s="4">
        <v>4.0</v>
      </c>
      <c r="D22" s="4">
        <v>6.0</v>
      </c>
      <c r="F22" s="4">
        <v>4.0</v>
      </c>
      <c r="H22" s="4">
        <v>2.0</v>
      </c>
      <c r="I22" s="4">
        <v>1.0</v>
      </c>
      <c r="L22" s="4">
        <v>5.0</v>
      </c>
      <c r="M22" s="4">
        <v>4.0</v>
      </c>
      <c r="O22" s="4">
        <v>4.0</v>
      </c>
      <c r="U22" s="4">
        <v>12.0</v>
      </c>
      <c r="Y22" s="4">
        <v>8.0</v>
      </c>
      <c r="AA22" s="4">
        <v>12.0</v>
      </c>
      <c r="AB22" s="4">
        <v>3.0</v>
      </c>
      <c r="AC22" s="4">
        <v>5.0</v>
      </c>
      <c r="AH22" s="4">
        <v>7.0</v>
      </c>
      <c r="AP22" s="4">
        <v>1.0</v>
      </c>
      <c r="AQ22" s="4">
        <v>1.0</v>
      </c>
      <c r="AR22" s="4">
        <v>1.0</v>
      </c>
      <c r="AV22" s="4">
        <v>4.0</v>
      </c>
      <c r="AX22" s="4">
        <v>1.0</v>
      </c>
      <c r="BC22" s="4">
        <v>1.0</v>
      </c>
      <c r="BD22" s="5">
        <f t="shared" si="1"/>
        <v>86</v>
      </c>
      <c r="BE22" s="5">
        <f t="shared" si="2"/>
        <v>20</v>
      </c>
      <c r="BF22" s="5">
        <f t="shared" si="3"/>
        <v>2</v>
      </c>
    </row>
    <row r="23">
      <c r="A23" s="6" t="s">
        <v>40</v>
      </c>
      <c r="I23" s="4">
        <v>10.0</v>
      </c>
      <c r="J23" s="4">
        <v>4.0</v>
      </c>
      <c r="K23" s="4">
        <v>5.0</v>
      </c>
      <c r="V23" s="4">
        <v>1.0</v>
      </c>
      <c r="Y23" s="4">
        <v>4.0</v>
      </c>
      <c r="AA23" s="4">
        <v>2.0</v>
      </c>
      <c r="AE23" s="4">
        <v>5.0</v>
      </c>
      <c r="AG23" s="4">
        <v>1.0</v>
      </c>
      <c r="AM23" s="4">
        <v>2.0</v>
      </c>
      <c r="AN23" s="4">
        <v>7.0</v>
      </c>
      <c r="AO23" s="4">
        <v>4.0</v>
      </c>
      <c r="AP23" s="4">
        <v>7.0</v>
      </c>
      <c r="AR23" s="4">
        <v>2.0</v>
      </c>
      <c r="AS23" s="4">
        <v>8.0</v>
      </c>
      <c r="AU23" s="4">
        <v>7.0</v>
      </c>
      <c r="BA23" s="4">
        <v>12.0</v>
      </c>
      <c r="BB23" s="4">
        <v>4.0</v>
      </c>
      <c r="BD23" s="5">
        <f t="shared" si="1"/>
        <v>85</v>
      </c>
      <c r="BE23" s="5">
        <f t="shared" si="2"/>
        <v>17</v>
      </c>
      <c r="BF23" s="5">
        <f t="shared" si="3"/>
        <v>1</v>
      </c>
    </row>
    <row r="24">
      <c r="A24" s="6" t="s">
        <v>25</v>
      </c>
      <c r="G24" s="4">
        <v>2.0</v>
      </c>
      <c r="M24" s="4">
        <v>12.0</v>
      </c>
      <c r="N24" s="4">
        <v>1.0</v>
      </c>
      <c r="Q24" s="4">
        <v>10.0</v>
      </c>
      <c r="S24" s="4">
        <v>5.0</v>
      </c>
      <c r="T24" s="4">
        <v>10.0</v>
      </c>
      <c r="X24" s="4">
        <v>2.0</v>
      </c>
      <c r="Z24" s="4">
        <v>8.0</v>
      </c>
      <c r="AA24" s="4">
        <v>3.0</v>
      </c>
      <c r="AP24" s="4">
        <v>3.0</v>
      </c>
      <c r="AQ24" s="4">
        <v>5.0</v>
      </c>
      <c r="AX24" s="4">
        <v>10.0</v>
      </c>
      <c r="AY24" s="4">
        <v>6.0</v>
      </c>
      <c r="BD24" s="5">
        <f t="shared" si="1"/>
        <v>77</v>
      </c>
      <c r="BE24" s="5">
        <f t="shared" si="2"/>
        <v>13</v>
      </c>
      <c r="BF24" s="5">
        <f t="shared" si="3"/>
        <v>1</v>
      </c>
    </row>
    <row r="25">
      <c r="A25" s="6" t="s">
        <v>59</v>
      </c>
      <c r="B25" s="4">
        <v>1.0</v>
      </c>
      <c r="C25" s="4"/>
      <c r="D25" s="4">
        <v>7.0</v>
      </c>
      <c r="G25" s="4">
        <v>7.0</v>
      </c>
      <c r="I25" s="4">
        <v>2.0</v>
      </c>
      <c r="L25" s="4">
        <v>3.0</v>
      </c>
      <c r="N25" s="4">
        <v>5.0</v>
      </c>
      <c r="S25" s="4">
        <v>4.0</v>
      </c>
      <c r="T25" s="4">
        <v>5.0</v>
      </c>
      <c r="Z25" s="4">
        <v>2.0</v>
      </c>
      <c r="AA25" s="4">
        <v>6.0</v>
      </c>
      <c r="AD25" s="4">
        <v>6.0</v>
      </c>
      <c r="AI25" s="4">
        <v>5.0</v>
      </c>
      <c r="AN25" s="4">
        <v>4.0</v>
      </c>
      <c r="AR25" s="4">
        <v>8.0</v>
      </c>
      <c r="AS25" s="4">
        <v>3.0</v>
      </c>
      <c r="AZ25" s="4">
        <v>5.0</v>
      </c>
      <c r="BC25" s="4">
        <v>2.0</v>
      </c>
      <c r="BD25" s="5">
        <f t="shared" si="1"/>
        <v>75</v>
      </c>
      <c r="BE25" s="5">
        <f t="shared" si="2"/>
        <v>17</v>
      </c>
      <c r="BF25" s="5">
        <f t="shared" si="3"/>
        <v>0</v>
      </c>
    </row>
    <row r="26">
      <c r="A26" s="6" t="s">
        <v>51</v>
      </c>
      <c r="B26" s="4">
        <v>4.0</v>
      </c>
      <c r="G26" s="4">
        <v>5.0</v>
      </c>
      <c r="H26" s="4">
        <v>6.0</v>
      </c>
      <c r="P26" s="4">
        <v>6.0</v>
      </c>
      <c r="R26" s="4">
        <v>7.0</v>
      </c>
      <c r="S26" s="4">
        <v>3.0</v>
      </c>
      <c r="U26" s="4">
        <v>7.0</v>
      </c>
      <c r="V26" s="4">
        <v>2.0</v>
      </c>
      <c r="AD26" s="4">
        <v>5.0</v>
      </c>
      <c r="AJ26" s="4">
        <v>8.0</v>
      </c>
      <c r="AN26" s="4">
        <v>3.0</v>
      </c>
      <c r="AP26" s="4">
        <v>2.0</v>
      </c>
      <c r="AS26" s="4">
        <v>4.0</v>
      </c>
      <c r="AT26" s="4">
        <v>3.0</v>
      </c>
      <c r="AV26" s="4">
        <v>7.0</v>
      </c>
      <c r="BA26" s="4">
        <v>2.0</v>
      </c>
      <c r="BB26" s="4">
        <v>1.0</v>
      </c>
      <c r="BD26" s="5">
        <f t="shared" si="1"/>
        <v>75</v>
      </c>
      <c r="BE26" s="5">
        <f t="shared" si="2"/>
        <v>17</v>
      </c>
      <c r="BF26" s="5">
        <f t="shared" si="3"/>
        <v>0</v>
      </c>
    </row>
    <row r="27">
      <c r="A27" s="6" t="s">
        <v>18</v>
      </c>
      <c r="B27" s="4"/>
      <c r="C27" s="4">
        <v>2.0</v>
      </c>
      <c r="F27" s="4">
        <v>12.0</v>
      </c>
      <c r="G27" s="4">
        <v>10.0</v>
      </c>
      <c r="H27" s="4">
        <v>3.0</v>
      </c>
      <c r="K27" s="4">
        <v>4.0</v>
      </c>
      <c r="L27" s="4">
        <v>7.0</v>
      </c>
      <c r="R27" s="4">
        <v>10.0</v>
      </c>
      <c r="W27" s="4">
        <v>2.0</v>
      </c>
      <c r="AC27" s="4">
        <v>2.0</v>
      </c>
      <c r="AD27" s="4">
        <v>2.0</v>
      </c>
      <c r="AK27" s="4">
        <v>1.0</v>
      </c>
      <c r="AL27" s="4">
        <v>5.0</v>
      </c>
      <c r="AW27" s="4">
        <v>8.0</v>
      </c>
      <c r="AX27" s="4">
        <v>7.0</v>
      </c>
      <c r="BD27" s="5">
        <f t="shared" si="1"/>
        <v>75</v>
      </c>
      <c r="BE27" s="5">
        <f t="shared" si="2"/>
        <v>14</v>
      </c>
      <c r="BF27" s="5">
        <f t="shared" si="3"/>
        <v>1</v>
      </c>
    </row>
    <row r="28">
      <c r="A28" s="6" t="s">
        <v>56</v>
      </c>
      <c r="J28" s="4">
        <v>3.0</v>
      </c>
      <c r="N28" s="4">
        <v>4.0</v>
      </c>
      <c r="S28" s="4">
        <v>2.0</v>
      </c>
      <c r="U28" s="4">
        <v>3.0</v>
      </c>
      <c r="V28" s="4">
        <v>7.0</v>
      </c>
      <c r="W28" s="4">
        <v>7.0</v>
      </c>
      <c r="AD28" s="4">
        <v>4.0</v>
      </c>
      <c r="AE28" s="4">
        <v>10.0</v>
      </c>
      <c r="AF28" s="4">
        <v>7.0</v>
      </c>
      <c r="AH28" s="4">
        <v>10.0</v>
      </c>
      <c r="AI28" s="4">
        <v>2.0</v>
      </c>
      <c r="AL28" s="4">
        <v>2.0</v>
      </c>
      <c r="AN28" s="4">
        <v>2.0</v>
      </c>
      <c r="AQ28" s="4">
        <v>3.0</v>
      </c>
      <c r="AT28" s="4">
        <v>1.0</v>
      </c>
      <c r="BD28" s="5">
        <f t="shared" si="1"/>
        <v>67</v>
      </c>
      <c r="BE28" s="5">
        <f t="shared" si="2"/>
        <v>15</v>
      </c>
      <c r="BF28" s="5">
        <f t="shared" si="3"/>
        <v>0</v>
      </c>
    </row>
    <row r="29">
      <c r="A29" s="6" t="s">
        <v>39</v>
      </c>
      <c r="K29" s="4">
        <v>6.0</v>
      </c>
      <c r="N29" s="4">
        <v>3.0</v>
      </c>
      <c r="P29" s="4">
        <v>2.0</v>
      </c>
      <c r="Q29" s="4">
        <v>7.0</v>
      </c>
      <c r="X29" s="4">
        <v>3.0</v>
      </c>
      <c r="AC29" s="4">
        <v>7.0</v>
      </c>
      <c r="AD29" s="4">
        <v>3.0</v>
      </c>
      <c r="AF29" s="4">
        <v>2.0</v>
      </c>
      <c r="AG29" s="4">
        <v>3.0</v>
      </c>
      <c r="AH29" s="4">
        <v>3.0</v>
      </c>
      <c r="AZ29" s="4">
        <v>12.0</v>
      </c>
      <c r="BD29" s="5">
        <f t="shared" si="1"/>
        <v>51</v>
      </c>
      <c r="BE29" s="5">
        <f t="shared" si="2"/>
        <v>11</v>
      </c>
      <c r="BF29" s="5">
        <f t="shared" si="3"/>
        <v>1</v>
      </c>
    </row>
    <row r="31">
      <c r="B31" s="5">
        <f t="shared" ref="B31:AZ31" si="4">SUM(B2:B29)</f>
        <v>58</v>
      </c>
      <c r="C31" s="5">
        <f t="shared" si="4"/>
        <v>58</v>
      </c>
      <c r="D31" s="5">
        <f t="shared" si="4"/>
        <v>58</v>
      </c>
      <c r="E31" s="5">
        <f t="shared" si="4"/>
        <v>58</v>
      </c>
      <c r="F31" s="5">
        <f t="shared" si="4"/>
        <v>58</v>
      </c>
      <c r="G31" s="5">
        <f t="shared" si="4"/>
        <v>58</v>
      </c>
      <c r="H31" s="5">
        <f t="shared" si="4"/>
        <v>58</v>
      </c>
      <c r="I31" s="5">
        <f t="shared" si="4"/>
        <v>58</v>
      </c>
      <c r="J31" s="5">
        <f t="shared" si="4"/>
        <v>58</v>
      </c>
      <c r="K31" s="5">
        <f t="shared" si="4"/>
        <v>58</v>
      </c>
      <c r="L31" s="5">
        <f t="shared" si="4"/>
        <v>58</v>
      </c>
      <c r="M31" s="5">
        <f t="shared" si="4"/>
        <v>58</v>
      </c>
      <c r="N31" s="5">
        <f t="shared" si="4"/>
        <v>58</v>
      </c>
      <c r="O31" s="5">
        <f t="shared" si="4"/>
        <v>58</v>
      </c>
      <c r="P31" s="5">
        <f t="shared" si="4"/>
        <v>58</v>
      </c>
      <c r="Q31" s="5">
        <f t="shared" si="4"/>
        <v>58</v>
      </c>
      <c r="R31" s="5">
        <f t="shared" si="4"/>
        <v>58</v>
      </c>
      <c r="S31" s="5">
        <f t="shared" si="4"/>
        <v>58</v>
      </c>
      <c r="T31" s="5">
        <f t="shared" si="4"/>
        <v>58</v>
      </c>
      <c r="U31" s="5">
        <f t="shared" si="4"/>
        <v>58</v>
      </c>
      <c r="V31" s="5">
        <f t="shared" si="4"/>
        <v>58</v>
      </c>
      <c r="W31" s="5">
        <f t="shared" si="4"/>
        <v>58</v>
      </c>
      <c r="X31" s="5">
        <f t="shared" si="4"/>
        <v>58</v>
      </c>
      <c r="Y31" s="5">
        <f t="shared" si="4"/>
        <v>58</v>
      </c>
      <c r="Z31" s="5">
        <f t="shared" si="4"/>
        <v>58</v>
      </c>
      <c r="AA31" s="5">
        <f t="shared" si="4"/>
        <v>58</v>
      </c>
      <c r="AB31" s="5">
        <f t="shared" si="4"/>
        <v>58</v>
      </c>
      <c r="AC31" s="5">
        <f t="shared" si="4"/>
        <v>58</v>
      </c>
      <c r="AD31" s="5">
        <f t="shared" si="4"/>
        <v>58</v>
      </c>
      <c r="AE31" s="5">
        <f t="shared" si="4"/>
        <v>58</v>
      </c>
      <c r="AF31" s="5">
        <f t="shared" si="4"/>
        <v>58</v>
      </c>
      <c r="AG31" s="5">
        <f t="shared" si="4"/>
        <v>58</v>
      </c>
      <c r="AH31" s="5">
        <f t="shared" si="4"/>
        <v>58</v>
      </c>
      <c r="AI31" s="5">
        <f t="shared" si="4"/>
        <v>58</v>
      </c>
      <c r="AJ31" s="5">
        <f t="shared" si="4"/>
        <v>58</v>
      </c>
      <c r="AK31" s="5">
        <f t="shared" si="4"/>
        <v>58</v>
      </c>
      <c r="AL31" s="5">
        <f t="shared" si="4"/>
        <v>58</v>
      </c>
      <c r="AM31" s="5">
        <f t="shared" si="4"/>
        <v>58</v>
      </c>
      <c r="AN31" s="5">
        <f t="shared" si="4"/>
        <v>58</v>
      </c>
      <c r="AO31" s="5">
        <f t="shared" si="4"/>
        <v>58</v>
      </c>
      <c r="AP31" s="5">
        <f t="shared" si="4"/>
        <v>58</v>
      </c>
      <c r="AQ31" s="5">
        <f t="shared" si="4"/>
        <v>58</v>
      </c>
      <c r="AR31" s="5">
        <f t="shared" si="4"/>
        <v>58</v>
      </c>
      <c r="AS31" s="5">
        <f t="shared" si="4"/>
        <v>58</v>
      </c>
      <c r="AT31" s="5">
        <f t="shared" si="4"/>
        <v>58</v>
      </c>
      <c r="AU31" s="5">
        <f t="shared" si="4"/>
        <v>58</v>
      </c>
      <c r="AV31" s="5">
        <f t="shared" si="4"/>
        <v>58</v>
      </c>
      <c r="AW31" s="5">
        <f t="shared" si="4"/>
        <v>58</v>
      </c>
      <c r="AX31" s="5">
        <f t="shared" si="4"/>
        <v>58</v>
      </c>
      <c r="AY31" s="5">
        <f t="shared" si="4"/>
        <v>58</v>
      </c>
      <c r="AZ31" s="5">
        <f t="shared" si="4"/>
        <v>58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" t="s">
        <v>72</v>
      </c>
      <c r="C1" s="4" t="s">
        <v>73</v>
      </c>
      <c r="G1" s="4" t="s">
        <v>27</v>
      </c>
    </row>
    <row r="2">
      <c r="A2" s="6" t="s">
        <v>24</v>
      </c>
      <c r="B2" s="4">
        <v>12.0</v>
      </c>
      <c r="C2" s="4">
        <v>4.0</v>
      </c>
      <c r="G2" s="5">
        <f t="shared" ref="G2:G29" si="1">sum(B2:F2)</f>
        <v>16</v>
      </c>
      <c r="H2" s="4">
        <v>12.0</v>
      </c>
    </row>
    <row r="3">
      <c r="A3" s="6" t="s">
        <v>26</v>
      </c>
      <c r="B3" s="4">
        <v>4.0</v>
      </c>
      <c r="C3" s="4">
        <v>10.0</v>
      </c>
      <c r="G3" s="5">
        <f t="shared" si="1"/>
        <v>14</v>
      </c>
      <c r="H3" s="4">
        <v>10.0</v>
      </c>
    </row>
    <row r="4">
      <c r="A4" s="6" t="s">
        <v>22</v>
      </c>
      <c r="C4" s="4">
        <v>12.0</v>
      </c>
      <c r="G4" s="5">
        <f t="shared" si="1"/>
        <v>12</v>
      </c>
      <c r="H4" s="4">
        <v>8.0</v>
      </c>
    </row>
    <row r="5">
      <c r="A5" s="6" t="s">
        <v>23</v>
      </c>
      <c r="B5" s="4">
        <v>10.0</v>
      </c>
      <c r="G5" s="5">
        <f t="shared" si="1"/>
        <v>10</v>
      </c>
      <c r="H5" s="4">
        <v>7.0</v>
      </c>
    </row>
    <row r="6">
      <c r="A6" s="6" t="s">
        <v>37</v>
      </c>
      <c r="B6" s="4">
        <v>8.0</v>
      </c>
      <c r="C6" s="4">
        <v>1.0</v>
      </c>
      <c r="G6" s="5">
        <f t="shared" si="1"/>
        <v>9</v>
      </c>
      <c r="H6" s="4">
        <v>6.0</v>
      </c>
    </row>
    <row r="7">
      <c r="A7" s="6" t="s">
        <v>51</v>
      </c>
      <c r="C7" s="4">
        <v>8.0</v>
      </c>
      <c r="G7" s="5">
        <f t="shared" si="1"/>
        <v>8</v>
      </c>
      <c r="H7" s="4">
        <v>4.0</v>
      </c>
    </row>
    <row r="8">
      <c r="A8" s="6" t="s">
        <v>13</v>
      </c>
      <c r="B8" s="4">
        <v>5.0</v>
      </c>
      <c r="C8" s="4">
        <v>3.0</v>
      </c>
      <c r="G8" s="5">
        <f t="shared" si="1"/>
        <v>8</v>
      </c>
      <c r="H8" s="4">
        <v>5.0</v>
      </c>
    </row>
    <row r="9">
      <c r="A9" s="6" t="s">
        <v>59</v>
      </c>
      <c r="B9" s="4">
        <v>7.0</v>
      </c>
      <c r="G9" s="5">
        <f t="shared" si="1"/>
        <v>7</v>
      </c>
      <c r="H9" s="4">
        <v>1.0</v>
      </c>
    </row>
    <row r="10">
      <c r="A10" s="6" t="s">
        <v>3</v>
      </c>
      <c r="C10" s="4">
        <v>7.0</v>
      </c>
      <c r="G10" s="5">
        <f t="shared" si="1"/>
        <v>7</v>
      </c>
      <c r="H10" s="4">
        <v>2.0</v>
      </c>
    </row>
    <row r="11">
      <c r="A11" s="6" t="s">
        <v>35</v>
      </c>
      <c r="B11" s="4">
        <v>1.0</v>
      </c>
      <c r="C11" s="4">
        <v>6.0</v>
      </c>
      <c r="G11" s="5">
        <f t="shared" si="1"/>
        <v>7</v>
      </c>
      <c r="H11" s="4">
        <v>3.0</v>
      </c>
    </row>
    <row r="12">
      <c r="A12" s="6" t="s">
        <v>56</v>
      </c>
      <c r="B12" s="4">
        <v>6.0</v>
      </c>
      <c r="G12" s="5">
        <f t="shared" si="1"/>
        <v>6</v>
      </c>
    </row>
    <row r="13">
      <c r="A13" s="6" t="s">
        <v>21</v>
      </c>
      <c r="C13" s="4">
        <v>5.0</v>
      </c>
      <c r="G13" s="5">
        <f t="shared" si="1"/>
        <v>5</v>
      </c>
    </row>
    <row r="14">
      <c r="A14" s="6" t="s">
        <v>29</v>
      </c>
      <c r="B14" s="4">
        <v>3.0</v>
      </c>
      <c r="G14" s="5">
        <f t="shared" si="1"/>
        <v>3</v>
      </c>
    </row>
    <row r="15">
      <c r="A15" s="6" t="s">
        <v>53</v>
      </c>
      <c r="C15" s="4">
        <v>2.0</v>
      </c>
      <c r="G15" s="5">
        <f t="shared" si="1"/>
        <v>2</v>
      </c>
    </row>
    <row r="16">
      <c r="A16" s="6" t="s">
        <v>42</v>
      </c>
      <c r="B16" s="4">
        <v>2.0</v>
      </c>
      <c r="G16" s="5">
        <f t="shared" si="1"/>
        <v>2</v>
      </c>
    </row>
    <row r="17">
      <c r="A17" s="6" t="s">
        <v>30</v>
      </c>
      <c r="G17" s="5">
        <f t="shared" si="1"/>
        <v>0</v>
      </c>
    </row>
    <row r="18">
      <c r="A18" s="6" t="s">
        <v>50</v>
      </c>
      <c r="G18" s="5">
        <f t="shared" si="1"/>
        <v>0</v>
      </c>
    </row>
    <row r="19">
      <c r="A19" s="6" t="s">
        <v>6</v>
      </c>
      <c r="G19" s="5">
        <f t="shared" si="1"/>
        <v>0</v>
      </c>
    </row>
    <row r="20">
      <c r="A20" s="6" t="s">
        <v>4</v>
      </c>
      <c r="G20" s="5">
        <f t="shared" si="1"/>
        <v>0</v>
      </c>
    </row>
    <row r="21">
      <c r="A21" s="6" t="s">
        <v>17</v>
      </c>
      <c r="G21" s="5">
        <f t="shared" si="1"/>
        <v>0</v>
      </c>
    </row>
    <row r="22">
      <c r="A22" s="6" t="s">
        <v>39</v>
      </c>
      <c r="G22" s="5">
        <f t="shared" si="1"/>
        <v>0</v>
      </c>
    </row>
    <row r="23">
      <c r="A23" s="6" t="s">
        <v>12</v>
      </c>
      <c r="G23" s="5">
        <f t="shared" si="1"/>
        <v>0</v>
      </c>
    </row>
    <row r="24">
      <c r="A24" s="6" t="s">
        <v>18</v>
      </c>
      <c r="G24" s="5">
        <f t="shared" si="1"/>
        <v>0</v>
      </c>
    </row>
    <row r="25">
      <c r="A25" s="6" t="s">
        <v>25</v>
      </c>
      <c r="G25" s="5">
        <f t="shared" si="1"/>
        <v>0</v>
      </c>
    </row>
    <row r="26">
      <c r="A26" s="6" t="s">
        <v>11</v>
      </c>
      <c r="G26" s="5">
        <f t="shared" si="1"/>
        <v>0</v>
      </c>
    </row>
    <row r="27">
      <c r="A27" s="6" t="s">
        <v>54</v>
      </c>
      <c r="G27" s="5">
        <f t="shared" si="1"/>
        <v>0</v>
      </c>
    </row>
    <row r="28">
      <c r="A28" s="6" t="s">
        <v>49</v>
      </c>
      <c r="G28" s="5">
        <f t="shared" si="1"/>
        <v>0</v>
      </c>
    </row>
    <row r="29">
      <c r="A29" s="6" t="s">
        <v>40</v>
      </c>
      <c r="G29" s="5">
        <f t="shared" si="1"/>
        <v>0</v>
      </c>
    </row>
  </sheetData>
  <drawing r:id="rId1"/>
</worksheet>
</file>