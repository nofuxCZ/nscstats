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📝 Participants" sheetId="1" r:id="rId5"/>
    <sheet state="visible" name="Semi Distribution" sheetId="2" r:id="rId6"/>
    <sheet state="visible" name="Semi 1 Votes" sheetId="3" r:id="rId7"/>
    <sheet state="visible" name="Semi 1 ReJu" sheetId="4" r:id="rId8"/>
    <sheet state="visible" name="Semi 2 Votes" sheetId="5" r:id="rId9"/>
    <sheet state="visible" name="Semi 2 ReJu" sheetId="6" r:id="rId10"/>
    <sheet state="visible" name="Final Running Order" sheetId="7" r:id="rId11"/>
    <sheet state="visible" name="Final Votes" sheetId="8" r:id="rId12"/>
    <sheet state="visible" name="⏱️ Waiting List" sheetId="9" r:id="rId13"/>
  </sheets>
  <definedNames/>
  <calcPr/>
</workbook>
</file>

<file path=xl/sharedStrings.xml><?xml version="1.0" encoding="utf-8"?>
<sst xmlns="http://schemas.openxmlformats.org/spreadsheetml/2006/main" count="776" uniqueCount="322">
  <si>
    <t>Nation Name</t>
  </si>
  <si>
    <t>Artist</t>
  </si>
  <si>
    <t>Song</t>
  </si>
  <si>
    <t>Video Link</t>
  </si>
  <si>
    <t>Recap Start</t>
  </si>
  <si>
    <t>Begonia</t>
  </si>
  <si>
    <t>First Hate</t>
  </si>
  <si>
    <t>What's the matter, boy?</t>
  </si>
  <si>
    <t>www.youtube.com/watch?v=O1H9F7sC8Gg</t>
  </si>
  <si>
    <t>Marcobia</t>
  </si>
  <si>
    <t>Sublahshini, Anirudh Ravichander, Asal Kolaar</t>
  </si>
  <si>
    <t>Monica</t>
  </si>
  <si>
    <r>
      <rPr>
        <color rgb="FF1155CC"/>
        <u/>
      </rPr>
      <t>https://www.youtube.com/watch?v=2qCpY38ompo</t>
    </r>
  </si>
  <si>
    <t>Emsfrynt (reserve!)</t>
  </si>
  <si>
    <t>tAngerinecAt</t>
  </si>
  <si>
    <t>House of Shards</t>
  </si>
  <si>
    <t>https://youtu.be/UAzpBEUkpvg?si=YQEGJlKlnASfQR13</t>
  </si>
  <si>
    <t>Kimmystan</t>
  </si>
  <si>
    <t>Deloraine</t>
  </si>
  <si>
    <t>Arkona</t>
  </si>
  <si>
    <t>https://www.youtube.com/watch?v=9Qphhm-Dfx4&amp;embeds_referring_euri=https%3A%2F%2Fwww.escunited.com%2F&amp;source_ve_path=MjM4NTE</t>
  </si>
  <si>
    <t>New Acadia</t>
  </si>
  <si>
    <t>bbno$ x ironmouse</t>
  </si>
  <si>
    <t>1-800</t>
  </si>
  <si>
    <t>https://youtu.be/6Ro7NubzE9A?si=6TtBt8VOpCmGXYJH</t>
  </si>
  <si>
    <t>Griffin Empire</t>
  </si>
  <si>
    <t>Conan Gray</t>
  </si>
  <si>
    <t>Vodka Cranberry</t>
  </si>
  <si>
    <t>https://youtu.be/Yzbvv8WdP9k</t>
  </si>
  <si>
    <t>Sakuralia</t>
  </si>
  <si>
    <t>Aqua</t>
  </si>
  <si>
    <t>Turn Back Time</t>
  </si>
  <si>
    <t>https://www.youtube.com/watch?v=Ls0WfopgR9k</t>
  </si>
  <si>
    <t>Waiting Iist of Shelley &amp; Nici</t>
  </si>
  <si>
    <t>BLACKPINK</t>
  </si>
  <si>
    <t>뛰어(JUMP)</t>
  </si>
  <si>
    <r>
      <rPr>
        <rFont val="inherit"/>
        <color rgb="FF1155CC"/>
        <sz val="12.0"/>
        <u/>
      </rPr>
      <t>https://youtu.be/CgCVZdcKcqY</t>
    </r>
  </si>
  <si>
    <t>Dwyforland</t>
  </si>
  <si>
    <t>Carla</t>
  </si>
  <si>
    <t>Coquillages</t>
  </si>
  <si>
    <t>https://youtu.be/wqK3N9JBIaQ?list=RDwqK3N9JBIaQ</t>
  </si>
  <si>
    <t>Roseland</t>
  </si>
  <si>
    <t>Miley Cyrus feat. Naomi Campbell</t>
  </si>
  <si>
    <t>Every Girl You've Ever Loved</t>
  </si>
  <si>
    <t>https://www.youtube.com/watch?v=ukTm71Id0uE</t>
  </si>
  <si>
    <t>Ugaly</t>
  </si>
  <si>
    <t>South Arcade</t>
  </si>
  <si>
    <t>How 2 Get Away With Murder</t>
  </si>
  <si>
    <t>https://www.youtube.com/watch?v=46azFIIHz9s</t>
  </si>
  <si>
    <t>Cydoni-Gibberia</t>
  </si>
  <si>
    <t>Honningbarna</t>
  </si>
  <si>
    <t>Rød bic</t>
  </si>
  <si>
    <t>https://www.youtube.com/watch?v=OukwwhubczQ</t>
  </si>
  <si>
    <t>Tanoiro</t>
  </si>
  <si>
    <t>la euphoria, moistbreezy</t>
  </si>
  <si>
    <t>Heaven’s Where You Are</t>
  </si>
  <si>
    <t>https://youtu.be/Sb2t9SROcxE?si=BwyUAVFbIoxXWSRF&amp;t=1896</t>
  </si>
  <si>
    <t>Kamandé</t>
  </si>
  <si>
    <t>Shania Twain</t>
  </si>
  <si>
    <t>Giddy Up!</t>
  </si>
  <si>
    <t>https://www.youtube.com/watch?v=-6BGu-GyKWQ</t>
  </si>
  <si>
    <t>Fierraria</t>
  </si>
  <si>
    <t>BARTKY</t>
  </si>
  <si>
    <t>Zlospiv</t>
  </si>
  <si>
    <t>https://youtu.be/a06zfmqPXFE?si=-kjus1UmZIz0hUqE</t>
  </si>
  <si>
    <t>Rahasia &amp; Diati</t>
  </si>
  <si>
    <t>Hayes &amp; Y</t>
  </si>
  <si>
    <t>Leave Forever</t>
  </si>
  <si>
    <t>https://youtu.be/r0cVOT_bLU0</t>
  </si>
  <si>
    <t>Adamsburg</t>
  </si>
  <si>
    <t>Agnes</t>
  </si>
  <si>
    <t>Balenciaga Covered Eyes</t>
  </si>
  <si>
    <t>https://youtu.be/WI1Agrdf3bA?si=c4gPAI0Jt0rAMnDr</t>
  </si>
  <si>
    <t>Svobodnia</t>
  </si>
  <si>
    <t>Ambre Ciel</t>
  </si>
  <si>
    <t>the sun, the sky</t>
  </si>
  <si>
    <t>https://www.youtube.com/watch?v=-k9xZbdZE5U</t>
  </si>
  <si>
    <t>Afnia</t>
  </si>
  <si>
    <t>OSG</t>
  </si>
  <si>
    <t>Hate</t>
  </si>
  <si>
    <t>https://www.youtube.com/watch?v=ayit1E_MZAM</t>
  </si>
  <si>
    <t>Szimbaya Kingdom</t>
  </si>
  <si>
    <t>Bonnie Tyler</t>
  </si>
  <si>
    <t>It's a heart ache</t>
  </si>
  <si>
    <t>https://youtu.be/bEOl38y8Nj8?si=KlUk_xb7E3dZSy5r</t>
  </si>
  <si>
    <t>Redwood Republic</t>
  </si>
  <si>
    <t>Teddy Swims</t>
  </si>
  <si>
    <t>Bad Dreams</t>
  </si>
  <si>
    <t>https://www.youtube.com/watch?v=Qh8QwVYOSVU</t>
  </si>
  <si>
    <t>Meridia</t>
  </si>
  <si>
    <t>Nilusi</t>
  </si>
  <si>
    <t>Boru Kata</t>
  </si>
  <si>
    <t>https://youtu.be/4Y1djb7v-jo</t>
  </si>
  <si>
    <t>Papendink</t>
  </si>
  <si>
    <t>Brutalismus 3000</t>
  </si>
  <si>
    <t>Europaträume</t>
  </si>
  <si>
    <t>https://www.youtube.com/watch?v=qBPdU57antg</t>
  </si>
  <si>
    <t>Roxma Nova</t>
  </si>
  <si>
    <t>Pupociklu Vasara</t>
  </si>
  <si>
    <t>Ganiņš</t>
  </si>
  <si>
    <t>https://youtu.be/f-Vy-Qoxh0c</t>
  </si>
  <si>
    <t>Öösingimäed</t>
  </si>
  <si>
    <t>carbeau</t>
  </si>
  <si>
    <t>Regno</t>
  </si>
  <si>
    <t>https://youtu.be/nNYeZPff1G8?feature=shared</t>
  </si>
  <si>
    <t>Vermilion</t>
  </si>
  <si>
    <t>Arilena Ara</t>
  </si>
  <si>
    <t>Weightless</t>
  </si>
  <si>
    <t>https://youtu.be/wzPy6vG0gEE?si=GcgxcXhHN1UP3QsS</t>
  </si>
  <si>
    <t>United Kingdom of Destrion</t>
  </si>
  <si>
    <t>DJ Lag ft. Jazz Alonso</t>
  </si>
  <si>
    <t>Oke Oke</t>
  </si>
  <si>
    <t>https://www.youtube.com/watch?v=a42ZKSMn9nU&amp;ab_channel=DJLAG</t>
  </si>
  <si>
    <t>Södermalm</t>
  </si>
  <si>
    <t>Elinborg</t>
  </si>
  <si>
    <t>Sjórok</t>
  </si>
  <si>
    <t>https://youtu.be/49bV7xfdlAQ?si=w0yONH9C6dp0mfkL</t>
  </si>
  <si>
    <t>Carpentaria</t>
  </si>
  <si>
    <t>Teddy Bears ft. Iggy Pop</t>
  </si>
  <si>
    <t>Punkrocker</t>
  </si>
  <si>
    <t>https://www.youtube.com/watch?v=4lYIhKhgIuY</t>
  </si>
  <si>
    <t>Biflovatia</t>
  </si>
  <si>
    <t>Mefjus &amp; Camo &amp; Krooked</t>
  </si>
  <si>
    <t>Sientelo</t>
  </si>
  <si>
    <t>https://www.youtube.com/watch?v=gOpAr0UiT6Q</t>
  </si>
  <si>
    <t>Comino</t>
  </si>
  <si>
    <t>Wet Leg</t>
  </si>
  <si>
    <t>Catch These Fists</t>
  </si>
  <si>
    <t>https://youtu.be/6Kjz89xYmS4?si=NGhSpV9clQDkDDnm</t>
  </si>
  <si>
    <t>Zombira</t>
  </si>
  <si>
    <t>SADU</t>
  </si>
  <si>
    <t>Luukered</t>
  </si>
  <si>
    <t>https://www.youtube.com/watch?v=PBHce3_47wU</t>
  </si>
  <si>
    <t>Halito</t>
  </si>
  <si>
    <t>Naethan Apollo</t>
  </si>
  <si>
    <t>ANYTHING 4 U</t>
  </si>
  <si>
    <t>https://www.youtube.com/watch?v=jjellZ6ml9U</t>
  </si>
  <si>
    <t>Trollheimr</t>
  </si>
  <si>
    <t>The Vad Vuc</t>
  </si>
  <si>
    <t>Fruntiera</t>
  </si>
  <si>
    <t>https://www.youtube.com/watch?v=Gd9bDlANT48</t>
  </si>
  <si>
    <t>Tamausia &amp; Deltannor</t>
  </si>
  <si>
    <t>Caroline Kingsbury</t>
  </si>
  <si>
    <t>Shock Treatment</t>
  </si>
  <si>
    <t>https://youtu.be/_-QKvoV2ofs?si=EHz4x9ik19IOuvBz</t>
  </si>
  <si>
    <t>Reym-L-Dneurb</t>
  </si>
  <si>
    <t>Anna Buchegger</t>
  </si>
  <si>
    <t>Kim Vorbei</t>
  </si>
  <si>
    <t>https://www.youtube.com/watch?v=mnOUj4pvOPU</t>
  </si>
  <si>
    <t>Grand Duchy of Strenci</t>
  </si>
  <si>
    <t>Ride</t>
  </si>
  <si>
    <t>Like a Daydream</t>
  </si>
  <si>
    <t>https://youtu.be/8zzo25t_eC8?si=SLOe1D9xKAyNxcmk</t>
  </si>
  <si>
    <t>Yaponesia</t>
  </si>
  <si>
    <t>Babychair x teeBai</t>
  </si>
  <si>
    <t>Time</t>
  </si>
  <si>
    <t>https://www.youtube.com/watch?v=hL4vkS4H0Uo</t>
  </si>
  <si>
    <t>Doire</t>
  </si>
  <si>
    <t>CMAT</t>
  </si>
  <si>
    <t>Euro-Country</t>
  </si>
  <si>
    <t>https://www.youtube.com/watch?v=_SVNTv44C4g</t>
  </si>
  <si>
    <t>MatiMati</t>
  </si>
  <si>
    <t>Barry Blum</t>
  </si>
  <si>
    <t>Yeti Theme</t>
  </si>
  <si>
    <t>https://youtube.com/watch?v=xgqJPmNDo8U</t>
  </si>
  <si>
    <t>Fervorosia</t>
  </si>
  <si>
    <t>MIKA</t>
  </si>
  <si>
    <t>C'est la vie</t>
  </si>
  <si>
    <t>https://www.youtube.com/watch?v=Oe7AU05BuZ8</t>
  </si>
  <si>
    <t>New Bander State</t>
  </si>
  <si>
    <t>LEMONSUCKR</t>
  </si>
  <si>
    <t>DEAD DISCO</t>
  </si>
  <si>
    <t>https://youtu.be/ZWJl-NWvV4E?list=RDZWJl-NWvV4E</t>
  </si>
  <si>
    <t>Dalisska</t>
  </si>
  <si>
    <t>Zimmer90</t>
  </si>
  <si>
    <t>Whatever</t>
  </si>
  <si>
    <t>https://www.youtube.com/watch?v=jVHfhEhAXE4&amp;ab_channel=Zimmer90</t>
  </si>
  <si>
    <t>Rehi Kaita</t>
  </si>
  <si>
    <t>RoBERT</t>
  </si>
  <si>
    <t>Tout ce qu'on dit de toi</t>
  </si>
  <si>
    <t>https://youtu.be/goX2JwLIlZQ?si=EX_EFDZbZk20kgtf</t>
  </si>
  <si>
    <t>Vylkuzeme</t>
  </si>
  <si>
    <t>Mr. Hurley &amp; Die Pulveraffen feat. Warkings</t>
  </si>
  <si>
    <t>All Hail The Captain</t>
  </si>
  <si>
    <t>https://www.youtube.com/watch?v=qSNh-b8pw3Y</t>
  </si>
  <si>
    <t>Inzinimirit</t>
  </si>
  <si>
    <t>Csinszka</t>
  </si>
  <si>
    <t>Airday</t>
  </si>
  <si>
    <t>https://www.youtube.com/watch?v=6Ed41ISsP0Y&amp;ab_channel=Csinszka</t>
  </si>
  <si>
    <t>Rumia</t>
  </si>
  <si>
    <t>Golec uOrkiestra</t>
  </si>
  <si>
    <t>Ściernisco</t>
  </si>
  <si>
    <t>https://www.youtube.com/watch?v=yrJ_lzYGJdg</t>
  </si>
  <si>
    <t>Dež Republic</t>
  </si>
  <si>
    <t>Black Veil Brides</t>
  </si>
  <si>
    <t>Bleeders</t>
  </si>
  <si>
    <t>https://www.youtube.com/watch?v=AThcMJmiTXI</t>
  </si>
  <si>
    <t>Bála Kunmenai</t>
  </si>
  <si>
    <t>Carla's Dreams</t>
  </si>
  <si>
    <t>Luna</t>
  </si>
  <si>
    <t>https://www.youtube.com/watch?v=D0QT3ZULTaI</t>
  </si>
  <si>
    <t>Tcher-Racoi</t>
  </si>
  <si>
    <t>Ягода</t>
  </si>
  <si>
    <t>Три девицы</t>
  </si>
  <si>
    <t>https://www.youtube.com/watch?v=0e2Ls3JmJbw</t>
  </si>
  <si>
    <t>Orsa</t>
  </si>
  <si>
    <t>Yasunori Nishiki</t>
  </si>
  <si>
    <t>The Uncharted Isle of Orsa</t>
  </si>
  <si>
    <t>https://www.youtube.com/watch?v=KPBp8oB6nM4</t>
  </si>
  <si>
    <t>Endórë</t>
  </si>
  <si>
    <t>ZAZ</t>
  </si>
  <si>
    <t>Mon coeur es fou</t>
  </si>
  <si>
    <t>https://youtu.be/myM25b5QpCY?si=pcR1UM7k9EXV4Uu_</t>
  </si>
  <si>
    <t>Kordavian Islands</t>
  </si>
  <si>
    <t>Natalia Doco and Devendra Banhart</t>
  </si>
  <si>
    <t>Quedate Luna</t>
  </si>
  <si>
    <t>https://www.youtube.com/watch?v=oRW4pSg64WY&amp;ab_channel=millemon-electronic%2Fworldmusic</t>
  </si>
  <si>
    <t>Belvist</t>
  </si>
  <si>
    <t>Novi</t>
  </si>
  <si>
    <t>Shadow Heart</t>
  </si>
  <si>
    <t>https://www.youtube.com/watch?v=4jtZZgzcrJg</t>
  </si>
  <si>
    <t>Aimūlli</t>
  </si>
  <si>
    <t>Renaissance</t>
  </si>
  <si>
    <t>Opening Out</t>
  </si>
  <si>
    <t>https://www.youtube.com/watch?v=wiD8PeY3vBM</t>
  </si>
  <si>
    <t>Xochimilia</t>
  </si>
  <si>
    <t>Mobley</t>
  </si>
  <si>
    <t>Infinite Sunrise</t>
  </si>
  <si>
    <t>https://www.youtube.com/watch?v=oMVJYq6pCug</t>
  </si>
  <si>
    <t>Konthena</t>
  </si>
  <si>
    <t>breathe.</t>
  </si>
  <si>
    <t>Grace</t>
  </si>
  <si>
    <t>https://youtu.be/gDGVgueUmBk?si=oXzE5vUO3XHdWNV9</t>
  </si>
  <si>
    <t>Tír an Abhainn</t>
  </si>
  <si>
    <t>boipepperoni, Mahavok</t>
  </si>
  <si>
    <t>Tants Läbi Elu</t>
  </si>
  <si>
    <t>https://youtu.be/_BqLTdEAut4?si=E8J5WIsUZ5dx3e4_</t>
  </si>
  <si>
    <t>Calypso</t>
  </si>
  <si>
    <t>bb sway</t>
  </si>
  <si>
    <t>Why'd You Think I Called You On The Phone?</t>
  </si>
  <si>
    <t>https://www.youtube.com/watch?v=qxCuRDXyrlI</t>
  </si>
  <si>
    <t>SEMIFINAL 1</t>
  </si>
  <si>
    <t>SEMIFINAL 2</t>
  </si>
  <si>
    <t>Federal Republic of Meridia</t>
  </si>
  <si>
    <t>Cydoni Gibberia</t>
  </si>
  <si>
    <t>UK of Destrion</t>
  </si>
  <si>
    <t>Emsfrynt</t>
  </si>
  <si>
    <t>Rahasia Diati</t>
  </si>
  <si>
    <t>Inzinimirit / Xhu</t>
  </si>
  <si>
    <t>PQ1</t>
  </si>
  <si>
    <t>PQ2</t>
  </si>
  <si>
    <t>PQ3</t>
  </si>
  <si>
    <t>Waiting Iist of Shelly &amp; Nici</t>
  </si>
  <si>
    <t>TOTAL PTS</t>
  </si>
  <si>
    <t>PLACE</t>
  </si>
  <si>
    <t># VOTERS</t>
  </si>
  <si>
    <t>X</t>
  </si>
  <si>
    <t>SEMIFINAL 1 REJU</t>
  </si>
  <si>
    <t>TOTAL</t>
  </si>
  <si>
    <t>BONUS</t>
  </si>
  <si>
    <t>SEMIFINAL 2 REJU</t>
  </si>
  <si>
    <t>#VOTERS</t>
  </si>
  <si>
    <t>FINAL</t>
  </si>
  <si>
    <t>PAPENDINK</t>
  </si>
  <si>
    <t>SF2#REJU</t>
  </si>
  <si>
    <t>TCHER-RACOI</t>
  </si>
  <si>
    <t>SF#9</t>
  </si>
  <si>
    <t>SVOBODNIA</t>
  </si>
  <si>
    <t>SF2#1</t>
  </si>
  <si>
    <t>TÍR AN ABHAINN</t>
  </si>
  <si>
    <t>GRIFFIN EMPIRE</t>
  </si>
  <si>
    <t>ZOMBIRA</t>
  </si>
  <si>
    <t>SF#1</t>
  </si>
  <si>
    <t>UGALY</t>
  </si>
  <si>
    <t>SF#6</t>
  </si>
  <si>
    <t>NEW BANDER STATE</t>
  </si>
  <si>
    <t>SF2#9</t>
  </si>
  <si>
    <t>SÖDERMALM</t>
  </si>
  <si>
    <t>SF2#2</t>
  </si>
  <si>
    <t xml:space="preserve"> </t>
  </si>
  <si>
    <t>SZIMBAYA KINGDOM</t>
  </si>
  <si>
    <t>SF#8</t>
  </si>
  <si>
    <t>TROLLHEIMR</t>
  </si>
  <si>
    <t>SF2#5</t>
  </si>
  <si>
    <t>EMSFRYNT</t>
  </si>
  <si>
    <t>SF#10</t>
  </si>
  <si>
    <t>REHI KAITA</t>
  </si>
  <si>
    <t>SF#3</t>
  </si>
  <si>
    <t>NEW ACADIA</t>
  </si>
  <si>
    <t>SF2#6</t>
  </si>
  <si>
    <t>ROXMA NOVA</t>
  </si>
  <si>
    <t>KONTHENA</t>
  </si>
  <si>
    <t>SF#REJU</t>
  </si>
  <si>
    <t>XOCHIMILIA</t>
  </si>
  <si>
    <t>KIMMYSTAN</t>
  </si>
  <si>
    <t>SF2#4</t>
  </si>
  <si>
    <t>ENDÓRË</t>
  </si>
  <si>
    <t>SF2#8</t>
  </si>
  <si>
    <t>WAITING IIST</t>
  </si>
  <si>
    <t>SF#4</t>
  </si>
  <si>
    <t>RAHASIA DIATI</t>
  </si>
  <si>
    <t>SF2#10</t>
  </si>
  <si>
    <t>BELVIST</t>
  </si>
  <si>
    <t>VYLKUZEME</t>
  </si>
  <si>
    <t>SF#5</t>
  </si>
  <si>
    <t>RUMIA</t>
  </si>
  <si>
    <t>SF#7</t>
  </si>
  <si>
    <t>FIERRARIA</t>
  </si>
  <si>
    <t>SF2#3</t>
  </si>
  <si>
    <t>GRAND DUCHY OF STRENCI</t>
  </si>
  <si>
    <t>SF2#7</t>
  </si>
  <si>
    <t>ÖÖSINGIMÄED</t>
  </si>
  <si>
    <t>SF#2</t>
  </si>
  <si>
    <t>BEGONIA</t>
  </si>
  <si>
    <t>#Voters</t>
  </si>
  <si>
    <t>Rahasia-Diati</t>
  </si>
  <si>
    <t>Waiting List (WL)</t>
  </si>
  <si>
    <t>WAITING IIST OF SHELLEY &amp; NICI</t>
  </si>
  <si>
    <t>RAHASIA-DIATI</t>
  </si>
  <si>
    <t>WAITING LIST JURY</t>
  </si>
  <si>
    <t>Dez Republic</t>
  </si>
  <si>
    <t>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</si>
</sst>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\#0"/>
  </numFmts>
  <fonts count="43">
    <font>
      <sz val="10.0"/>
      <color rgb="FF000000"/>
      <name val="Arial"/>
      <scheme val="minor"/>
    </font>
    <font>
      <sz val="13.0"/>
      <color theme="1"/>
      <name val="Proxima Nova"/>
    </font>
    <font>
      <b/>
      <sz val="13.0"/>
      <color rgb="FFFFFFFF"/>
      <name val="Proxima Nova"/>
    </font>
    <font>
      <u/>
      <sz val="13.0"/>
      <color rgb="FF0000FF"/>
      <name val="Proxima Nova"/>
    </font>
    <font>
      <u/>
      <color rgb="FF0000FF"/>
    </font>
    <font>
      <u/>
      <sz val="13.0"/>
      <color rgb="FF0000FF"/>
      <name val="Proxima Nova"/>
    </font>
    <font>
      <sz val="17.0"/>
      <color theme="1"/>
      <name val="Proxima Nova"/>
    </font>
    <font>
      <b/>
      <sz val="17.0"/>
      <color rgb="FFFFFFFF"/>
      <name val="Proxima Nova"/>
    </font>
    <font>
      <b/>
      <sz val="17.0"/>
      <color rgb="FFB45F06"/>
      <name val="Proxima Nova"/>
    </font>
    <font>
      <b/>
      <sz val="12.0"/>
      <color rgb="FFE69138"/>
      <name val="Proxima Nova"/>
    </font>
    <font>
      <b/>
      <sz val="12.0"/>
      <color rgb="FFFFFFFF"/>
      <name val="Proxima Nova"/>
    </font>
    <font>
      <b/>
      <sz val="12.0"/>
      <color rgb="FFEFEFEF"/>
      <name val="Proxima Nova"/>
    </font>
    <font>
      <b/>
      <sz val="12.0"/>
      <color rgb="FF666666"/>
      <name val="Proxima Nova"/>
    </font>
    <font>
      <color theme="1"/>
      <name val="Arial"/>
      <scheme val="minor"/>
    </font>
    <font>
      <b/>
      <sz val="23.0"/>
      <color rgb="FFE69138"/>
      <name val="Proxima Nova"/>
    </font>
    <font>
      <sz val="11.0"/>
      <color rgb="FFFFFFFF"/>
      <name val="Proxima Nova"/>
    </font>
    <font>
      <b/>
      <sz val="11.0"/>
      <color rgb="FFF3F3F3"/>
      <name val="Proxima Nova"/>
    </font>
    <font>
      <b/>
      <sz val="11.0"/>
      <color rgb="FFEFEFEF"/>
      <name val="Proxima Nova"/>
    </font>
    <font>
      <sz val="11.0"/>
      <color rgb="FFD9D9D9"/>
      <name val="Proxima Nova"/>
    </font>
    <font>
      <sz val="11.0"/>
      <color theme="1"/>
      <name val="Proxima Nova"/>
    </font>
    <font>
      <b/>
      <sz val="11.0"/>
      <color rgb="FFFFFFFF"/>
      <name val="Proxima Nova"/>
    </font>
    <font>
      <i/>
      <sz val="11.0"/>
      <color rgb="FFFFFFFF"/>
      <name val="Proxima Nova"/>
    </font>
    <font>
      <b/>
      <sz val="11.0"/>
      <color rgb="FF434343"/>
      <name val="Proxima Nova"/>
    </font>
    <font>
      <color theme="1"/>
      <name val="Proxima Nova"/>
    </font>
    <font>
      <color rgb="FFFFFFFF"/>
      <name val="Proxima Nova"/>
    </font>
    <font>
      <color rgb="FFFFFFFF"/>
      <name val="Arial"/>
      <scheme val="minor"/>
    </font>
    <font>
      <b/>
      <sz val="17.0"/>
      <color rgb="FFE69138"/>
      <name val="Proxima Nova"/>
    </font>
    <font>
      <b/>
      <sz val="11.0"/>
      <color theme="1"/>
      <name val="Proxima Nova"/>
    </font>
    <font>
      <i/>
      <color rgb="FFFFFFFF"/>
      <name val="Proxima Nova"/>
    </font>
    <font>
      <b/>
      <color theme="1"/>
      <name val="Proxima Nova"/>
    </font>
    <font>
      <color rgb="FFCCCCCC"/>
      <name val="Proxima Nova"/>
    </font>
    <font>
      <sz val="11.0"/>
      <color rgb="FF434343"/>
      <name val="Proxima Nova"/>
    </font>
    <font>
      <sz val="10.0"/>
      <color rgb="FFB45F06"/>
      <name val="Proxima Nova"/>
    </font>
    <font>
      <i/>
      <sz val="12.0"/>
      <color rgb="FFFFFFFF"/>
      <name val="Proxima Nova"/>
    </font>
    <font>
      <i/>
      <sz val="10.0"/>
      <color rgb="FFB45F06"/>
      <name val="Proxima Nova"/>
    </font>
    <font>
      <b/>
      <sz val="10.0"/>
      <color rgb="FFB45F06"/>
      <name val="Proxima Nova"/>
    </font>
    <font>
      <sz val="13.0"/>
      <color rgb="FFFFFFFF"/>
      <name val="Proxima Nova"/>
    </font>
    <font>
      <sz val="13.0"/>
      <color rgb="FF434343"/>
      <name val="Proxima Nova"/>
    </font>
    <font>
      <sz val="12.0"/>
      <color rgb="FFFFFFFF"/>
      <name val="Proxima Nova"/>
    </font>
    <font>
      <i/>
      <sz val="11.0"/>
      <color rgb="FFB45F06"/>
      <name val="Proxima Nova"/>
    </font>
    <font>
      <sz val="11.0"/>
      <color rgb="FFB45F06"/>
      <name val="Proxima Nova"/>
    </font>
    <font>
      <b/>
      <color rgb="FFF3F3F3"/>
      <name val="Proxima Nova"/>
    </font>
    <font>
      <color rgb="FFF3F3F3"/>
      <name val="Proxima Nova"/>
    </font>
  </fonts>
  <fills count="1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783F04"/>
        <bgColor rgb="FF783F04"/>
      </patternFill>
    </fill>
    <fill>
      <patternFill patternType="solid">
        <fgColor rgb="FF434343"/>
        <bgColor rgb="FF434343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6" numFmtId="0" xfId="0" applyFont="1"/>
    <xf borderId="0" fillId="3" fontId="7" numFmtId="0" xfId="0" applyAlignment="1" applyFill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5" fontId="9" numFmtId="0" xfId="0" applyAlignment="1" applyFill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6" fontId="11" numFmtId="0" xfId="0" applyAlignment="1" applyFill="1" applyFont="1">
      <alignment horizontal="center" readingOrder="0"/>
    </xf>
    <xf borderId="0" fillId="7" fontId="12" numFmtId="0" xfId="0" applyAlignment="1" applyFill="1" applyFont="1">
      <alignment horizontal="center" readingOrder="0"/>
    </xf>
    <xf borderId="0" fillId="7" fontId="12" numFmtId="0" xfId="0" applyAlignment="1" applyFont="1">
      <alignment horizontal="center"/>
    </xf>
    <xf borderId="0" fillId="2" fontId="10" numFmtId="0" xfId="0" applyAlignment="1" applyFont="1">
      <alignment horizontal="center"/>
    </xf>
    <xf borderId="0" fillId="6" fontId="13" numFmtId="0" xfId="0" applyFont="1"/>
    <xf borderId="0" fillId="5" fontId="14" numFmtId="0" xfId="0" applyAlignment="1" applyFont="1">
      <alignment horizontal="center" readingOrder="0" vertical="center"/>
    </xf>
    <xf borderId="0" fillId="8" fontId="15" numFmtId="0" xfId="0" applyAlignment="1" applyFill="1" applyFont="1">
      <alignment horizontal="center" readingOrder="0" textRotation="90"/>
    </xf>
    <xf borderId="0" fillId="9" fontId="16" numFmtId="0" xfId="0" applyAlignment="1" applyFill="1" applyFont="1">
      <alignment horizontal="center" textRotation="90" vertical="bottom"/>
    </xf>
    <xf borderId="0" fillId="3" fontId="17" numFmtId="0" xfId="0" applyAlignment="1" applyFont="1">
      <alignment horizontal="center" textRotation="90" vertical="bottom"/>
    </xf>
    <xf borderId="0" fillId="2" fontId="17" numFmtId="0" xfId="0" applyAlignment="1" applyFont="1">
      <alignment horizontal="center" readingOrder="0" textRotation="90" vertical="bottom"/>
    </xf>
    <xf borderId="0" fillId="10" fontId="18" numFmtId="0" xfId="0" applyAlignment="1" applyFill="1" applyFont="1">
      <alignment horizontal="right" readingOrder="0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3" fontId="20" numFmtId="0" xfId="0" applyAlignment="1" applyFont="1">
      <alignment horizontal="center" vertical="bottom"/>
    </xf>
    <xf borderId="0" fillId="2" fontId="21" numFmtId="165" xfId="0" applyAlignment="1" applyFont="1" applyNumberFormat="1">
      <alignment horizontal="center" vertical="bottom"/>
    </xf>
    <xf borderId="0" fillId="11" fontId="21" numFmtId="0" xfId="0" applyAlignment="1" applyFill="1" applyFont="1">
      <alignment horizontal="center" vertical="bottom"/>
    </xf>
    <xf borderId="0" fillId="12" fontId="22" numFmtId="0" xfId="0" applyAlignment="1" applyFill="1" applyFont="1">
      <alignment horizontal="right" readingOrder="0"/>
    </xf>
    <xf borderId="0" fillId="13" fontId="15" numFmtId="0" xfId="0" applyAlignment="1" applyFill="1" applyFont="1">
      <alignment horizontal="right" readingOrder="0"/>
    </xf>
    <xf borderId="0" fillId="14" fontId="15" numFmtId="0" xfId="0" applyAlignment="1" applyFill="1" applyFont="1">
      <alignment horizontal="center"/>
    </xf>
    <xf borderId="0" fillId="14" fontId="15" numFmtId="0" xfId="0" applyAlignment="1" applyFont="1">
      <alignment horizontal="center" readingOrder="0"/>
    </xf>
    <xf borderId="0" fillId="13" fontId="20" numFmtId="0" xfId="0" applyAlignment="1" applyFont="1">
      <alignment horizontal="center" vertical="bottom"/>
    </xf>
    <xf borderId="0" fillId="14" fontId="21" numFmtId="165" xfId="0" applyAlignment="1" applyFont="1" applyNumberFormat="1">
      <alignment horizontal="center" vertical="bottom"/>
    </xf>
    <xf borderId="0" fillId="14" fontId="21" numFmtId="0" xfId="0" applyAlignment="1" applyFont="1">
      <alignment horizontal="center" vertical="bottom"/>
    </xf>
    <xf borderId="0" fillId="4" fontId="23" numFmtId="0" xfId="0" applyAlignment="1" applyFont="1">
      <alignment horizontal="center"/>
    </xf>
    <xf borderId="0" fillId="2" fontId="24" numFmtId="0" xfId="0" applyFont="1"/>
    <xf borderId="0" fillId="11" fontId="24" numFmtId="0" xfId="0" applyAlignment="1" applyFont="1">
      <alignment horizontal="center"/>
    </xf>
    <xf borderId="0" fillId="2" fontId="25" numFmtId="0" xfId="0" applyFont="1"/>
    <xf borderId="0" fillId="2" fontId="13" numFmtId="0" xfId="0" applyAlignment="1" applyFont="1">
      <alignment horizontal="right"/>
    </xf>
    <xf borderId="0" fillId="0" fontId="13" numFmtId="0" xfId="0" applyAlignment="1" applyFont="1">
      <alignment horizontal="right"/>
    </xf>
    <xf borderId="0" fillId="0" fontId="23" numFmtId="0" xfId="0" applyFont="1"/>
    <xf borderId="0" fillId="5" fontId="26" numFmtId="0" xfId="0" applyAlignment="1" applyFont="1">
      <alignment horizontal="center" readingOrder="0" vertical="center"/>
    </xf>
    <xf borderId="0" fillId="10" fontId="20" numFmtId="0" xfId="0" applyAlignment="1" applyFont="1">
      <alignment horizontal="center" readingOrder="0" textRotation="90"/>
    </xf>
    <xf borderId="0" fillId="6" fontId="20" numFmtId="0" xfId="0" applyAlignment="1" applyFont="1">
      <alignment horizontal="center" readingOrder="0" textRotation="90"/>
    </xf>
    <xf borderId="0" fillId="2" fontId="20" numFmtId="0" xfId="0" applyAlignment="1" applyFont="1">
      <alignment horizontal="center" readingOrder="0" textRotation="90"/>
    </xf>
    <xf borderId="0" fillId="15" fontId="22" numFmtId="0" xfId="0" applyAlignment="1" applyFill="1" applyFont="1">
      <alignment horizontal="center" readingOrder="0" textRotation="180"/>
    </xf>
    <xf borderId="0" fillId="15" fontId="27" numFmtId="0" xfId="0" applyAlignment="1" applyFont="1">
      <alignment horizontal="center" readingOrder="0" textRotation="180"/>
    </xf>
    <xf borderId="0" fillId="9" fontId="20" numFmtId="0" xfId="0" applyAlignment="1" applyFont="1">
      <alignment horizontal="center"/>
    </xf>
    <xf borderId="0" fillId="3" fontId="28" numFmtId="0" xfId="0" applyAlignment="1" applyFont="1">
      <alignment horizontal="center"/>
    </xf>
    <xf borderId="0" fillId="4" fontId="27" numFmtId="0" xfId="0" applyAlignment="1" applyFont="1">
      <alignment horizontal="center"/>
    </xf>
    <xf borderId="0" fillId="6" fontId="24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center" readingOrder="0"/>
    </xf>
    <xf borderId="0" fillId="4" fontId="27" numFmtId="0" xfId="0" applyAlignment="1" applyFont="1">
      <alignment horizontal="center" readingOrder="0"/>
    </xf>
    <xf borderId="0" fillId="4" fontId="29" numFmtId="0" xfId="0" applyAlignment="1" applyFont="1">
      <alignment horizontal="center" readingOrder="0"/>
    </xf>
    <xf borderId="0" fillId="12" fontId="23" numFmtId="0" xfId="0" applyFont="1"/>
    <xf borderId="0" fillId="6" fontId="30" numFmtId="0" xfId="0" applyAlignment="1" applyFont="1">
      <alignment horizontal="center"/>
    </xf>
    <xf borderId="0" fillId="6" fontId="23" numFmtId="0" xfId="0" applyFont="1"/>
    <xf borderId="0" fillId="7" fontId="31" numFmtId="0" xfId="0" applyAlignment="1" applyFont="1">
      <alignment horizontal="center" readingOrder="0" textRotation="90"/>
    </xf>
    <xf borderId="0" fillId="9" fontId="16" numFmtId="0" xfId="0" applyAlignment="1" applyFont="1">
      <alignment horizontal="center" readingOrder="0" textRotation="90"/>
    </xf>
    <xf borderId="0" fillId="3" fontId="17" numFmtId="0" xfId="0" applyAlignment="1" applyFont="1">
      <alignment horizontal="center" readingOrder="0" textRotation="90"/>
    </xf>
    <xf borderId="0" fillId="2" fontId="17" numFmtId="0" xfId="0" applyAlignment="1" applyFont="1">
      <alignment horizontal="center" readingOrder="0" textRotation="90"/>
    </xf>
    <xf borderId="0" fillId="3" fontId="20" numFmtId="0" xfId="0" applyAlignment="1" applyFont="1">
      <alignment horizontal="center"/>
    </xf>
    <xf borderId="0" fillId="2" fontId="21" numFmtId="165" xfId="0" applyAlignment="1" applyFont="1" applyNumberFormat="1">
      <alignment horizontal="center"/>
    </xf>
    <xf borderId="0" fillId="11" fontId="21" numFmtId="0" xfId="0" applyAlignment="1" applyFont="1">
      <alignment horizontal="center"/>
    </xf>
    <xf borderId="0" fillId="16" fontId="23" numFmtId="0" xfId="0" applyFill="1" applyFont="1"/>
    <xf borderId="0" fillId="2" fontId="24" numFmtId="0" xfId="0" applyAlignment="1" applyFont="1">
      <alignment horizontal="center"/>
    </xf>
    <xf borderId="0" fillId="2" fontId="23" numFmtId="0" xfId="0" applyFont="1"/>
    <xf borderId="0" fillId="0" fontId="19" numFmtId="0" xfId="0" applyFont="1"/>
    <xf borderId="0" fillId="10" fontId="20" numFmtId="0" xfId="0" applyAlignment="1" applyFont="1">
      <alignment horizontal="center" readingOrder="0" textRotation="180" vertical="bottom"/>
    </xf>
    <xf borderId="0" fillId="6" fontId="20" numFmtId="0" xfId="0" applyAlignment="1" applyFont="1">
      <alignment horizontal="center" readingOrder="0" textRotation="180" vertical="bottom"/>
    </xf>
    <xf borderId="0" fillId="2" fontId="20" numFmtId="0" xfId="0" applyAlignment="1" applyFont="1">
      <alignment horizontal="center" readingOrder="0" textRotation="180" vertical="bottom"/>
    </xf>
    <xf borderId="0" fillId="15" fontId="27" numFmtId="0" xfId="0" applyAlignment="1" applyFont="1">
      <alignment horizontal="center" readingOrder="0" textRotation="180" vertical="bottom"/>
    </xf>
    <xf borderId="0" fillId="3" fontId="21" numFmtId="0" xfId="0" applyAlignment="1" applyFont="1">
      <alignment horizontal="center"/>
    </xf>
    <xf borderId="0" fillId="11" fontId="27" numFmtId="0" xfId="0" applyAlignment="1" applyFont="1">
      <alignment horizontal="center"/>
    </xf>
    <xf borderId="0" fillId="8" fontId="15" numFmtId="0" xfId="0" applyAlignment="1" applyFont="1">
      <alignment horizontal="center" readingOrder="0"/>
    </xf>
    <xf borderId="0" fillId="11" fontId="27" numFmtId="0" xfId="0" applyAlignment="1" applyFont="1">
      <alignment horizontal="center" readingOrder="0"/>
    </xf>
    <xf borderId="0" fillId="3" fontId="19" numFmtId="0" xfId="0" applyFont="1"/>
    <xf borderId="0" fillId="4" fontId="32" numFmtId="0" xfId="0" applyAlignment="1" applyFont="1">
      <alignment horizontal="center"/>
    </xf>
    <xf borderId="0" fillId="6" fontId="7" numFmtId="0" xfId="0" applyAlignment="1" applyFont="1">
      <alignment horizontal="center" readingOrder="0"/>
    </xf>
    <xf borderId="0" fillId="2" fontId="33" numFmtId="0" xfId="0" applyAlignment="1" applyFont="1">
      <alignment horizontal="center" readingOrder="0"/>
    </xf>
    <xf borderId="0" fillId="4" fontId="34" numFmtId="0" xfId="0" applyAlignment="1" applyFont="1">
      <alignment horizontal="center" readingOrder="0"/>
    </xf>
    <xf borderId="0" fillId="4" fontId="35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17" fontId="13" numFmtId="0" xfId="0" applyFill="1" applyFont="1"/>
    <xf borderId="0" fillId="5" fontId="13" numFmtId="0" xfId="0" applyFont="1"/>
    <xf borderId="0" fillId="4" fontId="13" numFmtId="0" xfId="0" applyFont="1"/>
    <xf borderId="0" fillId="9" fontId="36" numFmtId="0" xfId="0" applyAlignment="1" applyFont="1">
      <alignment horizontal="center" readingOrder="0" textRotation="90"/>
    </xf>
    <xf borderId="0" fillId="3" fontId="36" numFmtId="0" xfId="0" applyAlignment="1" applyFont="1">
      <alignment horizontal="center" readingOrder="0" textRotation="90"/>
    </xf>
    <xf borderId="0" fillId="2" fontId="37" numFmtId="0" xfId="0" applyAlignment="1" applyFont="1">
      <alignment horizontal="center" readingOrder="0" textRotation="90"/>
    </xf>
    <xf borderId="0" fillId="10" fontId="38" numFmtId="0" xfId="0" applyAlignment="1" applyFont="1">
      <alignment horizontal="right" readingOrder="0"/>
    </xf>
    <xf borderId="0" fillId="2" fontId="20" numFmtId="0" xfId="0" applyAlignment="1" applyFont="1">
      <alignment horizontal="center" readingOrder="0"/>
    </xf>
    <xf borderId="0" fillId="11" fontId="39" numFmtId="165" xfId="0" applyAlignment="1" applyFont="1" applyNumberFormat="1">
      <alignment horizontal="center"/>
    </xf>
    <xf borderId="0" fillId="16" fontId="40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6" fontId="41" numFmtId="0" xfId="0" applyAlignment="1" applyFont="1">
      <alignment horizontal="right"/>
    </xf>
    <xf borderId="0" fillId="6" fontId="42" numFmtId="0" xfId="0" applyAlignment="1" applyFont="1">
      <alignment horizontal="center"/>
    </xf>
  </cellXfs>
  <cellStyles count="1">
    <cellStyle xfId="0" name="Normal" builtinId="0"/>
  </cellStyles>
  <dxfs count="14">
    <dxf>
      <font>
        <b/>
        <color rgb="FFFFFFFF"/>
      </font>
      <fill>
        <patternFill patternType="solid">
          <fgColor theme="8"/>
          <bgColor theme="8"/>
        </patternFill>
      </fill>
      <border/>
    </dxf>
    <dxf>
      <font>
        <b/>
        <color rgb="FFFFFFFF"/>
      </font>
      <fill>
        <patternFill patternType="solid">
          <fgColor theme="1"/>
          <bgColor theme="1"/>
        </patternFill>
      </fill>
      <border/>
    </dxf>
    <dxf>
      <font>
        <b/>
        <color rgb="FFFFFFFF"/>
      </font>
      <fill>
        <patternFill patternType="solid">
          <fgColor rgb="FFB45F06"/>
          <bgColor rgb="FFB45F06"/>
        </patternFill>
      </fill>
      <border/>
    </dxf>
    <dxf>
      <font>
        <b/>
      </font>
      <fill>
        <patternFill patternType="solid">
          <fgColor rgb="FFE69138"/>
          <bgColor rgb="FFE69138"/>
        </patternFill>
      </fill>
      <border/>
    </dxf>
    <dxf>
      <font>
        <color theme="0"/>
      </font>
      <fill>
        <patternFill patternType="solid">
          <fgColor rgb="FFCC4125"/>
          <bgColor rgb="FFCC4125"/>
        </patternFill>
      </fill>
      <border/>
    </dxf>
    <dxf>
      <font>
        <b/>
        <color theme="0"/>
      </font>
      <fill>
        <patternFill patternType="solid">
          <fgColor rgb="FFCC0000"/>
          <bgColor rgb="FFCC0000"/>
        </patternFill>
      </fill>
      <border/>
    </dxf>
    <dxf>
      <font>
        <b/>
      </font>
      <fill>
        <patternFill patternType="solid">
          <fgColor rgb="FFEFEFEF"/>
          <bgColor rgb="FFEFEFEF"/>
        </patternFill>
      </fill>
      <border/>
    </dxf>
    <dxf>
      <font>
        <b/>
        <color rgb="FFFFFFFF"/>
      </font>
      <fill>
        <patternFill patternType="solid">
          <fgColor rgb="FFE69138"/>
          <bgColor rgb="FFE69138"/>
        </patternFill>
      </fill>
      <border/>
    </dxf>
    <dxf>
      <font>
        <b/>
        <color rgb="FFFFFFFF"/>
      </font>
      <fill>
        <patternFill patternType="solid">
          <fgColor rgb="FF000000"/>
          <bgColor rgb="FF000000"/>
        </patternFill>
      </fill>
      <border/>
    </dxf>
    <dxf>
      <font>
        <color theme="0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CC4125"/>
          <bgColor rgb="FFCC4125"/>
        </patternFill>
      </fill>
      <border/>
    </dxf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>
        <color rgb="FF666666"/>
      </font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be.com/watch?v=xgqJPmNDo8U" TargetMode="External"/><Relationship Id="rId42" Type="http://schemas.openxmlformats.org/officeDocument/2006/relationships/hyperlink" Target="https://youtu.be/ZWJl-NWvV4E?list=RDZWJl-NWvV4E" TargetMode="External"/><Relationship Id="rId41" Type="http://schemas.openxmlformats.org/officeDocument/2006/relationships/hyperlink" Target="https://www.youtube.com/watch?v=Oe7AU05BuZ8" TargetMode="External"/><Relationship Id="rId44" Type="http://schemas.openxmlformats.org/officeDocument/2006/relationships/hyperlink" Target="https://youtu.be/goX2JwLIlZQ?si=EX_EFDZbZk20kgtf" TargetMode="External"/><Relationship Id="rId43" Type="http://schemas.openxmlformats.org/officeDocument/2006/relationships/hyperlink" Target="https://www.youtube.com/watch?v=jVHfhEhAXE4&amp;ab_channel=Zimmer90" TargetMode="External"/><Relationship Id="rId46" Type="http://schemas.openxmlformats.org/officeDocument/2006/relationships/hyperlink" Target="https://www.youtube.com/watch?v=6Ed41ISsP0Y&amp;ab_channel=Csinszka" TargetMode="External"/><Relationship Id="rId45" Type="http://schemas.openxmlformats.org/officeDocument/2006/relationships/hyperlink" Target="https://www.youtube.com/watch?v=qSNh-b8pw3Y" TargetMode="External"/><Relationship Id="rId1" Type="http://schemas.openxmlformats.org/officeDocument/2006/relationships/hyperlink" Target="http://www.youtube.com/watch?v=O1H9F7sC8Gg" TargetMode="External"/><Relationship Id="rId2" Type="http://schemas.openxmlformats.org/officeDocument/2006/relationships/hyperlink" Target="https://www.youtube.com/watch?v=2qCpY38ompo" TargetMode="External"/><Relationship Id="rId3" Type="http://schemas.openxmlformats.org/officeDocument/2006/relationships/hyperlink" Target="https://youtu.be/UAzpBEUkpvg?si=YQEGJlKlnASfQR13" TargetMode="External"/><Relationship Id="rId4" Type="http://schemas.openxmlformats.org/officeDocument/2006/relationships/hyperlink" Target="https://www.youtube.com/watch?v=9Qphhm-Dfx4&amp;embeds_referring_euri=https%3A%2F%2Fwww.escunited.com%2F&amp;source_ve_path=MjM4NTE" TargetMode="External"/><Relationship Id="rId9" Type="http://schemas.openxmlformats.org/officeDocument/2006/relationships/hyperlink" Target="https://youtu.be/wqK3N9JBIaQ?list=RDwqK3N9JBIaQ" TargetMode="External"/><Relationship Id="rId48" Type="http://schemas.openxmlformats.org/officeDocument/2006/relationships/hyperlink" Target="https://www.youtube.com/watch?v=AThcMJmiTXI" TargetMode="External"/><Relationship Id="rId47" Type="http://schemas.openxmlformats.org/officeDocument/2006/relationships/hyperlink" Target="https://www.youtube.com/watch?v=yrJ_lzYGJdg" TargetMode="External"/><Relationship Id="rId49" Type="http://schemas.openxmlformats.org/officeDocument/2006/relationships/hyperlink" Target="https://www.youtube.com/watch?v=D0QT3ZULTaI" TargetMode="External"/><Relationship Id="rId5" Type="http://schemas.openxmlformats.org/officeDocument/2006/relationships/hyperlink" Target="https://youtu.be/6Ro7NubzE9A?si=6TtBt8VOpCmGXYJH" TargetMode="External"/><Relationship Id="rId6" Type="http://schemas.openxmlformats.org/officeDocument/2006/relationships/hyperlink" Target="https://youtu.be/Yzbvv8WdP9k" TargetMode="External"/><Relationship Id="rId7" Type="http://schemas.openxmlformats.org/officeDocument/2006/relationships/hyperlink" Target="https://www.youtube.com/watch?v=Ls0WfopgR9k" TargetMode="External"/><Relationship Id="rId8" Type="http://schemas.openxmlformats.org/officeDocument/2006/relationships/hyperlink" Target="https://youtu.be/CgCVZdcKcqY" TargetMode="External"/><Relationship Id="rId31" Type="http://schemas.openxmlformats.org/officeDocument/2006/relationships/hyperlink" Target="https://youtu.be/6Kjz89xYmS4?si=NGhSpV9clQDkDDnm" TargetMode="External"/><Relationship Id="rId30" Type="http://schemas.openxmlformats.org/officeDocument/2006/relationships/hyperlink" Target="https://www.youtube.com/watch?v=gOpAr0UiT6Q" TargetMode="External"/><Relationship Id="rId33" Type="http://schemas.openxmlformats.org/officeDocument/2006/relationships/hyperlink" Target="https://www.youtube.com/watch?v=jjellZ6ml9U" TargetMode="External"/><Relationship Id="rId32" Type="http://schemas.openxmlformats.org/officeDocument/2006/relationships/hyperlink" Target="https://www.youtube.com/watch?v=PBHce3_47wU" TargetMode="External"/><Relationship Id="rId35" Type="http://schemas.openxmlformats.org/officeDocument/2006/relationships/hyperlink" Target="https://youtu.be/_-QKvoV2ofs?si=EHz4x9ik19IOuvBz" TargetMode="External"/><Relationship Id="rId34" Type="http://schemas.openxmlformats.org/officeDocument/2006/relationships/hyperlink" Target="https://www.youtube.com/watch?v=Gd9bDlANT48" TargetMode="External"/><Relationship Id="rId37" Type="http://schemas.openxmlformats.org/officeDocument/2006/relationships/hyperlink" Target="https://youtu.be/8zzo25t_eC8?si=SLOe1D9xKAyNxcmk" TargetMode="External"/><Relationship Id="rId36" Type="http://schemas.openxmlformats.org/officeDocument/2006/relationships/hyperlink" Target="https://www.youtube.com/watch?v=mnOUj4pvOPU" TargetMode="External"/><Relationship Id="rId39" Type="http://schemas.openxmlformats.org/officeDocument/2006/relationships/hyperlink" Target="https://www.youtube.com/watch?v=_SVNTv44C4g" TargetMode="External"/><Relationship Id="rId38" Type="http://schemas.openxmlformats.org/officeDocument/2006/relationships/hyperlink" Target="https://www.youtube.com/watch?v=hL4vkS4H0Uo" TargetMode="External"/><Relationship Id="rId20" Type="http://schemas.openxmlformats.org/officeDocument/2006/relationships/hyperlink" Target="https://youtu.be/bEOl38y8Nj8?si=KlUk_xb7E3dZSy5r" TargetMode="External"/><Relationship Id="rId22" Type="http://schemas.openxmlformats.org/officeDocument/2006/relationships/hyperlink" Target="https://youtu.be/4Y1djb7v-jo" TargetMode="External"/><Relationship Id="rId21" Type="http://schemas.openxmlformats.org/officeDocument/2006/relationships/hyperlink" Target="https://www.youtube.com/watch?v=Qh8QwVYOSVU" TargetMode="External"/><Relationship Id="rId24" Type="http://schemas.openxmlformats.org/officeDocument/2006/relationships/hyperlink" Target="https://youtu.be/f-Vy-Qoxh0c" TargetMode="External"/><Relationship Id="rId23" Type="http://schemas.openxmlformats.org/officeDocument/2006/relationships/hyperlink" Target="https://www.youtube.com/watch?v=qBPdU57antg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youtu.be/wzPy6vG0gEE?si=GcgxcXhHN1UP3QsS" TargetMode="External"/><Relationship Id="rId25" Type="http://schemas.openxmlformats.org/officeDocument/2006/relationships/hyperlink" Target="https://youtu.be/nNYeZPff1G8?feature=shared" TargetMode="External"/><Relationship Id="rId28" Type="http://schemas.openxmlformats.org/officeDocument/2006/relationships/hyperlink" Target="https://youtu.be/49bV7xfdlAQ?si=w0yONH9C6dp0mfkL" TargetMode="External"/><Relationship Id="rId27" Type="http://schemas.openxmlformats.org/officeDocument/2006/relationships/hyperlink" Target="https://www.youtube.com/watch?v=a42ZKSMn9nU&amp;ab_channel=DJLAG" TargetMode="External"/><Relationship Id="rId29" Type="http://schemas.openxmlformats.org/officeDocument/2006/relationships/hyperlink" Target="https://www.youtube.com/watch?v=4lYIhKhgIuY" TargetMode="External"/><Relationship Id="rId51" Type="http://schemas.openxmlformats.org/officeDocument/2006/relationships/hyperlink" Target="https://www.youtube.com/watch?v=KPBp8oB6nM4" TargetMode="External"/><Relationship Id="rId50" Type="http://schemas.openxmlformats.org/officeDocument/2006/relationships/hyperlink" Target="https://www.youtube.com/watch?v=0e2Ls3JmJbw" TargetMode="External"/><Relationship Id="rId53" Type="http://schemas.openxmlformats.org/officeDocument/2006/relationships/hyperlink" Target="https://www.youtube.com/watch?v=oRW4pSg64WY&amp;ab_channel=millemon-electronic%2Fworldmusic" TargetMode="External"/><Relationship Id="rId52" Type="http://schemas.openxmlformats.org/officeDocument/2006/relationships/hyperlink" Target="https://youtu.be/myM25b5QpCY?si=pcR1UM7k9EXV4Uu_" TargetMode="External"/><Relationship Id="rId11" Type="http://schemas.openxmlformats.org/officeDocument/2006/relationships/hyperlink" Target="https://www.youtube.com/watch?v=46azFIIHz9s" TargetMode="External"/><Relationship Id="rId55" Type="http://schemas.openxmlformats.org/officeDocument/2006/relationships/hyperlink" Target="https://www.youtube.com/watch?v=wiD8PeY3vBM" TargetMode="External"/><Relationship Id="rId10" Type="http://schemas.openxmlformats.org/officeDocument/2006/relationships/hyperlink" Target="https://www.youtube.com/watch?v=ukTm71Id0uE" TargetMode="External"/><Relationship Id="rId54" Type="http://schemas.openxmlformats.org/officeDocument/2006/relationships/hyperlink" Target="https://www.youtube.com/watch?v=4jtZZgzcrJg" TargetMode="External"/><Relationship Id="rId13" Type="http://schemas.openxmlformats.org/officeDocument/2006/relationships/hyperlink" Target="https://youtu.be/Sb2t9SROcxE?si=BwyUAVFbIoxXWSRF&amp;t=1896" TargetMode="External"/><Relationship Id="rId57" Type="http://schemas.openxmlformats.org/officeDocument/2006/relationships/hyperlink" Target="https://youtu.be/gDGVgueUmBk?si=oXzE5vUO3XHdWNV9" TargetMode="External"/><Relationship Id="rId12" Type="http://schemas.openxmlformats.org/officeDocument/2006/relationships/hyperlink" Target="https://www.youtube.com/watch?v=OukwwhubczQ" TargetMode="External"/><Relationship Id="rId56" Type="http://schemas.openxmlformats.org/officeDocument/2006/relationships/hyperlink" Target="https://www.youtube.com/watch?v=oMVJYq6pCug" TargetMode="External"/><Relationship Id="rId15" Type="http://schemas.openxmlformats.org/officeDocument/2006/relationships/hyperlink" Target="https://youtu.be/a06zfmqPXFE?si=-kjus1UmZIz0hUqE" TargetMode="External"/><Relationship Id="rId59" Type="http://schemas.openxmlformats.org/officeDocument/2006/relationships/hyperlink" Target="https://www.youtube.com/watch?v=qxCuRDXyrlI" TargetMode="External"/><Relationship Id="rId14" Type="http://schemas.openxmlformats.org/officeDocument/2006/relationships/hyperlink" Target="https://www.youtube.com/watch?v=-6BGu-GyKWQ" TargetMode="External"/><Relationship Id="rId58" Type="http://schemas.openxmlformats.org/officeDocument/2006/relationships/hyperlink" Target="https://youtu.be/_BqLTdEAut4?si=E8J5WIsUZ5dx3e4_" TargetMode="External"/><Relationship Id="rId17" Type="http://schemas.openxmlformats.org/officeDocument/2006/relationships/hyperlink" Target="https://youtu.be/WI1Agrdf3bA?si=c4gPAI0Jt0rAMnDr" TargetMode="External"/><Relationship Id="rId16" Type="http://schemas.openxmlformats.org/officeDocument/2006/relationships/hyperlink" Target="https://youtu.be/r0cVOT_bLU0" TargetMode="External"/><Relationship Id="rId19" Type="http://schemas.openxmlformats.org/officeDocument/2006/relationships/hyperlink" Target="https://www.youtube.com/watch?v=ayit1E_MZAM" TargetMode="External"/><Relationship Id="rId18" Type="http://schemas.openxmlformats.org/officeDocument/2006/relationships/hyperlink" Target="https://www.youtube.com/watch?v=-k9xZbdZE5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5.63"/>
    <col customWidth="1" min="3" max="3" width="32.13"/>
    <col customWidth="1" min="4" max="4" width="62.63"/>
    <col customWidth="1" min="5" max="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5</v>
      </c>
      <c r="B5" s="4" t="s">
        <v>6</v>
      </c>
      <c r="C5" s="4" t="s">
        <v>7</v>
      </c>
      <c r="D5" s="5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9</v>
      </c>
      <c r="B6" s="4" t="s">
        <v>10</v>
      </c>
      <c r="C6" s="4" t="s">
        <v>11</v>
      </c>
      <c r="D6" s="6" t="s">
        <v>12</v>
      </c>
      <c r="E6" s="7">
        <v>0.027777777777777776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13</v>
      </c>
      <c r="B7" s="4" t="s">
        <v>14</v>
      </c>
      <c r="C7" s="4" t="s">
        <v>15</v>
      </c>
      <c r="D7" s="5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17</v>
      </c>
      <c r="B8" s="4" t="s">
        <v>18</v>
      </c>
      <c r="C8" s="4" t="s">
        <v>19</v>
      </c>
      <c r="D8" s="5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" t="s">
        <v>21</v>
      </c>
      <c r="B9" s="4" t="s">
        <v>22</v>
      </c>
      <c r="C9" s="4" t="s">
        <v>23</v>
      </c>
      <c r="D9" s="6" t="s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 t="s">
        <v>25</v>
      </c>
      <c r="B10" s="4" t="s">
        <v>26</v>
      </c>
      <c r="C10" s="4" t="s">
        <v>27</v>
      </c>
      <c r="D10" s="5" t="s"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" t="s">
        <v>29</v>
      </c>
      <c r="B11" s="4" t="s">
        <v>30</v>
      </c>
      <c r="C11" s="4" t="s">
        <v>31</v>
      </c>
      <c r="D11" s="5" t="s">
        <v>32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33</v>
      </c>
      <c r="B12" s="4" t="s">
        <v>34</v>
      </c>
      <c r="C12" s="4" t="s">
        <v>35</v>
      </c>
      <c r="D12" s="6" t="s">
        <v>36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37</v>
      </c>
      <c r="B13" s="4" t="s">
        <v>38</v>
      </c>
      <c r="C13" s="4" t="s">
        <v>39</v>
      </c>
      <c r="D13" s="5" t="s">
        <v>40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41</v>
      </c>
      <c r="B14" s="4" t="s">
        <v>42</v>
      </c>
      <c r="C14" s="4" t="s">
        <v>43</v>
      </c>
      <c r="D14" s="5" t="s">
        <v>44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45</v>
      </c>
      <c r="B15" s="4" t="s">
        <v>46</v>
      </c>
      <c r="C15" s="4" t="s">
        <v>47</v>
      </c>
      <c r="D15" s="5" t="s">
        <v>48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 t="s">
        <v>49</v>
      </c>
      <c r="B16" s="4" t="s">
        <v>50</v>
      </c>
      <c r="C16" s="4" t="s">
        <v>51</v>
      </c>
      <c r="D16" s="6" t="s">
        <v>52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53</v>
      </c>
      <c r="B17" s="4" t="s">
        <v>54</v>
      </c>
      <c r="C17" s="4" t="s">
        <v>55</v>
      </c>
      <c r="D17" s="5" t="s">
        <v>56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57</v>
      </c>
      <c r="B18" s="4" t="s">
        <v>58</v>
      </c>
      <c r="C18" s="4" t="s">
        <v>59</v>
      </c>
      <c r="D18" s="5" t="s">
        <v>60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 t="s">
        <v>61</v>
      </c>
      <c r="B19" s="4" t="s">
        <v>62</v>
      </c>
      <c r="C19" s="4" t="s">
        <v>63</v>
      </c>
      <c r="D19" s="8" t="s">
        <v>64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65</v>
      </c>
      <c r="B20" s="4" t="s">
        <v>66</v>
      </c>
      <c r="C20" s="4" t="s">
        <v>67</v>
      </c>
      <c r="D20" s="5" t="s">
        <v>68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 t="s">
        <v>69</v>
      </c>
      <c r="B21" s="4" t="s">
        <v>70</v>
      </c>
      <c r="C21" s="4" t="s">
        <v>71</v>
      </c>
      <c r="D21" s="5" t="s">
        <v>72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4" t="s">
        <v>73</v>
      </c>
      <c r="B22" s="4" t="s">
        <v>74</v>
      </c>
      <c r="C22" s="4" t="s">
        <v>75</v>
      </c>
      <c r="D22" s="5" t="s">
        <v>76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4" t="s">
        <v>77</v>
      </c>
      <c r="B23" s="4" t="s">
        <v>78</v>
      </c>
      <c r="C23" s="4" t="s">
        <v>79</v>
      </c>
      <c r="D23" s="5" t="s">
        <v>80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4" t="s">
        <v>81</v>
      </c>
      <c r="B24" s="4" t="s">
        <v>82</v>
      </c>
      <c r="C24" s="4" t="s">
        <v>83</v>
      </c>
      <c r="D24" s="5" t="s">
        <v>84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" t="s">
        <v>85</v>
      </c>
      <c r="B25" s="4" t="s">
        <v>86</v>
      </c>
      <c r="C25" s="4" t="s">
        <v>87</v>
      </c>
      <c r="D25" s="5" t="s">
        <v>88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 t="s">
        <v>89</v>
      </c>
      <c r="B26" s="4" t="s">
        <v>90</v>
      </c>
      <c r="C26" s="4" t="s">
        <v>91</v>
      </c>
      <c r="D26" s="5" t="s">
        <v>92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 t="s">
        <v>93</v>
      </c>
      <c r="B27" s="4" t="s">
        <v>94</v>
      </c>
      <c r="C27" s="4" t="s">
        <v>95</v>
      </c>
      <c r="D27" s="5" t="s">
        <v>96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 t="s">
        <v>97</v>
      </c>
      <c r="B28" s="4" t="s">
        <v>98</v>
      </c>
      <c r="C28" s="4" t="s">
        <v>99</v>
      </c>
      <c r="D28" s="5" t="s">
        <v>100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 t="s">
        <v>101</v>
      </c>
      <c r="B29" s="4" t="s">
        <v>102</v>
      </c>
      <c r="C29" s="4" t="s">
        <v>103</v>
      </c>
      <c r="D29" s="5" t="s">
        <v>104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 t="s">
        <v>105</v>
      </c>
      <c r="B30" s="4" t="s">
        <v>106</v>
      </c>
      <c r="C30" s="4" t="s">
        <v>107</v>
      </c>
      <c r="D30" s="5" t="s">
        <v>108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 t="s">
        <v>109</v>
      </c>
      <c r="B31" s="4" t="s">
        <v>110</v>
      </c>
      <c r="C31" s="4" t="s">
        <v>111</v>
      </c>
      <c r="D31" s="5" t="s">
        <v>112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 t="s">
        <v>113</v>
      </c>
      <c r="B32" s="4" t="s">
        <v>114</v>
      </c>
      <c r="C32" s="4" t="s">
        <v>115</v>
      </c>
      <c r="D32" s="5" t="s">
        <v>116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4" t="s">
        <v>117</v>
      </c>
      <c r="B33" s="4" t="s">
        <v>118</v>
      </c>
      <c r="C33" s="4" t="s">
        <v>119</v>
      </c>
      <c r="D33" s="5" t="s">
        <v>120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 t="s">
        <v>121</v>
      </c>
      <c r="B34" s="4" t="s">
        <v>122</v>
      </c>
      <c r="C34" s="4" t="s">
        <v>123</v>
      </c>
      <c r="D34" s="5" t="s">
        <v>124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 t="s">
        <v>125</v>
      </c>
      <c r="B35" s="4" t="s">
        <v>126</v>
      </c>
      <c r="C35" s="4" t="s">
        <v>127</v>
      </c>
      <c r="D35" s="5" t="s">
        <v>128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 t="s">
        <v>129</v>
      </c>
      <c r="B36" s="4" t="s">
        <v>130</v>
      </c>
      <c r="C36" s="4" t="s">
        <v>131</v>
      </c>
      <c r="D36" s="5" t="s">
        <v>132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 t="s">
        <v>133</v>
      </c>
      <c r="B37" s="4" t="s">
        <v>134</v>
      </c>
      <c r="C37" s="4" t="s">
        <v>135</v>
      </c>
      <c r="D37" s="5" t="s">
        <v>136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 t="s">
        <v>137</v>
      </c>
      <c r="B38" s="4" t="s">
        <v>138</v>
      </c>
      <c r="C38" s="4" t="s">
        <v>139</v>
      </c>
      <c r="D38" s="5" t="s">
        <v>140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" t="s">
        <v>141</v>
      </c>
      <c r="B39" s="4" t="s">
        <v>142</v>
      </c>
      <c r="C39" s="4" t="s">
        <v>143</v>
      </c>
      <c r="D39" s="5" t="s">
        <v>144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" t="s">
        <v>145</v>
      </c>
      <c r="B40" s="4" t="s">
        <v>146</v>
      </c>
      <c r="C40" s="4" t="s">
        <v>147</v>
      </c>
      <c r="D40" s="5" t="s">
        <v>148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" t="s">
        <v>149</v>
      </c>
      <c r="B41" s="4" t="s">
        <v>150</v>
      </c>
      <c r="C41" s="4" t="s">
        <v>151</v>
      </c>
      <c r="D41" s="5" t="s">
        <v>152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4" t="s">
        <v>153</v>
      </c>
      <c r="B42" s="4" t="s">
        <v>154</v>
      </c>
      <c r="C42" s="4" t="s">
        <v>155</v>
      </c>
      <c r="D42" s="5" t="s">
        <v>156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4" t="s">
        <v>157</v>
      </c>
      <c r="B43" s="4" t="s">
        <v>158</v>
      </c>
      <c r="C43" s="4" t="s">
        <v>159</v>
      </c>
      <c r="D43" s="5" t="s">
        <v>160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" t="s">
        <v>161</v>
      </c>
      <c r="B44" s="4" t="s">
        <v>162</v>
      </c>
      <c r="C44" s="4" t="s">
        <v>163</v>
      </c>
      <c r="D44" s="5" t="s">
        <v>164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4" t="s">
        <v>165</v>
      </c>
      <c r="B45" s="4" t="s">
        <v>166</v>
      </c>
      <c r="C45" s="4" t="s">
        <v>167</v>
      </c>
      <c r="D45" s="5" t="s">
        <v>168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4" t="s">
        <v>169</v>
      </c>
      <c r="B46" s="4" t="s">
        <v>170</v>
      </c>
      <c r="C46" s="4" t="s">
        <v>171</v>
      </c>
      <c r="D46" s="5" t="s">
        <v>172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" t="s">
        <v>173</v>
      </c>
      <c r="B47" s="4" t="s">
        <v>174</v>
      </c>
      <c r="C47" s="4" t="s">
        <v>175</v>
      </c>
      <c r="D47" s="5" t="s">
        <v>176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4" t="s">
        <v>177</v>
      </c>
      <c r="B48" s="4" t="s">
        <v>178</v>
      </c>
      <c r="C48" s="4" t="s">
        <v>179</v>
      </c>
      <c r="D48" s="5" t="s">
        <v>180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4" t="s">
        <v>181</v>
      </c>
      <c r="B49" s="4" t="s">
        <v>182</v>
      </c>
      <c r="C49" s="4" t="s">
        <v>183</v>
      </c>
      <c r="D49" s="5" t="s">
        <v>184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4" t="s">
        <v>185</v>
      </c>
      <c r="B50" s="4" t="s">
        <v>186</v>
      </c>
      <c r="C50" s="4" t="s">
        <v>187</v>
      </c>
      <c r="D50" s="5" t="s">
        <v>188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4" t="s">
        <v>189</v>
      </c>
      <c r="B51" s="4" t="s">
        <v>190</v>
      </c>
      <c r="C51" s="4" t="s">
        <v>191</v>
      </c>
      <c r="D51" s="5" t="s">
        <v>192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4" t="s">
        <v>193</v>
      </c>
      <c r="B52" s="4" t="s">
        <v>194</v>
      </c>
      <c r="C52" s="4" t="s">
        <v>195</v>
      </c>
      <c r="D52" s="5" t="s">
        <v>196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" t="s">
        <v>197</v>
      </c>
      <c r="B53" s="4" t="s">
        <v>198</v>
      </c>
      <c r="C53" s="4" t="s">
        <v>199</v>
      </c>
      <c r="D53" s="5" t="s">
        <v>200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4" t="s">
        <v>201</v>
      </c>
      <c r="B54" s="4" t="s">
        <v>202</v>
      </c>
      <c r="C54" s="4" t="s">
        <v>203</v>
      </c>
      <c r="D54" s="5" t="s">
        <v>204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4" t="s">
        <v>205</v>
      </c>
      <c r="B55" s="4" t="s">
        <v>206</v>
      </c>
      <c r="C55" s="4" t="s">
        <v>207</v>
      </c>
      <c r="D55" s="5" t="s">
        <v>208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4" t="s">
        <v>209</v>
      </c>
      <c r="B56" s="4" t="s">
        <v>210</v>
      </c>
      <c r="C56" s="4" t="s">
        <v>211</v>
      </c>
      <c r="D56" s="5" t="s">
        <v>212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4" t="s">
        <v>213</v>
      </c>
      <c r="B57" s="4" t="s">
        <v>214</v>
      </c>
      <c r="C57" s="4" t="s">
        <v>215</v>
      </c>
      <c r="D57" s="5" t="s">
        <v>216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4" t="s">
        <v>217</v>
      </c>
      <c r="B58" s="4" t="s">
        <v>218</v>
      </c>
      <c r="C58" s="4" t="s">
        <v>219</v>
      </c>
      <c r="D58" s="5" t="s">
        <v>220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4" t="s">
        <v>221</v>
      </c>
      <c r="B59" s="4" t="s">
        <v>222</v>
      </c>
      <c r="C59" s="4" t="s">
        <v>223</v>
      </c>
      <c r="D59" s="5" t="s">
        <v>224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4" t="s">
        <v>225</v>
      </c>
      <c r="B60" s="4" t="s">
        <v>226</v>
      </c>
      <c r="C60" s="4" t="s">
        <v>227</v>
      </c>
      <c r="D60" s="5" t="s">
        <v>228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4" t="s">
        <v>229</v>
      </c>
      <c r="B61" s="4" t="s">
        <v>230</v>
      </c>
      <c r="C61" s="4" t="s">
        <v>231</v>
      </c>
      <c r="D61" s="5" t="s">
        <v>232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4" t="s">
        <v>233</v>
      </c>
      <c r="B62" s="4" t="s">
        <v>234</v>
      </c>
      <c r="C62" s="4" t="s">
        <v>235</v>
      </c>
      <c r="D62" s="5" t="s">
        <v>236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4" t="s">
        <v>237</v>
      </c>
      <c r="B63" s="4" t="s">
        <v>238</v>
      </c>
      <c r="C63" s="4" t="s">
        <v>239</v>
      </c>
      <c r="D63" s="5" t="s">
        <v>240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9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9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9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9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9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9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9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9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7"/>
    <hyperlink r:id="rId54" ref="D58"/>
    <hyperlink r:id="rId55" ref="D59"/>
    <hyperlink r:id="rId56" ref="D60"/>
    <hyperlink r:id="rId57" ref="D61"/>
    <hyperlink r:id="rId58" ref="D62"/>
    <hyperlink r:id="rId59" ref="D6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1.13"/>
    <col customWidth="1" min="3" max="3" width="5.38"/>
    <col customWidth="1" min="4" max="4" width="35.13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241</v>
      </c>
      <c r="C4" s="12" t="s">
        <v>242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>
        <v>1.0</v>
      </c>
      <c r="B5" s="14" t="s">
        <v>105</v>
      </c>
      <c r="C5" s="15">
        <v>1.0</v>
      </c>
      <c r="D5" s="16" t="s">
        <v>133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>
        <v>2.0</v>
      </c>
      <c r="B6" s="14" t="s">
        <v>69</v>
      </c>
      <c r="C6" s="15">
        <v>2.0</v>
      </c>
      <c r="D6" s="16" t="s">
        <v>243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>
        <v>3.0</v>
      </c>
      <c r="B7" s="14" t="s">
        <v>129</v>
      </c>
      <c r="C7" s="15">
        <v>3.0</v>
      </c>
      <c r="D7" s="16" t="s">
        <v>165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3">
        <v>4.0</v>
      </c>
      <c r="B8" s="14" t="s">
        <v>229</v>
      </c>
      <c r="C8" s="15">
        <v>4.0</v>
      </c>
      <c r="D8" s="16" t="s">
        <v>244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>
        <v>5.0</v>
      </c>
      <c r="B9" s="14" t="s">
        <v>221</v>
      </c>
      <c r="C9" s="15">
        <v>5.0</v>
      </c>
      <c r="D9" s="16" t="s">
        <v>245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3">
        <v>6.0</v>
      </c>
      <c r="B10" s="14" t="s">
        <v>41</v>
      </c>
      <c r="C10" s="15">
        <v>6.0</v>
      </c>
      <c r="D10" s="16" t="s">
        <v>113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3">
        <v>7.0</v>
      </c>
      <c r="B11" s="14" t="s">
        <v>145</v>
      </c>
      <c r="C11" s="15">
        <v>7.0</v>
      </c>
      <c r="D11" s="16" t="s">
        <v>213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3">
        <v>8.0</v>
      </c>
      <c r="B12" s="14" t="s">
        <v>121</v>
      </c>
      <c r="C12" s="15">
        <v>8.0</v>
      </c>
      <c r="D12" s="16" t="s">
        <v>149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3">
        <v>9.0</v>
      </c>
      <c r="B13" s="14" t="s">
        <v>85</v>
      </c>
      <c r="C13" s="15">
        <v>9.0</v>
      </c>
      <c r="D13" s="16" t="s">
        <v>37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3">
        <v>10.0</v>
      </c>
      <c r="B14" s="14" t="s">
        <v>81</v>
      </c>
      <c r="C14" s="15">
        <v>10.0</v>
      </c>
      <c r="D14" s="16" t="s">
        <v>29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>
        <v>11.0</v>
      </c>
      <c r="B15" s="14" t="s">
        <v>177</v>
      </c>
      <c r="C15" s="15">
        <v>11.0</v>
      </c>
      <c r="D15" s="16" t="s">
        <v>141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>
        <v>12.0</v>
      </c>
      <c r="B16" s="14" t="s">
        <v>157</v>
      </c>
      <c r="C16" s="15">
        <v>12.0</v>
      </c>
      <c r="D16" s="16" t="s">
        <v>117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>
        <v>13.0</v>
      </c>
      <c r="B17" s="14" t="s">
        <v>101</v>
      </c>
      <c r="C17" s="15">
        <v>13.0</v>
      </c>
      <c r="D17" s="16" t="s">
        <v>57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>
        <v>14.0</v>
      </c>
      <c r="B18" s="14" t="s">
        <v>189</v>
      </c>
      <c r="C18" s="15">
        <v>14.0</v>
      </c>
      <c r="D18" s="16" t="s">
        <v>73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>
        <v>15.0</v>
      </c>
      <c r="B19" s="14" t="s">
        <v>181</v>
      </c>
      <c r="C19" s="15">
        <v>15.0</v>
      </c>
      <c r="D19" s="16" t="s">
        <v>61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>
        <v>16.0</v>
      </c>
      <c r="B20" s="14" t="s">
        <v>197</v>
      </c>
      <c r="C20" s="15">
        <v>16.0</v>
      </c>
      <c r="D20" s="16" t="s">
        <v>137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>
        <v>17.0</v>
      </c>
      <c r="B21" s="14" t="s">
        <v>237</v>
      </c>
      <c r="C21" s="15">
        <v>17.0</v>
      </c>
      <c r="D21" s="16" t="s">
        <v>93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>
        <v>18.0</v>
      </c>
      <c r="B22" s="14" t="s">
        <v>53</v>
      </c>
      <c r="C22" s="15">
        <v>18.0</v>
      </c>
      <c r="D22" s="16" t="s">
        <v>169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>
        <v>19.0</v>
      </c>
      <c r="B23" s="14" t="s">
        <v>125</v>
      </c>
      <c r="C23" s="15">
        <v>19.0</v>
      </c>
      <c r="D23" s="16" t="s">
        <v>17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>
        <v>20.0</v>
      </c>
      <c r="B24" s="14" t="s">
        <v>45</v>
      </c>
      <c r="C24" s="15">
        <v>20.0</v>
      </c>
      <c r="D24" s="16" t="s">
        <v>161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>
        <v>21.0</v>
      </c>
      <c r="B25" s="14" t="s">
        <v>246</v>
      </c>
      <c r="C25" s="15">
        <v>21.0</v>
      </c>
      <c r="D25" s="16" t="s">
        <v>247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>
        <v>22.0</v>
      </c>
      <c r="B26" s="14" t="s">
        <v>9</v>
      </c>
      <c r="C26" s="15">
        <v>22.0</v>
      </c>
      <c r="D26" s="16" t="s">
        <v>209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>
        <v>23.0</v>
      </c>
      <c r="B27" s="14" t="s">
        <v>153</v>
      </c>
      <c r="C27" s="15">
        <v>23.0</v>
      </c>
      <c r="D27" s="16" t="s">
        <v>77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>
        <v>24.0</v>
      </c>
      <c r="B28" s="14" t="s">
        <v>201</v>
      </c>
      <c r="C28" s="15">
        <v>24.0</v>
      </c>
      <c r="D28" s="16" t="s">
        <v>173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>
        <v>25.0</v>
      </c>
      <c r="B29" s="14" t="s">
        <v>248</v>
      </c>
      <c r="C29" s="15">
        <v>25.0</v>
      </c>
      <c r="D29" s="16" t="s">
        <v>21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>
        <v>26.0</v>
      </c>
      <c r="B30" s="14" t="s">
        <v>33</v>
      </c>
      <c r="C30" s="15">
        <v>26.0</v>
      </c>
      <c r="D30" s="17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>
        <v>27.0</v>
      </c>
      <c r="B31" s="18"/>
      <c r="C31" s="15">
        <v>27.0</v>
      </c>
      <c r="D31" s="17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 t="s">
        <v>249</v>
      </c>
      <c r="B32" s="14" t="s">
        <v>225</v>
      </c>
      <c r="C32" s="15" t="s">
        <v>249</v>
      </c>
      <c r="D32" s="16" t="s">
        <v>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 t="s">
        <v>250</v>
      </c>
      <c r="B33" s="14" t="s">
        <v>217</v>
      </c>
      <c r="C33" s="15" t="s">
        <v>250</v>
      </c>
      <c r="D33" s="16" t="s">
        <v>97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 t="s">
        <v>251</v>
      </c>
      <c r="B34" s="14" t="s">
        <v>233</v>
      </c>
      <c r="C34" s="15" t="s">
        <v>251</v>
      </c>
      <c r="D34" s="16" t="s">
        <v>25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A4:B4"/>
    <mergeCell ref="C4:D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30" width="3.25"/>
    <col customWidth="1" min="31" max="31" width="5.5"/>
    <col customWidth="1" min="32" max="32" width="5.75"/>
    <col customWidth="1" min="33" max="33" width="4.13"/>
  </cols>
  <sheetData>
    <row r="1">
      <c r="A1" s="19"/>
    </row>
    <row r="4" ht="146.25" customHeight="1">
      <c r="A4" s="20" t="s">
        <v>241</v>
      </c>
      <c r="B4" s="21" t="s">
        <v>105</v>
      </c>
      <c r="C4" s="21" t="s">
        <v>69</v>
      </c>
      <c r="D4" s="21" t="s">
        <v>129</v>
      </c>
      <c r="E4" s="21" t="s">
        <v>229</v>
      </c>
      <c r="F4" s="21" t="s">
        <v>221</v>
      </c>
      <c r="G4" s="21" t="s">
        <v>41</v>
      </c>
      <c r="H4" s="21" t="s">
        <v>145</v>
      </c>
      <c r="I4" s="21" t="s">
        <v>121</v>
      </c>
      <c r="J4" s="21" t="s">
        <v>85</v>
      </c>
      <c r="K4" s="21" t="s">
        <v>81</v>
      </c>
      <c r="L4" s="21" t="s">
        <v>177</v>
      </c>
      <c r="M4" s="21" t="s">
        <v>157</v>
      </c>
      <c r="N4" s="21" t="s">
        <v>101</v>
      </c>
      <c r="O4" s="21" t="s">
        <v>189</v>
      </c>
      <c r="P4" s="21" t="s">
        <v>181</v>
      </c>
      <c r="Q4" s="21" t="s">
        <v>197</v>
      </c>
      <c r="R4" s="21" t="s">
        <v>237</v>
      </c>
      <c r="S4" s="21" t="s">
        <v>53</v>
      </c>
      <c r="T4" s="21" t="s">
        <v>125</v>
      </c>
      <c r="U4" s="21" t="s">
        <v>45</v>
      </c>
      <c r="V4" s="21" t="s">
        <v>246</v>
      </c>
      <c r="W4" s="21" t="s">
        <v>9</v>
      </c>
      <c r="X4" s="21" t="s">
        <v>153</v>
      </c>
      <c r="Y4" s="21" t="s">
        <v>201</v>
      </c>
      <c r="Z4" s="21" t="s">
        <v>185</v>
      </c>
      <c r="AA4" s="21" t="s">
        <v>252</v>
      </c>
      <c r="AB4" s="21" t="s">
        <v>217</v>
      </c>
      <c r="AC4" s="21" t="s">
        <v>233</v>
      </c>
      <c r="AD4" s="21" t="s">
        <v>225</v>
      </c>
      <c r="AE4" s="22" t="s">
        <v>253</v>
      </c>
      <c r="AF4" s="23" t="s">
        <v>254</v>
      </c>
      <c r="AG4" s="24" t="s">
        <v>255</v>
      </c>
    </row>
    <row r="5">
      <c r="A5" s="25" t="s">
        <v>105</v>
      </c>
      <c r="B5" s="26" t="s">
        <v>256</v>
      </c>
      <c r="C5" s="26">
        <v>4.0</v>
      </c>
      <c r="D5" s="27"/>
      <c r="E5" s="27"/>
      <c r="F5" s="27"/>
      <c r="G5" s="26">
        <v>7.0</v>
      </c>
      <c r="H5" s="27"/>
      <c r="I5" s="27"/>
      <c r="J5" s="26">
        <v>10.0</v>
      </c>
      <c r="K5" s="26">
        <v>10.0</v>
      </c>
      <c r="L5" s="27"/>
      <c r="M5" s="27"/>
      <c r="N5" s="27"/>
      <c r="O5" s="26">
        <v>3.0</v>
      </c>
      <c r="P5" s="27"/>
      <c r="Q5" s="27"/>
      <c r="R5" s="27"/>
      <c r="S5" s="27"/>
      <c r="T5" s="26">
        <v>12.0</v>
      </c>
      <c r="U5" s="26">
        <v>4.0</v>
      </c>
      <c r="V5" s="27"/>
      <c r="W5" s="27"/>
      <c r="X5" s="27"/>
      <c r="Y5" s="26">
        <v>12.0</v>
      </c>
      <c r="Z5" s="27"/>
      <c r="AA5" s="27"/>
      <c r="AB5" s="26">
        <v>1.0</v>
      </c>
      <c r="AC5" s="27"/>
      <c r="AD5" s="27"/>
      <c r="AE5" s="28">
        <f t="shared" ref="AE5:AE30" si="1">SUM(B5:AD5)</f>
        <v>63</v>
      </c>
      <c r="AF5" s="29">
        <f t="shared" ref="AF5:AF30" si="2">_xlfn.RANK.EQ(AE5, AE$5:AE$30, 0)</f>
        <v>13</v>
      </c>
      <c r="AG5" s="30">
        <f t="shared" ref="AG5:AG30" si="3">COUNT(B5:AD5)</f>
        <v>9</v>
      </c>
    </row>
    <row r="6">
      <c r="A6" s="25" t="s">
        <v>69</v>
      </c>
      <c r="B6" s="27"/>
      <c r="C6" s="26" t="s">
        <v>256</v>
      </c>
      <c r="D6" s="27"/>
      <c r="E6" s="26"/>
      <c r="F6" s="27"/>
      <c r="G6" s="26">
        <v>8.0</v>
      </c>
      <c r="H6" s="27"/>
      <c r="I6" s="26">
        <v>5.0</v>
      </c>
      <c r="J6" s="26">
        <v>8.0</v>
      </c>
      <c r="K6" s="26">
        <v>6.0</v>
      </c>
      <c r="L6" s="27"/>
      <c r="M6" s="27"/>
      <c r="N6" s="26">
        <v>8.0</v>
      </c>
      <c r="O6" s="27"/>
      <c r="P6" s="27"/>
      <c r="Q6" s="27"/>
      <c r="R6" s="27"/>
      <c r="S6" s="26">
        <v>10.0</v>
      </c>
      <c r="T6" s="26">
        <v>1.0</v>
      </c>
      <c r="U6" s="26">
        <v>1.0</v>
      </c>
      <c r="V6" s="27"/>
      <c r="W6" s="27"/>
      <c r="X6" s="27"/>
      <c r="Y6" s="26">
        <v>5.0</v>
      </c>
      <c r="Z6" s="27"/>
      <c r="AA6" s="27"/>
      <c r="AB6" s="27"/>
      <c r="AC6" s="27"/>
      <c r="AD6" s="27"/>
      <c r="AE6" s="28">
        <f t="shared" si="1"/>
        <v>52</v>
      </c>
      <c r="AF6" s="29">
        <f t="shared" si="2"/>
        <v>18</v>
      </c>
      <c r="AG6" s="30">
        <f t="shared" si="3"/>
        <v>9</v>
      </c>
    </row>
    <row r="7">
      <c r="A7" s="25" t="s">
        <v>129</v>
      </c>
      <c r="B7" s="26">
        <v>10.0</v>
      </c>
      <c r="C7" s="27"/>
      <c r="D7" s="26" t="s">
        <v>256</v>
      </c>
      <c r="E7" s="26">
        <v>8.0</v>
      </c>
      <c r="F7" s="26">
        <v>8.0</v>
      </c>
      <c r="G7" s="26">
        <v>6.0</v>
      </c>
      <c r="H7" s="26">
        <v>4.0</v>
      </c>
      <c r="I7" s="27"/>
      <c r="J7" s="26">
        <v>4.0</v>
      </c>
      <c r="K7" s="26">
        <v>2.0</v>
      </c>
      <c r="L7" s="26">
        <v>1.0</v>
      </c>
      <c r="M7" s="26">
        <v>5.0</v>
      </c>
      <c r="N7" s="27"/>
      <c r="O7" s="26">
        <v>5.0</v>
      </c>
      <c r="P7" s="26">
        <v>4.0</v>
      </c>
      <c r="Q7" s="27"/>
      <c r="R7" s="27"/>
      <c r="S7" s="26">
        <v>6.0</v>
      </c>
      <c r="T7" s="26">
        <v>7.0</v>
      </c>
      <c r="U7" s="26">
        <v>8.0</v>
      </c>
      <c r="V7" s="26">
        <v>8.0</v>
      </c>
      <c r="W7" s="26">
        <v>12.0</v>
      </c>
      <c r="X7" s="26">
        <v>3.0</v>
      </c>
      <c r="Y7" s="26">
        <v>2.0</v>
      </c>
      <c r="Z7" s="26">
        <v>10.0</v>
      </c>
      <c r="AA7" s="26">
        <v>10.0</v>
      </c>
      <c r="AB7" s="26">
        <v>2.0</v>
      </c>
      <c r="AC7" s="26">
        <v>3.0</v>
      </c>
      <c r="AD7" s="27"/>
      <c r="AE7" s="28">
        <f t="shared" si="1"/>
        <v>128</v>
      </c>
      <c r="AF7" s="29">
        <f t="shared" si="2"/>
        <v>1</v>
      </c>
      <c r="AG7" s="30">
        <f t="shared" si="3"/>
        <v>22</v>
      </c>
    </row>
    <row r="8">
      <c r="A8" s="31" t="s">
        <v>229</v>
      </c>
      <c r="B8" s="26">
        <v>8.0</v>
      </c>
      <c r="C8" s="27"/>
      <c r="D8" s="27"/>
      <c r="E8" s="26" t="s">
        <v>256</v>
      </c>
      <c r="F8" s="27"/>
      <c r="G8" s="27"/>
      <c r="H8" s="26">
        <v>3.0</v>
      </c>
      <c r="I8" s="27"/>
      <c r="J8" s="27"/>
      <c r="K8" s="27"/>
      <c r="L8" s="27"/>
      <c r="M8" s="26">
        <v>2.0</v>
      </c>
      <c r="N8" s="27"/>
      <c r="O8" s="27"/>
      <c r="P8" s="27"/>
      <c r="Q8" s="27"/>
      <c r="R8" s="26">
        <v>2.0</v>
      </c>
      <c r="S8" s="27"/>
      <c r="T8" s="26">
        <v>2.0</v>
      </c>
      <c r="U8" s="27"/>
      <c r="V8" s="27"/>
      <c r="W8" s="26">
        <v>8.0</v>
      </c>
      <c r="X8" s="27"/>
      <c r="Y8" s="26">
        <v>10.0</v>
      </c>
      <c r="Z8" s="26">
        <v>8.0</v>
      </c>
      <c r="AA8" s="27"/>
      <c r="AB8" s="27"/>
      <c r="AC8" s="26">
        <v>2.0</v>
      </c>
      <c r="AD8" s="26">
        <v>10.0</v>
      </c>
      <c r="AE8" s="28">
        <f t="shared" si="1"/>
        <v>55</v>
      </c>
      <c r="AF8" s="29">
        <f t="shared" si="2"/>
        <v>16</v>
      </c>
      <c r="AG8" s="30">
        <f t="shared" si="3"/>
        <v>10</v>
      </c>
    </row>
    <row r="9">
      <c r="A9" s="25" t="s">
        <v>221</v>
      </c>
      <c r="B9" s="26">
        <v>7.0</v>
      </c>
      <c r="C9" s="27"/>
      <c r="D9" s="27"/>
      <c r="E9" s="27"/>
      <c r="F9" s="26" t="s">
        <v>256</v>
      </c>
      <c r="G9" s="27"/>
      <c r="H9" s="27"/>
      <c r="I9" s="27"/>
      <c r="J9" s="26">
        <v>7.0</v>
      </c>
      <c r="K9" s="27"/>
      <c r="L9" s="27"/>
      <c r="M9" s="27"/>
      <c r="N9" s="26">
        <v>7.0</v>
      </c>
      <c r="O9" s="26">
        <v>12.0</v>
      </c>
      <c r="P9" s="26">
        <v>8.0</v>
      </c>
      <c r="Q9" s="27"/>
      <c r="R9" s="26">
        <v>6.0</v>
      </c>
      <c r="S9" s="27"/>
      <c r="T9" s="27"/>
      <c r="U9" s="27"/>
      <c r="V9" s="27"/>
      <c r="W9" s="27"/>
      <c r="X9" s="27"/>
      <c r="Y9" s="26">
        <v>1.0</v>
      </c>
      <c r="Z9" s="26">
        <v>4.0</v>
      </c>
      <c r="AA9" s="27"/>
      <c r="AB9" s="26">
        <v>5.0</v>
      </c>
      <c r="AC9" s="27"/>
      <c r="AD9" s="26">
        <v>2.0</v>
      </c>
      <c r="AE9" s="28">
        <f t="shared" si="1"/>
        <v>59</v>
      </c>
      <c r="AF9" s="29">
        <f t="shared" si="2"/>
        <v>14</v>
      </c>
      <c r="AG9" s="30">
        <f t="shared" si="3"/>
        <v>10</v>
      </c>
    </row>
    <row r="10">
      <c r="A10" s="25" t="s">
        <v>41</v>
      </c>
      <c r="B10" s="27"/>
      <c r="C10" s="26">
        <v>10.0</v>
      </c>
      <c r="D10" s="27"/>
      <c r="E10" s="27"/>
      <c r="F10" s="27"/>
      <c r="G10" s="26" t="s">
        <v>256</v>
      </c>
      <c r="H10" s="27"/>
      <c r="I10" s="27"/>
      <c r="J10" s="26">
        <v>3.0</v>
      </c>
      <c r="K10" s="26">
        <v>12.0</v>
      </c>
      <c r="L10" s="27"/>
      <c r="M10" s="27"/>
      <c r="N10" s="27"/>
      <c r="O10" s="27"/>
      <c r="P10" s="27"/>
      <c r="Q10" s="27"/>
      <c r="R10" s="27"/>
      <c r="S10" s="27"/>
      <c r="T10" s="26">
        <v>6.0</v>
      </c>
      <c r="U10" s="27"/>
      <c r="V10" s="26">
        <v>5.0</v>
      </c>
      <c r="W10" s="27"/>
      <c r="X10" s="26">
        <v>4.0</v>
      </c>
      <c r="Y10" s="26">
        <v>3.0</v>
      </c>
      <c r="Z10" s="27"/>
      <c r="AA10" s="27"/>
      <c r="AB10" s="27"/>
      <c r="AC10" s="27"/>
      <c r="AD10" s="27"/>
      <c r="AE10" s="28">
        <f t="shared" si="1"/>
        <v>43</v>
      </c>
      <c r="AF10" s="29">
        <f t="shared" si="2"/>
        <v>23</v>
      </c>
      <c r="AG10" s="30">
        <f t="shared" si="3"/>
        <v>7</v>
      </c>
    </row>
    <row r="11">
      <c r="A11" s="25" t="s">
        <v>145</v>
      </c>
      <c r="B11" s="26">
        <v>5.0</v>
      </c>
      <c r="C11" s="26">
        <v>5.0</v>
      </c>
      <c r="D11" s="27"/>
      <c r="E11" s="27"/>
      <c r="F11" s="27"/>
      <c r="G11" s="27"/>
      <c r="H11" s="26" t="s">
        <v>256</v>
      </c>
      <c r="I11" s="27"/>
      <c r="J11" s="27"/>
      <c r="K11" s="26">
        <v>3.0</v>
      </c>
      <c r="L11" s="27"/>
      <c r="M11" s="26">
        <v>3.0</v>
      </c>
      <c r="N11" s="27"/>
      <c r="O11" s="26">
        <v>6.0</v>
      </c>
      <c r="P11" s="26">
        <v>5.0</v>
      </c>
      <c r="Q11" s="27"/>
      <c r="R11" s="26">
        <v>8.0</v>
      </c>
      <c r="S11" s="27"/>
      <c r="T11" s="27"/>
      <c r="U11" s="26">
        <v>6.0</v>
      </c>
      <c r="V11" s="27"/>
      <c r="W11" s="27"/>
      <c r="X11" s="26">
        <v>1.0</v>
      </c>
      <c r="Y11" s="27"/>
      <c r="Z11" s="27"/>
      <c r="AA11" s="27"/>
      <c r="AB11" s="27"/>
      <c r="AC11" s="26">
        <v>6.0</v>
      </c>
      <c r="AD11" s="27"/>
      <c r="AE11" s="28">
        <f t="shared" si="1"/>
        <v>48</v>
      </c>
      <c r="AF11" s="29">
        <f t="shared" si="2"/>
        <v>21</v>
      </c>
      <c r="AG11" s="30">
        <f t="shared" si="3"/>
        <v>10</v>
      </c>
    </row>
    <row r="12">
      <c r="A12" s="25" t="s">
        <v>121</v>
      </c>
      <c r="B12" s="26">
        <v>4.0</v>
      </c>
      <c r="C12" s="27"/>
      <c r="D12" s="26">
        <v>3.0</v>
      </c>
      <c r="E12" s="27"/>
      <c r="F12" s="26">
        <v>3.0</v>
      </c>
      <c r="G12" s="27"/>
      <c r="H12" s="26">
        <v>1.0</v>
      </c>
      <c r="I12" s="26" t="s">
        <v>256</v>
      </c>
      <c r="J12" s="26">
        <v>6.0</v>
      </c>
      <c r="K12" s="26"/>
      <c r="L12" s="26">
        <v>3.0</v>
      </c>
      <c r="M12" s="27"/>
      <c r="N12" s="26">
        <v>6.0</v>
      </c>
      <c r="O12" s="27"/>
      <c r="P12" s="27"/>
      <c r="Q12" s="27"/>
      <c r="R12" s="27"/>
      <c r="S12" s="26">
        <v>3.0</v>
      </c>
      <c r="T12" s="27"/>
      <c r="U12" s="26">
        <v>5.0</v>
      </c>
      <c r="V12" s="26">
        <v>3.0</v>
      </c>
      <c r="W12" s="27"/>
      <c r="X12" s="26">
        <v>7.0</v>
      </c>
      <c r="Y12" s="27"/>
      <c r="Z12" s="27"/>
      <c r="AA12" s="26">
        <v>8.0</v>
      </c>
      <c r="AB12" s="27"/>
      <c r="AC12" s="27"/>
      <c r="AD12" s="27"/>
      <c r="AE12" s="28">
        <f t="shared" si="1"/>
        <v>52</v>
      </c>
      <c r="AF12" s="29">
        <f t="shared" si="2"/>
        <v>18</v>
      </c>
      <c r="AG12" s="30">
        <f t="shared" si="3"/>
        <v>12</v>
      </c>
    </row>
    <row r="13">
      <c r="A13" s="25" t="s">
        <v>85</v>
      </c>
      <c r="B13" s="26">
        <v>6.0</v>
      </c>
      <c r="C13" s="26">
        <v>2.0</v>
      </c>
      <c r="D13" s="27"/>
      <c r="E13" s="27"/>
      <c r="F13" s="27"/>
      <c r="G13" s="26">
        <v>3.0</v>
      </c>
      <c r="H13" s="27"/>
      <c r="I13" s="26">
        <v>12.0</v>
      </c>
      <c r="J13" s="26" t="s">
        <v>256</v>
      </c>
      <c r="K13" s="26">
        <v>8.0</v>
      </c>
      <c r="L13" s="27"/>
      <c r="M13" s="27"/>
      <c r="N13" s="26">
        <v>10.0</v>
      </c>
      <c r="O13" s="26">
        <v>2.0</v>
      </c>
      <c r="P13" s="26">
        <v>6.0</v>
      </c>
      <c r="Q13" s="27"/>
      <c r="R13" s="27"/>
      <c r="S13" s="27"/>
      <c r="T13" s="26">
        <v>4.0</v>
      </c>
      <c r="U13" s="27"/>
      <c r="V13" s="27"/>
      <c r="W13" s="27"/>
      <c r="X13" s="27"/>
      <c r="Y13" s="27"/>
      <c r="Z13" s="27"/>
      <c r="AA13" s="27"/>
      <c r="AB13" s="27"/>
      <c r="AC13" s="27"/>
      <c r="AD13" s="26">
        <v>12.0</v>
      </c>
      <c r="AE13" s="28">
        <f t="shared" si="1"/>
        <v>65</v>
      </c>
      <c r="AF13" s="29">
        <f t="shared" si="2"/>
        <v>11</v>
      </c>
      <c r="AG13" s="30">
        <f t="shared" si="3"/>
        <v>10</v>
      </c>
    </row>
    <row r="14">
      <c r="A14" s="25" t="s">
        <v>81</v>
      </c>
      <c r="B14" s="26">
        <v>12.0</v>
      </c>
      <c r="C14" s="26">
        <v>3.0</v>
      </c>
      <c r="D14" s="27"/>
      <c r="E14" s="27"/>
      <c r="F14" s="27"/>
      <c r="G14" s="26">
        <v>10.0</v>
      </c>
      <c r="H14" s="26">
        <v>2.0</v>
      </c>
      <c r="I14" s="27"/>
      <c r="J14" s="27"/>
      <c r="K14" s="26" t="s">
        <v>256</v>
      </c>
      <c r="L14" s="27"/>
      <c r="M14" s="26">
        <v>1.0</v>
      </c>
      <c r="N14" s="26">
        <v>4.0</v>
      </c>
      <c r="O14" s="26">
        <v>8.0</v>
      </c>
      <c r="P14" s="26">
        <v>12.0</v>
      </c>
      <c r="Q14" s="27"/>
      <c r="R14" s="26">
        <v>5.0</v>
      </c>
      <c r="S14" s="27"/>
      <c r="T14" s="26">
        <v>5.0</v>
      </c>
      <c r="U14" s="27"/>
      <c r="V14" s="27"/>
      <c r="W14" s="27"/>
      <c r="X14" s="27"/>
      <c r="Y14" s="27"/>
      <c r="Z14" s="27"/>
      <c r="AA14" s="27"/>
      <c r="AB14" s="26">
        <v>8.0</v>
      </c>
      <c r="AC14" s="27"/>
      <c r="AD14" s="27"/>
      <c r="AE14" s="28">
        <f t="shared" si="1"/>
        <v>70</v>
      </c>
      <c r="AF14" s="29">
        <f t="shared" si="2"/>
        <v>7</v>
      </c>
      <c r="AG14" s="30">
        <f t="shared" si="3"/>
        <v>11</v>
      </c>
    </row>
    <row r="15">
      <c r="A15" s="25" t="s">
        <v>177</v>
      </c>
      <c r="B15" s="27"/>
      <c r="C15" s="26"/>
      <c r="D15" s="27"/>
      <c r="E15" s="26">
        <v>10.0</v>
      </c>
      <c r="F15" s="26">
        <v>6.0</v>
      </c>
      <c r="G15" s="26">
        <v>1.0</v>
      </c>
      <c r="H15" s="26">
        <v>8.0</v>
      </c>
      <c r="I15" s="26">
        <v>4.0</v>
      </c>
      <c r="J15" s="27"/>
      <c r="K15" s="27"/>
      <c r="L15" s="26" t="s">
        <v>256</v>
      </c>
      <c r="M15" s="26">
        <v>12.0</v>
      </c>
      <c r="N15" s="27"/>
      <c r="O15" s="26">
        <v>1.0</v>
      </c>
      <c r="P15" s="27"/>
      <c r="Q15" s="27"/>
      <c r="R15" s="27"/>
      <c r="S15" s="26">
        <v>1.0</v>
      </c>
      <c r="T15" s="27"/>
      <c r="U15" s="26">
        <v>10.0</v>
      </c>
      <c r="V15" s="27"/>
      <c r="W15" s="26">
        <v>5.0</v>
      </c>
      <c r="X15" s="26">
        <v>6.0</v>
      </c>
      <c r="Y15" s="26">
        <v>8.0</v>
      </c>
      <c r="Z15" s="26">
        <v>5.0</v>
      </c>
      <c r="AA15" s="26">
        <v>1.0</v>
      </c>
      <c r="AB15" s="26">
        <v>7.0</v>
      </c>
      <c r="AC15" s="26">
        <v>8.0</v>
      </c>
      <c r="AD15" s="27"/>
      <c r="AE15" s="28">
        <f t="shared" si="1"/>
        <v>93</v>
      </c>
      <c r="AF15" s="29">
        <f t="shared" si="2"/>
        <v>3</v>
      </c>
      <c r="AG15" s="30">
        <f t="shared" si="3"/>
        <v>16</v>
      </c>
    </row>
    <row r="16">
      <c r="A16" s="25" t="s">
        <v>157</v>
      </c>
      <c r="B16" s="27"/>
      <c r="C16" s="26">
        <v>8.0</v>
      </c>
      <c r="D16" s="27"/>
      <c r="E16" s="27"/>
      <c r="F16" s="27"/>
      <c r="G16" s="27"/>
      <c r="H16" s="26">
        <v>10.0</v>
      </c>
      <c r="I16" s="27"/>
      <c r="J16" s="27"/>
      <c r="K16" s="26">
        <v>1.0</v>
      </c>
      <c r="L16" s="27"/>
      <c r="M16" s="26" t="s">
        <v>256</v>
      </c>
      <c r="N16" s="27"/>
      <c r="O16" s="27"/>
      <c r="P16" s="26">
        <v>3.0</v>
      </c>
      <c r="Q16" s="27"/>
      <c r="R16" s="26">
        <v>1.0</v>
      </c>
      <c r="S16" s="27"/>
      <c r="T16" s="26">
        <v>8.0</v>
      </c>
      <c r="U16" s="27"/>
      <c r="V16" s="27"/>
      <c r="W16" s="27"/>
      <c r="X16" s="26">
        <v>12.0</v>
      </c>
      <c r="Y16" s="27"/>
      <c r="Z16" s="27"/>
      <c r="AA16" s="27"/>
      <c r="AB16" s="26">
        <v>4.0</v>
      </c>
      <c r="AC16" s="26">
        <v>12.0</v>
      </c>
      <c r="AD16" s="27"/>
      <c r="AE16" s="28">
        <f t="shared" si="1"/>
        <v>59</v>
      </c>
      <c r="AF16" s="29">
        <f t="shared" si="2"/>
        <v>14</v>
      </c>
      <c r="AG16" s="30">
        <f t="shared" si="3"/>
        <v>9</v>
      </c>
    </row>
    <row r="17">
      <c r="A17" s="25" t="s">
        <v>101</v>
      </c>
      <c r="B17" s="26">
        <v>3.0</v>
      </c>
      <c r="C17" s="27"/>
      <c r="D17" s="27"/>
      <c r="E17" s="26">
        <v>12.0</v>
      </c>
      <c r="F17" s="27"/>
      <c r="G17" s="27"/>
      <c r="H17" s="26">
        <v>12.0</v>
      </c>
      <c r="I17" s="26">
        <v>8.0</v>
      </c>
      <c r="J17" s="27"/>
      <c r="K17" s="27"/>
      <c r="L17" s="26">
        <v>10.0</v>
      </c>
      <c r="M17" s="26">
        <v>8.0</v>
      </c>
      <c r="N17" s="26" t="s">
        <v>256</v>
      </c>
      <c r="O17" s="26">
        <v>4.0</v>
      </c>
      <c r="P17" s="26">
        <v>1.0</v>
      </c>
      <c r="Q17" s="27"/>
      <c r="R17" s="26">
        <v>4.0</v>
      </c>
      <c r="S17" s="27"/>
      <c r="T17" s="27"/>
      <c r="U17" s="27"/>
      <c r="V17" s="26">
        <v>2.0</v>
      </c>
      <c r="W17" s="27"/>
      <c r="X17" s="26">
        <v>8.0</v>
      </c>
      <c r="Y17" s="26">
        <v>7.0</v>
      </c>
      <c r="Z17" s="26">
        <v>12.0</v>
      </c>
      <c r="AA17" s="27"/>
      <c r="AB17" s="27"/>
      <c r="AC17" s="26">
        <v>10.0</v>
      </c>
      <c r="AD17" s="26">
        <v>6.0</v>
      </c>
      <c r="AE17" s="28">
        <f t="shared" si="1"/>
        <v>107</v>
      </c>
      <c r="AF17" s="29">
        <f t="shared" si="2"/>
        <v>2</v>
      </c>
      <c r="AG17" s="30">
        <f t="shared" si="3"/>
        <v>15</v>
      </c>
    </row>
    <row r="18">
      <c r="A18" s="25" t="s">
        <v>189</v>
      </c>
      <c r="B18" s="27"/>
      <c r="C18" s="27"/>
      <c r="D18" s="26">
        <v>1.0</v>
      </c>
      <c r="E18" s="27"/>
      <c r="F18" s="26">
        <v>5.0</v>
      </c>
      <c r="G18" s="27"/>
      <c r="H18" s="27"/>
      <c r="I18" s="26">
        <v>2.0</v>
      </c>
      <c r="J18" s="26">
        <v>2.0</v>
      </c>
      <c r="K18" s="27"/>
      <c r="L18" s="26">
        <v>12.0</v>
      </c>
      <c r="M18" s="26">
        <v>4.0</v>
      </c>
      <c r="N18" s="26">
        <v>3.0</v>
      </c>
      <c r="O18" s="26" t="s">
        <v>256</v>
      </c>
      <c r="P18" s="26">
        <v>10.0</v>
      </c>
      <c r="Q18" s="27"/>
      <c r="R18" s="26">
        <v>7.0</v>
      </c>
      <c r="S18" s="27"/>
      <c r="T18" s="27"/>
      <c r="U18" s="26">
        <v>7.0</v>
      </c>
      <c r="V18" s="27"/>
      <c r="W18" s="27"/>
      <c r="X18" s="27"/>
      <c r="Y18" s="27"/>
      <c r="Z18" s="26">
        <v>6.0</v>
      </c>
      <c r="AA18" s="26">
        <v>5.0</v>
      </c>
      <c r="AB18" s="26">
        <v>6.0</v>
      </c>
      <c r="AC18" s="27"/>
      <c r="AD18" s="27"/>
      <c r="AE18" s="28">
        <f t="shared" si="1"/>
        <v>70</v>
      </c>
      <c r="AF18" s="29">
        <f t="shared" si="2"/>
        <v>7</v>
      </c>
      <c r="AG18" s="30">
        <f t="shared" si="3"/>
        <v>13</v>
      </c>
    </row>
    <row r="19">
      <c r="A19" s="25" t="s">
        <v>181</v>
      </c>
      <c r="B19" s="27"/>
      <c r="C19" s="27"/>
      <c r="D19" s="26">
        <v>12.0</v>
      </c>
      <c r="E19" s="27"/>
      <c r="F19" s="26">
        <v>12.0</v>
      </c>
      <c r="G19" s="26">
        <v>5.0</v>
      </c>
      <c r="H19" s="27"/>
      <c r="I19" s="27"/>
      <c r="J19" s="27"/>
      <c r="K19" s="26">
        <v>5.0</v>
      </c>
      <c r="L19" s="27"/>
      <c r="M19" s="27"/>
      <c r="N19" s="27"/>
      <c r="O19" s="26">
        <v>10.0</v>
      </c>
      <c r="P19" s="26" t="s">
        <v>256</v>
      </c>
      <c r="Q19" s="27"/>
      <c r="R19" s="27"/>
      <c r="S19" s="26">
        <v>4.0</v>
      </c>
      <c r="T19" s="27"/>
      <c r="U19" s="26">
        <v>3.0</v>
      </c>
      <c r="V19" s="27"/>
      <c r="W19" s="26">
        <v>6.0</v>
      </c>
      <c r="X19" s="27"/>
      <c r="Y19" s="27"/>
      <c r="Z19" s="26">
        <v>3.0</v>
      </c>
      <c r="AA19" s="27"/>
      <c r="AB19" s="26">
        <v>10.0</v>
      </c>
      <c r="AC19" s="26">
        <v>1.0</v>
      </c>
      <c r="AD19" s="27"/>
      <c r="AE19" s="28">
        <f t="shared" si="1"/>
        <v>71</v>
      </c>
      <c r="AF19" s="29">
        <f t="shared" si="2"/>
        <v>5</v>
      </c>
      <c r="AG19" s="30">
        <f t="shared" si="3"/>
        <v>11</v>
      </c>
    </row>
    <row r="20">
      <c r="A20" s="32" t="s">
        <v>197</v>
      </c>
      <c r="B20" s="33"/>
      <c r="C20" s="34">
        <v>6.0</v>
      </c>
      <c r="D20" s="33"/>
      <c r="E20" s="33"/>
      <c r="F20" s="33"/>
      <c r="G20" s="34">
        <v>2.0</v>
      </c>
      <c r="H20" s="33"/>
      <c r="I20" s="33"/>
      <c r="J20" s="34">
        <v>5.0</v>
      </c>
      <c r="K20" s="33"/>
      <c r="L20" s="33"/>
      <c r="M20" s="33"/>
      <c r="N20" s="33"/>
      <c r="O20" s="33"/>
      <c r="P20" s="33"/>
      <c r="Q20" s="34" t="s">
        <v>256</v>
      </c>
      <c r="R20" s="33"/>
      <c r="S20" s="33"/>
      <c r="T20" s="33"/>
      <c r="U20" s="33"/>
      <c r="V20" s="33"/>
      <c r="W20" s="34">
        <v>3.0</v>
      </c>
      <c r="X20" s="33"/>
      <c r="Y20" s="34">
        <v>4.0</v>
      </c>
      <c r="Z20" s="33"/>
      <c r="AA20" s="33"/>
      <c r="AB20" s="33"/>
      <c r="AC20" s="33"/>
      <c r="AD20" s="34">
        <v>3.0</v>
      </c>
      <c r="AE20" s="35">
        <f t="shared" si="1"/>
        <v>23</v>
      </c>
      <c r="AF20" s="36">
        <f t="shared" si="2"/>
        <v>26</v>
      </c>
      <c r="AG20" s="37">
        <f t="shared" si="3"/>
        <v>6</v>
      </c>
    </row>
    <row r="21">
      <c r="A21" s="25" t="s">
        <v>237</v>
      </c>
      <c r="B21" s="27"/>
      <c r="C21" s="27"/>
      <c r="D21" s="27"/>
      <c r="E21" s="26">
        <v>2.0</v>
      </c>
      <c r="F21" s="27"/>
      <c r="G21" s="27"/>
      <c r="H21" s="26">
        <v>7.0</v>
      </c>
      <c r="I21" s="27"/>
      <c r="J21" s="27"/>
      <c r="K21" s="27"/>
      <c r="L21" s="27"/>
      <c r="M21" s="26">
        <v>7.0</v>
      </c>
      <c r="N21" s="27"/>
      <c r="O21" s="27"/>
      <c r="P21" s="27"/>
      <c r="Q21" s="27"/>
      <c r="R21" s="26" t="s">
        <v>256</v>
      </c>
      <c r="S21" s="27"/>
      <c r="T21" s="26">
        <v>10.0</v>
      </c>
      <c r="U21" s="27"/>
      <c r="V21" s="27"/>
      <c r="W21" s="26">
        <v>1.0</v>
      </c>
      <c r="X21" s="27"/>
      <c r="Y21" s="27"/>
      <c r="Z21" s="26">
        <v>1.0</v>
      </c>
      <c r="AA21" s="27"/>
      <c r="AB21" s="26">
        <v>3.0</v>
      </c>
      <c r="AC21" s="27"/>
      <c r="AD21" s="26">
        <v>8.0</v>
      </c>
      <c r="AE21" s="28">
        <f t="shared" si="1"/>
        <v>39</v>
      </c>
      <c r="AF21" s="29">
        <f t="shared" si="2"/>
        <v>24</v>
      </c>
      <c r="AG21" s="30">
        <f t="shared" si="3"/>
        <v>8</v>
      </c>
    </row>
    <row r="22">
      <c r="A22" s="25" t="s">
        <v>53</v>
      </c>
      <c r="B22" s="27"/>
      <c r="C22" s="27"/>
      <c r="D22" s="26">
        <v>2.0</v>
      </c>
      <c r="E22" s="27"/>
      <c r="F22" s="26">
        <v>1.0</v>
      </c>
      <c r="G22" s="27"/>
      <c r="H22" s="27"/>
      <c r="I22" s="26">
        <v>10.0</v>
      </c>
      <c r="J22" s="27"/>
      <c r="K22" s="27"/>
      <c r="L22" s="26">
        <v>4.0</v>
      </c>
      <c r="M22" s="27"/>
      <c r="N22" s="26">
        <v>12.0</v>
      </c>
      <c r="O22" s="27"/>
      <c r="P22" s="27"/>
      <c r="Q22" s="27"/>
      <c r="R22" s="27"/>
      <c r="S22" s="26" t="s">
        <v>256</v>
      </c>
      <c r="T22" s="27"/>
      <c r="U22" s="27"/>
      <c r="V22" s="26">
        <v>7.0</v>
      </c>
      <c r="W22" s="27"/>
      <c r="X22" s="27"/>
      <c r="Y22" s="27"/>
      <c r="Z22" s="27"/>
      <c r="AA22" s="26">
        <v>3.0</v>
      </c>
      <c r="AB22" s="27"/>
      <c r="AC22" s="26">
        <v>7.0</v>
      </c>
      <c r="AD22" s="26">
        <v>7.0</v>
      </c>
      <c r="AE22" s="28">
        <f t="shared" si="1"/>
        <v>53</v>
      </c>
      <c r="AF22" s="29">
        <f t="shared" si="2"/>
        <v>17</v>
      </c>
      <c r="AG22" s="30">
        <f t="shared" si="3"/>
        <v>9</v>
      </c>
    </row>
    <row r="23">
      <c r="A23" s="25" t="s">
        <v>125</v>
      </c>
      <c r="B23" s="27"/>
      <c r="C23" s="27"/>
      <c r="D23" s="26">
        <v>7.0</v>
      </c>
      <c r="E23" s="26">
        <v>4.0</v>
      </c>
      <c r="F23" s="26">
        <v>7.0</v>
      </c>
      <c r="G23" s="27"/>
      <c r="H23" s="27"/>
      <c r="I23" s="27"/>
      <c r="J23" s="26"/>
      <c r="K23" s="27"/>
      <c r="L23" s="27"/>
      <c r="M23" s="26">
        <v>10.0</v>
      </c>
      <c r="N23" s="27"/>
      <c r="O23" s="27"/>
      <c r="P23" s="27"/>
      <c r="Q23" s="27"/>
      <c r="R23" s="26">
        <v>10.0</v>
      </c>
      <c r="S23" s="27"/>
      <c r="T23" s="26" t="s">
        <v>256</v>
      </c>
      <c r="U23" s="27"/>
      <c r="V23" s="26">
        <v>1.0</v>
      </c>
      <c r="W23" s="27"/>
      <c r="X23" s="26">
        <v>5.0</v>
      </c>
      <c r="Y23" s="27"/>
      <c r="Z23" s="26">
        <v>2.0</v>
      </c>
      <c r="AA23" s="27"/>
      <c r="AB23" s="27"/>
      <c r="AC23" s="27"/>
      <c r="AD23" s="27"/>
      <c r="AE23" s="28">
        <f t="shared" si="1"/>
        <v>46</v>
      </c>
      <c r="AF23" s="29">
        <f t="shared" si="2"/>
        <v>22</v>
      </c>
      <c r="AG23" s="30">
        <f t="shared" si="3"/>
        <v>8</v>
      </c>
    </row>
    <row r="24">
      <c r="A24" s="25" t="s">
        <v>45</v>
      </c>
      <c r="B24" s="27"/>
      <c r="C24" s="26">
        <v>12.0</v>
      </c>
      <c r="D24" s="26">
        <v>10.0</v>
      </c>
      <c r="E24" s="26">
        <v>1.0</v>
      </c>
      <c r="F24" s="27"/>
      <c r="G24" s="26">
        <v>4.0</v>
      </c>
      <c r="H24" s="27"/>
      <c r="I24" s="26">
        <v>6.0</v>
      </c>
      <c r="J24" s="27"/>
      <c r="K24" s="27"/>
      <c r="L24" s="26">
        <v>2.0</v>
      </c>
      <c r="M24" s="26">
        <v>6.0</v>
      </c>
      <c r="N24" s="27"/>
      <c r="O24" s="27"/>
      <c r="P24" s="27"/>
      <c r="Q24" s="27"/>
      <c r="R24" s="26">
        <v>3.0</v>
      </c>
      <c r="S24" s="26">
        <v>7.0</v>
      </c>
      <c r="T24" s="27"/>
      <c r="U24" s="26" t="s">
        <v>256</v>
      </c>
      <c r="V24" s="26">
        <v>6.0</v>
      </c>
      <c r="W24" s="26">
        <v>10.0</v>
      </c>
      <c r="X24" s="26">
        <v>2.0</v>
      </c>
      <c r="Y24" s="27"/>
      <c r="Z24" s="27"/>
      <c r="AA24" s="26">
        <v>2.0</v>
      </c>
      <c r="AB24" s="27"/>
      <c r="AC24" s="27"/>
      <c r="AD24" s="27"/>
      <c r="AE24" s="28">
        <f t="shared" si="1"/>
        <v>71</v>
      </c>
      <c r="AF24" s="29">
        <f t="shared" si="2"/>
        <v>5</v>
      </c>
      <c r="AG24" s="30">
        <f t="shared" si="3"/>
        <v>13</v>
      </c>
    </row>
    <row r="25">
      <c r="A25" s="25" t="s">
        <v>246</v>
      </c>
      <c r="B25" s="27"/>
      <c r="C25" s="26">
        <v>1.0</v>
      </c>
      <c r="D25" s="26">
        <v>6.0</v>
      </c>
      <c r="E25" s="26">
        <v>5.0</v>
      </c>
      <c r="F25" s="27"/>
      <c r="G25" s="27"/>
      <c r="H25" s="26">
        <v>6.0</v>
      </c>
      <c r="I25" s="27"/>
      <c r="J25" s="27"/>
      <c r="K25" s="27"/>
      <c r="L25" s="26">
        <v>5.0</v>
      </c>
      <c r="M25" s="27"/>
      <c r="N25" s="27"/>
      <c r="O25" s="27"/>
      <c r="P25" s="27"/>
      <c r="Q25" s="27"/>
      <c r="R25" s="27"/>
      <c r="S25" s="26">
        <v>5.0</v>
      </c>
      <c r="T25" s="27"/>
      <c r="U25" s="26">
        <v>12.0</v>
      </c>
      <c r="V25" s="26" t="s">
        <v>256</v>
      </c>
      <c r="W25" s="26">
        <v>7.0</v>
      </c>
      <c r="X25" s="26">
        <v>10.0</v>
      </c>
      <c r="Y25" s="27"/>
      <c r="Z25" s="27"/>
      <c r="AA25" s="26">
        <v>6.0</v>
      </c>
      <c r="AB25" s="27"/>
      <c r="AC25" s="26">
        <v>4.0</v>
      </c>
      <c r="AD25" s="27"/>
      <c r="AE25" s="28">
        <f t="shared" si="1"/>
        <v>67</v>
      </c>
      <c r="AF25" s="29">
        <f t="shared" si="2"/>
        <v>9</v>
      </c>
      <c r="AG25" s="30">
        <f t="shared" si="3"/>
        <v>11</v>
      </c>
    </row>
    <row r="26">
      <c r="A26" s="25" t="s">
        <v>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6">
        <v>8.0</v>
      </c>
      <c r="M26" s="27"/>
      <c r="N26" s="27"/>
      <c r="O26" s="27"/>
      <c r="P26" s="27"/>
      <c r="Q26" s="27"/>
      <c r="R26" s="27"/>
      <c r="S26" s="26">
        <v>2.0</v>
      </c>
      <c r="T26" s="26">
        <v>3.0</v>
      </c>
      <c r="U26" s="27"/>
      <c r="V26" s="26">
        <v>4.0</v>
      </c>
      <c r="W26" s="26" t="s">
        <v>256</v>
      </c>
      <c r="X26" s="27"/>
      <c r="Y26" s="27"/>
      <c r="Z26" s="27"/>
      <c r="AA26" s="26">
        <v>7.0</v>
      </c>
      <c r="AB26" s="27"/>
      <c r="AC26" s="27"/>
      <c r="AD26" s="27"/>
      <c r="AE26" s="28">
        <f t="shared" si="1"/>
        <v>24</v>
      </c>
      <c r="AF26" s="29">
        <f t="shared" si="2"/>
        <v>25</v>
      </c>
      <c r="AG26" s="30">
        <f t="shared" si="3"/>
        <v>5</v>
      </c>
    </row>
    <row r="27">
      <c r="A27" s="25" t="s">
        <v>153</v>
      </c>
      <c r="B27" s="26">
        <v>1.0</v>
      </c>
      <c r="C27" s="27"/>
      <c r="D27" s="27"/>
      <c r="E27" s="26">
        <v>6.0</v>
      </c>
      <c r="F27" s="27"/>
      <c r="G27" s="27"/>
      <c r="H27" s="26">
        <v>5.0</v>
      </c>
      <c r="I27" s="26">
        <v>7.0</v>
      </c>
      <c r="J27" s="27"/>
      <c r="K27" s="27"/>
      <c r="L27" s="26">
        <v>6.0</v>
      </c>
      <c r="M27" s="27"/>
      <c r="N27" s="26">
        <v>2.0</v>
      </c>
      <c r="O27" s="27"/>
      <c r="P27" s="26">
        <v>2.0</v>
      </c>
      <c r="Q27" s="27"/>
      <c r="R27" s="26">
        <v>12.0</v>
      </c>
      <c r="S27" s="27"/>
      <c r="T27" s="27"/>
      <c r="U27" s="27"/>
      <c r="V27" s="27"/>
      <c r="W27" s="27"/>
      <c r="X27" s="26" t="s">
        <v>256</v>
      </c>
      <c r="Y27" s="27"/>
      <c r="Z27" s="27"/>
      <c r="AA27" s="27"/>
      <c r="AB27" s="27"/>
      <c r="AC27" s="26">
        <v>5.0</v>
      </c>
      <c r="AD27" s="26">
        <v>4.0</v>
      </c>
      <c r="AE27" s="28">
        <f t="shared" si="1"/>
        <v>50</v>
      </c>
      <c r="AF27" s="29">
        <f t="shared" si="2"/>
        <v>20</v>
      </c>
      <c r="AG27" s="30">
        <f t="shared" si="3"/>
        <v>10</v>
      </c>
    </row>
    <row r="28">
      <c r="A28" s="25" t="s">
        <v>201</v>
      </c>
      <c r="B28" s="27"/>
      <c r="C28" s="27"/>
      <c r="D28" s="26">
        <v>8.0</v>
      </c>
      <c r="E28" s="26">
        <v>3.0</v>
      </c>
      <c r="F28" s="26">
        <v>10.0</v>
      </c>
      <c r="G28" s="27"/>
      <c r="H28" s="27"/>
      <c r="I28" s="27"/>
      <c r="J28" s="27"/>
      <c r="K28" s="26">
        <v>4.0</v>
      </c>
      <c r="L28" s="27"/>
      <c r="M28" s="27"/>
      <c r="N28" s="27"/>
      <c r="O28" s="26">
        <v>7.0</v>
      </c>
      <c r="P28" s="26">
        <v>7.0</v>
      </c>
      <c r="Q28" s="27"/>
      <c r="R28" s="27"/>
      <c r="S28" s="27"/>
      <c r="T28" s="27"/>
      <c r="U28" s="27"/>
      <c r="V28" s="27"/>
      <c r="W28" s="26">
        <v>4.0</v>
      </c>
      <c r="X28" s="27"/>
      <c r="Y28" s="26" t="s">
        <v>256</v>
      </c>
      <c r="Z28" s="26">
        <v>7.0</v>
      </c>
      <c r="AA28" s="26">
        <v>4.0</v>
      </c>
      <c r="AB28" s="26">
        <v>12.0</v>
      </c>
      <c r="AC28" s="27"/>
      <c r="AD28" s="26">
        <v>1.0</v>
      </c>
      <c r="AE28" s="28">
        <f t="shared" si="1"/>
        <v>67</v>
      </c>
      <c r="AF28" s="29">
        <f t="shared" si="2"/>
        <v>9</v>
      </c>
      <c r="AG28" s="30">
        <f t="shared" si="3"/>
        <v>11</v>
      </c>
    </row>
    <row r="29">
      <c r="A29" s="25" t="s">
        <v>185</v>
      </c>
      <c r="B29" s="27"/>
      <c r="C29" s="26">
        <v>7.0</v>
      </c>
      <c r="D29" s="26">
        <v>5.0</v>
      </c>
      <c r="E29" s="26">
        <v>7.0</v>
      </c>
      <c r="F29" s="26">
        <v>2.0</v>
      </c>
      <c r="G29" s="27"/>
      <c r="H29" s="27"/>
      <c r="I29" s="26">
        <v>3.0</v>
      </c>
      <c r="J29" s="26">
        <v>1.0</v>
      </c>
      <c r="K29" s="27"/>
      <c r="L29" s="27"/>
      <c r="M29" s="27"/>
      <c r="N29" s="26">
        <v>1.0</v>
      </c>
      <c r="O29" s="27"/>
      <c r="P29" s="27"/>
      <c r="Q29" s="27"/>
      <c r="R29" s="27"/>
      <c r="S29" s="26">
        <v>8.0</v>
      </c>
      <c r="T29" s="27"/>
      <c r="U29" s="26">
        <v>2.0</v>
      </c>
      <c r="V29" s="26">
        <v>10.0</v>
      </c>
      <c r="W29" s="26">
        <v>2.0</v>
      </c>
      <c r="X29" s="27"/>
      <c r="Y29" s="27"/>
      <c r="Z29" s="26" t="s">
        <v>256</v>
      </c>
      <c r="AA29" s="26">
        <v>12.0</v>
      </c>
      <c r="AB29" s="27"/>
      <c r="AC29" s="27"/>
      <c r="AD29" s="26">
        <v>5.0</v>
      </c>
      <c r="AE29" s="28">
        <f t="shared" si="1"/>
        <v>65</v>
      </c>
      <c r="AF29" s="29">
        <f t="shared" si="2"/>
        <v>11</v>
      </c>
      <c r="AG29" s="30">
        <f t="shared" si="3"/>
        <v>13</v>
      </c>
    </row>
    <row r="30">
      <c r="A30" s="25" t="s">
        <v>252</v>
      </c>
      <c r="B30" s="26">
        <v>2.0</v>
      </c>
      <c r="C30" s="27"/>
      <c r="D30" s="26">
        <v>4.0</v>
      </c>
      <c r="E30" s="27"/>
      <c r="F30" s="26">
        <v>4.0</v>
      </c>
      <c r="G30" s="26">
        <v>12.0</v>
      </c>
      <c r="H30" s="27"/>
      <c r="I30" s="26">
        <v>1.0</v>
      </c>
      <c r="J30" s="26">
        <v>12.0</v>
      </c>
      <c r="K30" s="26">
        <v>7.0</v>
      </c>
      <c r="L30" s="26">
        <v>7.0</v>
      </c>
      <c r="M30" s="27"/>
      <c r="N30" s="26">
        <v>5.0</v>
      </c>
      <c r="O30" s="27"/>
      <c r="P30" s="27"/>
      <c r="Q30" s="27"/>
      <c r="R30" s="27"/>
      <c r="S30" s="26">
        <v>12.0</v>
      </c>
      <c r="T30" s="27"/>
      <c r="U30" s="27"/>
      <c r="V30" s="26">
        <v>12.0</v>
      </c>
      <c r="W30" s="27"/>
      <c r="X30" s="27"/>
      <c r="Y30" s="26">
        <v>6.0</v>
      </c>
      <c r="Z30" s="27"/>
      <c r="AA30" s="26" t="s">
        <v>256</v>
      </c>
      <c r="AB30" s="27"/>
      <c r="AC30" s="27"/>
      <c r="AD30" s="27"/>
      <c r="AE30" s="28">
        <f t="shared" si="1"/>
        <v>84</v>
      </c>
      <c r="AF30" s="29">
        <f t="shared" si="2"/>
        <v>4</v>
      </c>
      <c r="AG30" s="30">
        <f t="shared" si="3"/>
        <v>12</v>
      </c>
    </row>
    <row r="31" ht="9.0" customHeight="1">
      <c r="A31" s="38"/>
    </row>
    <row r="32">
      <c r="A32" s="39"/>
      <c r="B32" s="40">
        <f t="shared" ref="B32:AD32" si="4">SUM(B5:B30)</f>
        <v>58</v>
      </c>
      <c r="C32" s="40">
        <f t="shared" si="4"/>
        <v>58</v>
      </c>
      <c r="D32" s="40">
        <f t="shared" si="4"/>
        <v>58</v>
      </c>
      <c r="E32" s="40">
        <f t="shared" si="4"/>
        <v>58</v>
      </c>
      <c r="F32" s="40">
        <f t="shared" si="4"/>
        <v>58</v>
      </c>
      <c r="G32" s="40">
        <f t="shared" si="4"/>
        <v>58</v>
      </c>
      <c r="H32" s="40">
        <f t="shared" si="4"/>
        <v>58</v>
      </c>
      <c r="I32" s="40">
        <f t="shared" si="4"/>
        <v>58</v>
      </c>
      <c r="J32" s="40">
        <f t="shared" si="4"/>
        <v>58</v>
      </c>
      <c r="K32" s="40">
        <f t="shared" si="4"/>
        <v>58</v>
      </c>
      <c r="L32" s="40">
        <f t="shared" si="4"/>
        <v>58</v>
      </c>
      <c r="M32" s="40">
        <f t="shared" si="4"/>
        <v>58</v>
      </c>
      <c r="N32" s="40">
        <f t="shared" si="4"/>
        <v>58</v>
      </c>
      <c r="O32" s="40">
        <f t="shared" si="4"/>
        <v>58</v>
      </c>
      <c r="P32" s="40">
        <f t="shared" si="4"/>
        <v>58</v>
      </c>
      <c r="Q32" s="40">
        <f t="shared" si="4"/>
        <v>0</v>
      </c>
      <c r="R32" s="40">
        <f t="shared" si="4"/>
        <v>58</v>
      </c>
      <c r="S32" s="40">
        <f t="shared" si="4"/>
        <v>58</v>
      </c>
      <c r="T32" s="40">
        <f t="shared" si="4"/>
        <v>58</v>
      </c>
      <c r="U32" s="40">
        <f t="shared" si="4"/>
        <v>58</v>
      </c>
      <c r="V32" s="40">
        <f t="shared" si="4"/>
        <v>58</v>
      </c>
      <c r="W32" s="40">
        <f t="shared" si="4"/>
        <v>58</v>
      </c>
      <c r="X32" s="40">
        <f t="shared" si="4"/>
        <v>58</v>
      </c>
      <c r="Y32" s="40">
        <f t="shared" si="4"/>
        <v>58</v>
      </c>
      <c r="Z32" s="40">
        <f t="shared" si="4"/>
        <v>58</v>
      </c>
      <c r="AA32" s="40">
        <f t="shared" si="4"/>
        <v>58</v>
      </c>
      <c r="AB32" s="40">
        <f t="shared" si="4"/>
        <v>58</v>
      </c>
      <c r="AC32" s="40">
        <f t="shared" si="4"/>
        <v>58</v>
      </c>
      <c r="AD32" s="40">
        <f t="shared" si="4"/>
        <v>58</v>
      </c>
      <c r="AE32" s="41"/>
    </row>
    <row r="33">
      <c r="A33" s="42"/>
    </row>
    <row r="36">
      <c r="A36" s="43"/>
    </row>
    <row r="37">
      <c r="A37" s="43"/>
    </row>
    <row r="38">
      <c r="A38" s="43"/>
    </row>
    <row r="39">
      <c r="A39" s="43"/>
    </row>
    <row r="40">
      <c r="A40" s="43"/>
    </row>
    <row r="41">
      <c r="A41" s="43"/>
    </row>
    <row r="42">
      <c r="A42" s="43"/>
    </row>
    <row r="43">
      <c r="A43" s="43"/>
    </row>
    <row r="44">
      <c r="A44" s="43"/>
    </row>
    <row r="45">
      <c r="A45" s="43"/>
    </row>
    <row r="46">
      <c r="A46" s="43"/>
    </row>
    <row r="47">
      <c r="A47" s="43"/>
    </row>
  </sheetData>
  <mergeCells count="4">
    <mergeCell ref="A1:AG3"/>
    <mergeCell ref="A31:AG31"/>
    <mergeCell ref="AE32:AG32"/>
    <mergeCell ref="A33:AG35"/>
  </mergeCells>
  <conditionalFormatting sqref="B5:AD30">
    <cfRule type="endsWith" dxfId="0" priority="1" operator="endsWith" text="12">
      <formula>RIGHT((B5),LEN("12"))=("12")</formula>
    </cfRule>
  </conditionalFormatting>
  <conditionalFormatting sqref="B5:D29 E5:E30 F5:Z29 AA5:AA30 AB5:AD29">
    <cfRule type="cellIs" dxfId="1" priority="2" operator="equal">
      <formula>"X"</formula>
    </cfRule>
  </conditionalFormatting>
  <conditionalFormatting sqref="A5:A30">
    <cfRule type="expression" dxfId="2" priority="3">
      <formula>AF5&lt;=10</formula>
    </cfRule>
  </conditionalFormatting>
  <conditionalFormatting sqref="AF5:AF30">
    <cfRule type="cellIs" dxfId="3" priority="4" operator="lessThanOrEqual">
      <formula>10</formula>
    </cfRule>
  </conditionalFormatting>
  <conditionalFormatting sqref="B4:AD4">
    <cfRule type="expression" dxfId="4" priority="5">
      <formula>B32=0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5.0"/>
    <col customWidth="1" min="3" max="5" width="3.88"/>
    <col customWidth="1" min="6" max="18" width="3.75"/>
    <col customWidth="1" min="19" max="20" width="3.88"/>
    <col customWidth="1" min="21" max="21" width="4.0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17.75" customHeight="1">
      <c r="A4" s="45" t="s">
        <v>257</v>
      </c>
      <c r="B4" s="46" t="s">
        <v>258</v>
      </c>
      <c r="C4" s="47" t="s">
        <v>254</v>
      </c>
      <c r="D4" s="48" t="s">
        <v>259</v>
      </c>
      <c r="E4" s="46" t="s">
        <v>255</v>
      </c>
      <c r="F4" s="49" t="s">
        <v>25</v>
      </c>
      <c r="G4" s="49" t="s">
        <v>113</v>
      </c>
      <c r="H4" s="49" t="s">
        <v>37</v>
      </c>
      <c r="I4" s="50" t="s">
        <v>213</v>
      </c>
      <c r="J4" s="50" t="s">
        <v>137</v>
      </c>
      <c r="K4" s="50" t="s">
        <v>5</v>
      </c>
      <c r="L4" s="50" t="s">
        <v>173</v>
      </c>
      <c r="M4" s="50" t="s">
        <v>77</v>
      </c>
      <c r="N4" s="50" t="s">
        <v>93</v>
      </c>
      <c r="O4" s="50" t="s">
        <v>247</v>
      </c>
      <c r="P4" s="50" t="s">
        <v>169</v>
      </c>
      <c r="Q4" s="50" t="s">
        <v>17</v>
      </c>
      <c r="R4" s="50" t="s">
        <v>49</v>
      </c>
      <c r="S4" s="50" t="s">
        <v>97</v>
      </c>
      <c r="T4" s="50" t="s">
        <v>61</v>
      </c>
      <c r="U4" s="50" t="s">
        <v>73</v>
      </c>
      <c r="V4" s="44"/>
      <c r="W4" s="44"/>
      <c r="X4" s="44"/>
      <c r="Y4" s="44"/>
      <c r="Z4" s="44"/>
    </row>
    <row r="5">
      <c r="A5" s="25" t="s">
        <v>105</v>
      </c>
      <c r="B5" s="51">
        <f t="shared" ref="B5:B30" si="1">SUM(F5:U5)+D5</f>
        <v>40</v>
      </c>
      <c r="C5" s="52">
        <f t="shared" ref="C5:C30" si="2">_xlfn.RANK.EQ(B5, B$5:B$30, 0)</f>
        <v>14</v>
      </c>
      <c r="D5" s="53"/>
      <c r="E5" s="54">
        <f t="shared" ref="E5:E30" si="3">COUNT(F5:T5)</f>
        <v>6</v>
      </c>
      <c r="F5" s="55"/>
      <c r="G5" s="55"/>
      <c r="H5" s="56">
        <v>10.0</v>
      </c>
      <c r="I5" s="56">
        <v>2.0</v>
      </c>
      <c r="J5" s="56">
        <v>5.0</v>
      </c>
      <c r="K5" s="55"/>
      <c r="L5" s="55"/>
      <c r="M5" s="55"/>
      <c r="N5" s="56">
        <v>1.0</v>
      </c>
      <c r="O5" s="56">
        <v>7.0</v>
      </c>
      <c r="P5" s="55"/>
      <c r="Q5" s="56">
        <v>7.0</v>
      </c>
      <c r="R5" s="55"/>
      <c r="S5" s="55"/>
      <c r="T5" s="55"/>
      <c r="U5" s="56">
        <v>8.0</v>
      </c>
      <c r="V5" s="44"/>
      <c r="W5" s="44"/>
      <c r="X5" s="44"/>
      <c r="Y5" s="44"/>
      <c r="Z5" s="44"/>
    </row>
    <row r="6">
      <c r="A6" s="25" t="s">
        <v>69</v>
      </c>
      <c r="B6" s="51">
        <f t="shared" si="1"/>
        <v>25</v>
      </c>
      <c r="C6" s="52">
        <f t="shared" si="2"/>
        <v>20</v>
      </c>
      <c r="D6" s="53"/>
      <c r="E6" s="54">
        <f t="shared" si="3"/>
        <v>6</v>
      </c>
      <c r="F6" s="55"/>
      <c r="G6" s="56">
        <v>8.0</v>
      </c>
      <c r="H6" s="56">
        <v>7.0</v>
      </c>
      <c r="I6" s="55"/>
      <c r="J6" s="55"/>
      <c r="K6" s="55"/>
      <c r="L6" s="56">
        <v>6.0</v>
      </c>
      <c r="M6" s="55"/>
      <c r="N6" s="55"/>
      <c r="O6" s="55"/>
      <c r="P6" s="55"/>
      <c r="Q6" s="56">
        <v>1.0</v>
      </c>
      <c r="R6" s="56">
        <v>1.0</v>
      </c>
      <c r="S6" s="55"/>
      <c r="T6" s="56">
        <v>2.0</v>
      </c>
      <c r="U6" s="55"/>
      <c r="V6" s="44"/>
      <c r="W6" s="44"/>
      <c r="X6" s="44"/>
      <c r="Y6" s="44"/>
      <c r="Z6" s="44"/>
    </row>
    <row r="7">
      <c r="A7" s="25" t="s">
        <v>129</v>
      </c>
      <c r="B7" s="51">
        <f t="shared" si="1"/>
        <v>45</v>
      </c>
      <c r="C7" s="52">
        <f t="shared" si="2"/>
        <v>10</v>
      </c>
      <c r="D7" s="57"/>
      <c r="E7" s="54">
        <f t="shared" si="3"/>
        <v>8</v>
      </c>
      <c r="F7" s="55"/>
      <c r="G7" s="55"/>
      <c r="H7" s="55"/>
      <c r="I7" s="56">
        <v>5.0</v>
      </c>
      <c r="J7" s="55"/>
      <c r="K7" s="56">
        <v>7.0</v>
      </c>
      <c r="L7" s="56">
        <v>7.0</v>
      </c>
      <c r="M7" s="55"/>
      <c r="N7" s="56">
        <v>6.0</v>
      </c>
      <c r="O7" s="55"/>
      <c r="P7" s="55"/>
      <c r="Q7" s="56">
        <v>5.0</v>
      </c>
      <c r="R7" s="56">
        <v>3.0</v>
      </c>
      <c r="S7" s="56">
        <v>8.0</v>
      </c>
      <c r="T7" s="56">
        <v>4.0</v>
      </c>
      <c r="U7" s="55"/>
      <c r="V7" s="44"/>
      <c r="W7" s="44"/>
      <c r="X7" s="44"/>
      <c r="Y7" s="44"/>
      <c r="Z7" s="44"/>
    </row>
    <row r="8">
      <c r="A8" s="25" t="s">
        <v>229</v>
      </c>
      <c r="B8" s="51">
        <f t="shared" si="1"/>
        <v>65</v>
      </c>
      <c r="C8" s="52">
        <f t="shared" si="2"/>
        <v>1</v>
      </c>
      <c r="D8" s="53"/>
      <c r="E8" s="54">
        <f t="shared" si="3"/>
        <v>9</v>
      </c>
      <c r="F8" s="56">
        <v>12.0</v>
      </c>
      <c r="G8" s="56">
        <v>7.0</v>
      </c>
      <c r="H8" s="55"/>
      <c r="I8" s="56">
        <v>1.0</v>
      </c>
      <c r="J8" s="55"/>
      <c r="K8" s="56">
        <v>1.0</v>
      </c>
      <c r="L8" s="55"/>
      <c r="M8" s="55"/>
      <c r="N8" s="56">
        <v>5.0</v>
      </c>
      <c r="O8" s="56">
        <v>6.0</v>
      </c>
      <c r="P8" s="56">
        <v>12.0</v>
      </c>
      <c r="Q8" s="56">
        <v>4.0</v>
      </c>
      <c r="R8" s="55"/>
      <c r="S8" s="56">
        <v>5.0</v>
      </c>
      <c r="T8" s="55"/>
      <c r="U8" s="56">
        <v>12.0</v>
      </c>
      <c r="V8" s="44"/>
      <c r="W8" s="44"/>
      <c r="X8" s="44"/>
      <c r="Y8" s="44"/>
      <c r="Z8" s="44"/>
    </row>
    <row r="9">
      <c r="A9" s="25" t="s">
        <v>221</v>
      </c>
      <c r="B9" s="51">
        <f t="shared" si="1"/>
        <v>44</v>
      </c>
      <c r="C9" s="52">
        <f t="shared" si="2"/>
        <v>12</v>
      </c>
      <c r="D9" s="53"/>
      <c r="E9" s="54">
        <f t="shared" si="3"/>
        <v>6</v>
      </c>
      <c r="F9" s="56">
        <v>2.0</v>
      </c>
      <c r="G9" s="55"/>
      <c r="H9" s="55"/>
      <c r="I9" s="56">
        <v>8.0</v>
      </c>
      <c r="J9" s="56">
        <v>10.0</v>
      </c>
      <c r="K9" s="55"/>
      <c r="L9" s="56">
        <v>10.0</v>
      </c>
      <c r="M9" s="56">
        <v>12.0</v>
      </c>
      <c r="N9" s="55"/>
      <c r="O9" s="55"/>
      <c r="P9" s="55"/>
      <c r="Q9" s="55"/>
      <c r="R9" s="55"/>
      <c r="S9" s="56">
        <v>2.0</v>
      </c>
      <c r="T9" s="55"/>
      <c r="U9" s="55"/>
      <c r="V9" s="44"/>
      <c r="W9" s="44"/>
      <c r="X9" s="44"/>
      <c r="Y9" s="44"/>
      <c r="Z9" s="44"/>
    </row>
    <row r="10">
      <c r="A10" s="25" t="s">
        <v>41</v>
      </c>
      <c r="B10" s="51">
        <f t="shared" si="1"/>
        <v>25</v>
      </c>
      <c r="C10" s="52">
        <f t="shared" si="2"/>
        <v>20</v>
      </c>
      <c r="D10" s="57">
        <v>6.0</v>
      </c>
      <c r="E10" s="54">
        <f t="shared" si="3"/>
        <v>3</v>
      </c>
      <c r="F10" s="55"/>
      <c r="G10" s="55"/>
      <c r="H10" s="56">
        <v>8.0</v>
      </c>
      <c r="I10" s="55"/>
      <c r="J10" s="55"/>
      <c r="K10" s="55"/>
      <c r="L10" s="56">
        <v>4.0</v>
      </c>
      <c r="M10" s="55"/>
      <c r="N10" s="55"/>
      <c r="O10" s="55"/>
      <c r="P10" s="55"/>
      <c r="Q10" s="56">
        <v>6.0</v>
      </c>
      <c r="R10" s="55"/>
      <c r="S10" s="55"/>
      <c r="T10" s="55"/>
      <c r="U10" s="56">
        <v>1.0</v>
      </c>
      <c r="V10" s="44"/>
      <c r="W10" s="44"/>
      <c r="X10" s="44"/>
      <c r="Y10" s="44"/>
      <c r="Z10" s="44"/>
    </row>
    <row r="11">
      <c r="A11" s="25" t="s">
        <v>145</v>
      </c>
      <c r="B11" s="51">
        <f t="shared" si="1"/>
        <v>45</v>
      </c>
      <c r="C11" s="52">
        <f t="shared" si="2"/>
        <v>10</v>
      </c>
      <c r="D11" s="57">
        <v>6.0</v>
      </c>
      <c r="E11" s="54">
        <f t="shared" si="3"/>
        <v>5</v>
      </c>
      <c r="F11" s="55"/>
      <c r="G11" s="55"/>
      <c r="H11" s="55"/>
      <c r="I11" s="55"/>
      <c r="J11" s="55"/>
      <c r="K11" s="56">
        <v>12.0</v>
      </c>
      <c r="L11" s="56">
        <v>12.0</v>
      </c>
      <c r="M11" s="55"/>
      <c r="N11" s="56">
        <v>2.0</v>
      </c>
      <c r="O11" s="55"/>
      <c r="P11" s="55"/>
      <c r="Q11" s="56">
        <v>3.0</v>
      </c>
      <c r="R11" s="56">
        <v>10.0</v>
      </c>
      <c r="S11" s="55"/>
      <c r="T11" s="55"/>
      <c r="U11" s="55"/>
      <c r="V11" s="44"/>
      <c r="W11" s="44"/>
      <c r="X11" s="44"/>
      <c r="Y11" s="44"/>
      <c r="Z11" s="44"/>
    </row>
    <row r="12">
      <c r="A12" s="25" t="s">
        <v>121</v>
      </c>
      <c r="B12" s="51">
        <f t="shared" si="1"/>
        <v>16</v>
      </c>
      <c r="C12" s="52">
        <f t="shared" si="2"/>
        <v>25</v>
      </c>
      <c r="D12" s="53"/>
      <c r="E12" s="54">
        <f t="shared" si="3"/>
        <v>2</v>
      </c>
      <c r="F12" s="55"/>
      <c r="G12" s="55"/>
      <c r="H12" s="55"/>
      <c r="I12" s="55"/>
      <c r="J12" s="55"/>
      <c r="K12" s="56">
        <v>10.0</v>
      </c>
      <c r="L12" s="55"/>
      <c r="M12" s="55"/>
      <c r="N12" s="55"/>
      <c r="O12" s="55"/>
      <c r="P12" s="55"/>
      <c r="Q12" s="55"/>
      <c r="R12" s="56">
        <v>4.0</v>
      </c>
      <c r="S12" s="55"/>
      <c r="T12" s="55"/>
      <c r="U12" s="56">
        <v>2.0</v>
      </c>
      <c r="V12" s="44"/>
      <c r="W12" s="44"/>
      <c r="X12" s="44"/>
      <c r="Y12" s="44"/>
      <c r="Z12" s="44"/>
    </row>
    <row r="13">
      <c r="A13" s="25" t="s">
        <v>85</v>
      </c>
      <c r="B13" s="51">
        <f t="shared" si="1"/>
        <v>26</v>
      </c>
      <c r="C13" s="52">
        <f t="shared" si="2"/>
        <v>19</v>
      </c>
      <c r="D13" s="53"/>
      <c r="E13" s="54">
        <f t="shared" si="3"/>
        <v>6</v>
      </c>
      <c r="F13" s="55"/>
      <c r="G13" s="55"/>
      <c r="H13" s="56">
        <v>3.0</v>
      </c>
      <c r="I13" s="56">
        <v>4.0</v>
      </c>
      <c r="J13" s="56">
        <v>2.0</v>
      </c>
      <c r="K13" s="56">
        <v>8.0</v>
      </c>
      <c r="L13" s="55"/>
      <c r="M13" s="55"/>
      <c r="N13" s="56">
        <v>7.0</v>
      </c>
      <c r="O13" s="55"/>
      <c r="P13" s="55"/>
      <c r="Q13" s="56">
        <v>2.0</v>
      </c>
      <c r="R13" s="55"/>
      <c r="S13" s="55"/>
      <c r="T13" s="55"/>
      <c r="U13" s="55"/>
      <c r="V13" s="44"/>
      <c r="W13" s="44"/>
      <c r="X13" s="44"/>
      <c r="Y13" s="44"/>
      <c r="Z13" s="44"/>
    </row>
    <row r="14">
      <c r="A14" s="25" t="s">
        <v>81</v>
      </c>
      <c r="B14" s="51">
        <f t="shared" si="1"/>
        <v>58</v>
      </c>
      <c r="C14" s="52">
        <f t="shared" si="2"/>
        <v>2</v>
      </c>
      <c r="D14" s="57">
        <v>6.0</v>
      </c>
      <c r="E14" s="54">
        <f t="shared" si="3"/>
        <v>6</v>
      </c>
      <c r="F14" s="55"/>
      <c r="G14" s="55"/>
      <c r="H14" s="56">
        <v>12.0</v>
      </c>
      <c r="I14" s="56">
        <v>6.0</v>
      </c>
      <c r="J14" s="56">
        <v>6.0</v>
      </c>
      <c r="K14" s="55"/>
      <c r="L14" s="55"/>
      <c r="M14" s="56">
        <v>6.0</v>
      </c>
      <c r="N14" s="56">
        <v>10.0</v>
      </c>
      <c r="O14" s="56">
        <v>5.0</v>
      </c>
      <c r="P14" s="55"/>
      <c r="Q14" s="55"/>
      <c r="R14" s="55"/>
      <c r="S14" s="55"/>
      <c r="T14" s="55"/>
      <c r="U14" s="56">
        <v>7.0</v>
      </c>
      <c r="V14" s="44"/>
      <c r="W14" s="44"/>
      <c r="X14" s="44"/>
      <c r="Y14" s="44"/>
      <c r="Z14" s="44"/>
    </row>
    <row r="15">
      <c r="A15" s="25" t="s">
        <v>177</v>
      </c>
      <c r="B15" s="51">
        <f t="shared" si="1"/>
        <v>39</v>
      </c>
      <c r="C15" s="52">
        <f t="shared" si="2"/>
        <v>15</v>
      </c>
      <c r="D15" s="53"/>
      <c r="E15" s="54">
        <f t="shared" si="3"/>
        <v>9</v>
      </c>
      <c r="F15" s="56">
        <v>5.0</v>
      </c>
      <c r="G15" s="56">
        <v>4.0</v>
      </c>
      <c r="H15" s="55"/>
      <c r="I15" s="55"/>
      <c r="J15" s="55"/>
      <c r="K15" s="56">
        <v>4.0</v>
      </c>
      <c r="L15" s="56">
        <v>3.0</v>
      </c>
      <c r="M15" s="55"/>
      <c r="N15" s="55"/>
      <c r="O15" s="56">
        <v>4.0</v>
      </c>
      <c r="P15" s="56">
        <v>4.0</v>
      </c>
      <c r="Q15" s="55"/>
      <c r="R15" s="56">
        <v>7.0</v>
      </c>
      <c r="S15" s="56">
        <v>7.0</v>
      </c>
      <c r="T15" s="56">
        <v>1.0</v>
      </c>
      <c r="U15" s="55"/>
      <c r="V15" s="44"/>
      <c r="W15" s="44"/>
      <c r="X15" s="44"/>
      <c r="Y15" s="44"/>
      <c r="Z15" s="44"/>
    </row>
    <row r="16">
      <c r="A16" s="25" t="s">
        <v>157</v>
      </c>
      <c r="B16" s="51">
        <f t="shared" si="1"/>
        <v>55</v>
      </c>
      <c r="C16" s="52">
        <f t="shared" si="2"/>
        <v>4</v>
      </c>
      <c r="D16" s="57">
        <v>6.0</v>
      </c>
      <c r="E16" s="54">
        <f t="shared" si="3"/>
        <v>8</v>
      </c>
      <c r="F16" s="56">
        <v>10.0</v>
      </c>
      <c r="G16" s="56">
        <v>10.0</v>
      </c>
      <c r="H16" s="55"/>
      <c r="I16" s="56">
        <v>3.0</v>
      </c>
      <c r="J16" s="56">
        <v>7.0</v>
      </c>
      <c r="K16" s="56">
        <v>3.0</v>
      </c>
      <c r="L16" s="55"/>
      <c r="M16" s="55"/>
      <c r="N16" s="55"/>
      <c r="O16" s="56">
        <v>2.0</v>
      </c>
      <c r="P16" s="56">
        <v>6.0</v>
      </c>
      <c r="Q16" s="56">
        <v>8.0</v>
      </c>
      <c r="R16" s="55"/>
      <c r="S16" s="55"/>
      <c r="T16" s="55"/>
      <c r="U16" s="55"/>
      <c r="V16" s="44"/>
      <c r="W16" s="44"/>
      <c r="X16" s="44"/>
      <c r="Y16" s="44"/>
      <c r="Z16" s="44"/>
    </row>
    <row r="17">
      <c r="A17" s="25" t="s">
        <v>101</v>
      </c>
      <c r="B17" s="51">
        <f t="shared" si="1"/>
        <v>56</v>
      </c>
      <c r="C17" s="52">
        <f t="shared" si="2"/>
        <v>3</v>
      </c>
      <c r="D17" s="57">
        <v>6.0</v>
      </c>
      <c r="E17" s="54">
        <f t="shared" si="3"/>
        <v>8</v>
      </c>
      <c r="F17" s="55"/>
      <c r="G17" s="55"/>
      <c r="H17" s="55"/>
      <c r="I17" s="55"/>
      <c r="J17" s="56">
        <v>4.0</v>
      </c>
      <c r="K17" s="55"/>
      <c r="L17" s="56">
        <v>8.0</v>
      </c>
      <c r="M17" s="56">
        <v>4.0</v>
      </c>
      <c r="N17" s="55"/>
      <c r="O17" s="56">
        <v>3.0</v>
      </c>
      <c r="P17" s="56">
        <v>10.0</v>
      </c>
      <c r="Q17" s="55"/>
      <c r="R17" s="56">
        <v>12.0</v>
      </c>
      <c r="S17" s="56">
        <v>6.0</v>
      </c>
      <c r="T17" s="56">
        <v>3.0</v>
      </c>
      <c r="U17" s="55"/>
      <c r="V17" s="44"/>
      <c r="W17" s="44"/>
      <c r="X17" s="44"/>
      <c r="Y17" s="44"/>
      <c r="Z17" s="44"/>
    </row>
    <row r="18">
      <c r="A18" s="25" t="s">
        <v>189</v>
      </c>
      <c r="B18" s="51">
        <f t="shared" si="1"/>
        <v>42</v>
      </c>
      <c r="C18" s="52">
        <f t="shared" si="2"/>
        <v>13</v>
      </c>
      <c r="D18" s="57">
        <v>6.0</v>
      </c>
      <c r="E18" s="54">
        <f t="shared" si="3"/>
        <v>8</v>
      </c>
      <c r="F18" s="55"/>
      <c r="G18" s="55"/>
      <c r="H18" s="55"/>
      <c r="I18" s="56">
        <v>7.0</v>
      </c>
      <c r="J18" s="56">
        <v>8.0</v>
      </c>
      <c r="K18" s="55"/>
      <c r="L18" s="56">
        <v>2.0</v>
      </c>
      <c r="M18" s="56">
        <v>8.0</v>
      </c>
      <c r="N18" s="56">
        <v>4.0</v>
      </c>
      <c r="O18" s="56">
        <v>1.0</v>
      </c>
      <c r="P18" s="56">
        <v>2.0</v>
      </c>
      <c r="Q18" s="55"/>
      <c r="R18" s="55"/>
      <c r="S18" s="56">
        <v>4.0</v>
      </c>
      <c r="T18" s="55"/>
      <c r="U18" s="55"/>
      <c r="V18" s="44"/>
      <c r="W18" s="44"/>
      <c r="X18" s="44"/>
      <c r="Y18" s="44"/>
      <c r="Z18" s="44"/>
    </row>
    <row r="19">
      <c r="A19" s="25" t="s">
        <v>181</v>
      </c>
      <c r="B19" s="51">
        <f t="shared" si="1"/>
        <v>53</v>
      </c>
      <c r="C19" s="52">
        <f t="shared" si="2"/>
        <v>5</v>
      </c>
      <c r="D19" s="53"/>
      <c r="E19" s="54">
        <f t="shared" si="3"/>
        <v>7</v>
      </c>
      <c r="F19" s="55"/>
      <c r="G19" s="55"/>
      <c r="H19" s="56">
        <v>2.0</v>
      </c>
      <c r="I19" s="56">
        <v>12.0</v>
      </c>
      <c r="J19" s="56">
        <v>12.0</v>
      </c>
      <c r="K19" s="55"/>
      <c r="L19" s="55"/>
      <c r="M19" s="55"/>
      <c r="N19" s="56">
        <v>3.0</v>
      </c>
      <c r="O19" s="56">
        <v>10.0</v>
      </c>
      <c r="P19" s="56">
        <v>8.0</v>
      </c>
      <c r="Q19" s="55"/>
      <c r="R19" s="55"/>
      <c r="S19" s="55"/>
      <c r="T19" s="56">
        <v>6.0</v>
      </c>
      <c r="U19" s="55"/>
      <c r="V19" s="44"/>
      <c r="W19" s="44"/>
      <c r="X19" s="44"/>
      <c r="Y19" s="44"/>
      <c r="Z19" s="44"/>
    </row>
    <row r="20">
      <c r="A20" s="25" t="s">
        <v>197</v>
      </c>
      <c r="B20" s="51">
        <f t="shared" si="1"/>
        <v>12</v>
      </c>
      <c r="C20" s="52">
        <f t="shared" si="2"/>
        <v>26</v>
      </c>
      <c r="D20" s="53"/>
      <c r="E20" s="54">
        <f t="shared" si="3"/>
        <v>3</v>
      </c>
      <c r="F20" s="55"/>
      <c r="G20" s="55"/>
      <c r="H20" s="56">
        <v>1.0</v>
      </c>
      <c r="I20" s="55"/>
      <c r="J20" s="55"/>
      <c r="K20" s="55"/>
      <c r="L20" s="55"/>
      <c r="M20" s="56">
        <v>10.0</v>
      </c>
      <c r="N20" s="55"/>
      <c r="O20" s="55"/>
      <c r="P20" s="55"/>
      <c r="Q20" s="55"/>
      <c r="R20" s="55"/>
      <c r="S20" s="56">
        <v>1.0</v>
      </c>
      <c r="T20" s="55"/>
      <c r="U20" s="55"/>
      <c r="V20" s="44"/>
      <c r="W20" s="44"/>
      <c r="X20" s="44"/>
      <c r="Y20" s="44"/>
      <c r="Z20" s="44"/>
    </row>
    <row r="21">
      <c r="A21" s="25" t="s">
        <v>237</v>
      </c>
      <c r="B21" s="51">
        <f t="shared" si="1"/>
        <v>52</v>
      </c>
      <c r="C21" s="52">
        <f t="shared" si="2"/>
        <v>6</v>
      </c>
      <c r="D21" s="57">
        <v>6.0</v>
      </c>
      <c r="E21" s="54">
        <f t="shared" si="3"/>
        <v>7</v>
      </c>
      <c r="F21" s="56">
        <v>3.0</v>
      </c>
      <c r="G21" s="56">
        <v>2.0</v>
      </c>
      <c r="H21" s="55"/>
      <c r="I21" s="55"/>
      <c r="J21" s="55"/>
      <c r="K21" s="55"/>
      <c r="L21" s="55"/>
      <c r="M21" s="56">
        <v>7.0</v>
      </c>
      <c r="N21" s="56">
        <v>12.0</v>
      </c>
      <c r="O21" s="56">
        <v>8.0</v>
      </c>
      <c r="P21" s="56">
        <v>7.0</v>
      </c>
      <c r="Q21" s="55"/>
      <c r="R21" s="55"/>
      <c r="S21" s="56">
        <v>3.0</v>
      </c>
      <c r="T21" s="55"/>
      <c r="U21" s="56">
        <v>4.0</v>
      </c>
      <c r="V21" s="44"/>
      <c r="W21" s="44"/>
      <c r="X21" s="44"/>
      <c r="Y21" s="44"/>
      <c r="Z21" s="44"/>
    </row>
    <row r="22">
      <c r="A22" s="25" t="s">
        <v>53</v>
      </c>
      <c r="B22" s="51">
        <f t="shared" si="1"/>
        <v>17</v>
      </c>
      <c r="C22" s="52">
        <f t="shared" si="2"/>
        <v>24</v>
      </c>
      <c r="D22" s="57">
        <v>6.0</v>
      </c>
      <c r="E22" s="54">
        <f t="shared" si="3"/>
        <v>1</v>
      </c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6">
        <v>8.0</v>
      </c>
      <c r="S22" s="55"/>
      <c r="T22" s="55"/>
      <c r="U22" s="56">
        <v>3.0</v>
      </c>
      <c r="V22" s="44"/>
      <c r="W22" s="44"/>
      <c r="X22" s="44"/>
      <c r="Y22" s="44"/>
      <c r="Z22" s="44"/>
    </row>
    <row r="23">
      <c r="A23" s="25" t="s">
        <v>125</v>
      </c>
      <c r="B23" s="51">
        <f t="shared" si="1"/>
        <v>20</v>
      </c>
      <c r="C23" s="52">
        <f t="shared" si="2"/>
        <v>23</v>
      </c>
      <c r="D23" s="53"/>
      <c r="E23" s="54">
        <f t="shared" si="3"/>
        <v>5</v>
      </c>
      <c r="F23" s="56">
        <v>1.0</v>
      </c>
      <c r="G23" s="56">
        <v>5.0</v>
      </c>
      <c r="H23" s="56">
        <v>6.0</v>
      </c>
      <c r="I23" s="55"/>
      <c r="J23" s="55"/>
      <c r="K23" s="55"/>
      <c r="L23" s="55"/>
      <c r="M23" s="56">
        <v>3.0</v>
      </c>
      <c r="N23" s="55"/>
      <c r="O23" s="55"/>
      <c r="P23" s="56">
        <v>5.0</v>
      </c>
      <c r="Q23" s="55"/>
      <c r="R23" s="55"/>
      <c r="S23" s="55"/>
      <c r="T23" s="55"/>
      <c r="U23" s="55"/>
      <c r="V23" s="44"/>
      <c r="W23" s="44"/>
      <c r="X23" s="44"/>
      <c r="Y23" s="44"/>
      <c r="Z23" s="44"/>
    </row>
    <row r="24">
      <c r="A24" s="25" t="s">
        <v>45</v>
      </c>
      <c r="B24" s="51">
        <f t="shared" si="1"/>
        <v>39</v>
      </c>
      <c r="C24" s="52">
        <f t="shared" si="2"/>
        <v>15</v>
      </c>
      <c r="D24" s="57">
        <v>6.0</v>
      </c>
      <c r="E24" s="54">
        <f t="shared" si="3"/>
        <v>6</v>
      </c>
      <c r="F24" s="56">
        <v>4.0</v>
      </c>
      <c r="G24" s="56">
        <v>3.0</v>
      </c>
      <c r="H24" s="56">
        <v>4.0</v>
      </c>
      <c r="I24" s="55"/>
      <c r="J24" s="55"/>
      <c r="K24" s="55"/>
      <c r="L24" s="55"/>
      <c r="M24" s="56">
        <v>5.0</v>
      </c>
      <c r="N24" s="55"/>
      <c r="O24" s="55"/>
      <c r="P24" s="55"/>
      <c r="Q24" s="55"/>
      <c r="R24" s="56">
        <v>5.0</v>
      </c>
      <c r="S24" s="55"/>
      <c r="T24" s="56">
        <v>12.0</v>
      </c>
      <c r="U24" s="55"/>
      <c r="V24" s="44"/>
      <c r="W24" s="44"/>
      <c r="X24" s="44"/>
      <c r="Y24" s="44"/>
      <c r="Z24" s="44"/>
    </row>
    <row r="25">
      <c r="A25" s="25" t="s">
        <v>246</v>
      </c>
      <c r="B25" s="51">
        <f t="shared" si="1"/>
        <v>48</v>
      </c>
      <c r="C25" s="52">
        <f t="shared" si="2"/>
        <v>7</v>
      </c>
      <c r="D25" s="53"/>
      <c r="E25" s="54">
        <f t="shared" si="3"/>
        <v>7</v>
      </c>
      <c r="F25" s="56">
        <v>8.0</v>
      </c>
      <c r="G25" s="56">
        <v>12.0</v>
      </c>
      <c r="H25" s="55"/>
      <c r="I25" s="55"/>
      <c r="J25" s="55"/>
      <c r="K25" s="56">
        <v>5.0</v>
      </c>
      <c r="L25" s="56">
        <v>5.0</v>
      </c>
      <c r="M25" s="55"/>
      <c r="N25" s="55"/>
      <c r="O25" s="55"/>
      <c r="P25" s="56">
        <v>1.0</v>
      </c>
      <c r="Q25" s="55"/>
      <c r="R25" s="55"/>
      <c r="S25" s="56">
        <v>12.0</v>
      </c>
      <c r="T25" s="56">
        <v>5.0</v>
      </c>
      <c r="U25" s="55"/>
      <c r="V25" s="44"/>
      <c r="W25" s="44"/>
      <c r="X25" s="44"/>
      <c r="Y25" s="44"/>
      <c r="Z25" s="44"/>
    </row>
    <row r="26">
      <c r="A26" s="25" t="s">
        <v>9</v>
      </c>
      <c r="B26" s="51">
        <f t="shared" si="1"/>
        <v>28</v>
      </c>
      <c r="C26" s="52">
        <f t="shared" si="2"/>
        <v>18</v>
      </c>
      <c r="D26" s="57">
        <v>6.0</v>
      </c>
      <c r="E26" s="54">
        <f t="shared" si="3"/>
        <v>3</v>
      </c>
      <c r="F26" s="55"/>
      <c r="G26" s="55"/>
      <c r="H26" s="55"/>
      <c r="I26" s="55"/>
      <c r="J26" s="55"/>
      <c r="K26" s="55"/>
      <c r="L26" s="55"/>
      <c r="M26" s="56">
        <v>2.0</v>
      </c>
      <c r="N26" s="55"/>
      <c r="O26" s="55"/>
      <c r="P26" s="55"/>
      <c r="Q26" s="55"/>
      <c r="R26" s="56">
        <v>6.0</v>
      </c>
      <c r="S26" s="55"/>
      <c r="T26" s="56">
        <v>8.0</v>
      </c>
      <c r="U26" s="56">
        <v>6.0</v>
      </c>
      <c r="V26" s="44"/>
      <c r="W26" s="44"/>
      <c r="X26" s="44"/>
      <c r="Y26" s="44"/>
      <c r="Z26" s="44"/>
    </row>
    <row r="27">
      <c r="A27" s="25" t="s">
        <v>153</v>
      </c>
      <c r="B27" s="51">
        <f t="shared" si="1"/>
        <v>46</v>
      </c>
      <c r="C27" s="52">
        <f t="shared" si="2"/>
        <v>8</v>
      </c>
      <c r="D27" s="57">
        <v>6.0</v>
      </c>
      <c r="E27" s="54">
        <f t="shared" si="3"/>
        <v>7</v>
      </c>
      <c r="F27" s="55"/>
      <c r="G27" s="56">
        <v>1.0</v>
      </c>
      <c r="H27" s="55"/>
      <c r="I27" s="55"/>
      <c r="J27" s="55"/>
      <c r="K27" s="56">
        <v>6.0</v>
      </c>
      <c r="L27" s="55"/>
      <c r="M27" s="56">
        <v>1.0</v>
      </c>
      <c r="N27" s="55"/>
      <c r="O27" s="55"/>
      <c r="P27" s="56">
        <v>3.0</v>
      </c>
      <c r="Q27" s="55"/>
      <c r="R27" s="56">
        <v>2.0</v>
      </c>
      <c r="S27" s="56">
        <v>10.0</v>
      </c>
      <c r="T27" s="56">
        <v>7.0</v>
      </c>
      <c r="U27" s="56">
        <v>10.0</v>
      </c>
      <c r="V27" s="44"/>
      <c r="W27" s="44"/>
      <c r="X27" s="44"/>
      <c r="Y27" s="44"/>
      <c r="Z27" s="44"/>
    </row>
    <row r="28">
      <c r="A28" s="25" t="s">
        <v>201</v>
      </c>
      <c r="B28" s="51">
        <f t="shared" si="1"/>
        <v>46</v>
      </c>
      <c r="C28" s="52">
        <f t="shared" si="2"/>
        <v>8</v>
      </c>
      <c r="D28" s="57">
        <v>6.0</v>
      </c>
      <c r="E28" s="54">
        <f t="shared" si="3"/>
        <v>6</v>
      </c>
      <c r="F28" s="55"/>
      <c r="G28" s="56">
        <v>6.0</v>
      </c>
      <c r="H28" s="55"/>
      <c r="I28" s="56">
        <v>10.0</v>
      </c>
      <c r="J28" s="56">
        <v>3.0</v>
      </c>
      <c r="K28" s="55"/>
      <c r="L28" s="56">
        <v>1.0</v>
      </c>
      <c r="M28" s="55"/>
      <c r="N28" s="56">
        <v>8.0</v>
      </c>
      <c r="O28" s="56">
        <v>12.0</v>
      </c>
      <c r="P28" s="55"/>
      <c r="Q28" s="55"/>
      <c r="R28" s="55"/>
      <c r="S28" s="55"/>
      <c r="T28" s="55"/>
      <c r="U28" s="55"/>
      <c r="V28" s="44"/>
      <c r="W28" s="44"/>
      <c r="X28" s="44"/>
      <c r="Y28" s="44"/>
      <c r="Z28" s="44"/>
    </row>
    <row r="29">
      <c r="A29" s="25" t="s">
        <v>185</v>
      </c>
      <c r="B29" s="51">
        <f t="shared" si="1"/>
        <v>25</v>
      </c>
      <c r="C29" s="52">
        <f t="shared" si="2"/>
        <v>20</v>
      </c>
      <c r="D29" s="53"/>
      <c r="E29" s="54">
        <f t="shared" si="3"/>
        <v>3</v>
      </c>
      <c r="F29" s="56">
        <v>7.0</v>
      </c>
      <c r="G29" s="55"/>
      <c r="H29" s="55"/>
      <c r="I29" s="55"/>
      <c r="J29" s="56">
        <v>1.0</v>
      </c>
      <c r="K29" s="55"/>
      <c r="L29" s="55"/>
      <c r="M29" s="55"/>
      <c r="N29" s="55"/>
      <c r="O29" s="55"/>
      <c r="P29" s="55"/>
      <c r="Q29" s="56">
        <v>12.0</v>
      </c>
      <c r="R29" s="55"/>
      <c r="S29" s="55"/>
      <c r="T29" s="55"/>
      <c r="U29" s="56">
        <v>5.0</v>
      </c>
      <c r="V29" s="44"/>
      <c r="W29" s="44"/>
      <c r="X29" s="44"/>
      <c r="Y29" s="44"/>
      <c r="Z29" s="44"/>
    </row>
    <row r="30">
      <c r="A30" s="25" t="s">
        <v>252</v>
      </c>
      <c r="B30" s="51">
        <f t="shared" si="1"/>
        <v>39</v>
      </c>
      <c r="C30" s="52">
        <f t="shared" si="2"/>
        <v>15</v>
      </c>
      <c r="D30" s="58">
        <v>6.0</v>
      </c>
      <c r="E30" s="54">
        <f t="shared" si="3"/>
        <v>5</v>
      </c>
      <c r="F30" s="56">
        <v>6.0</v>
      </c>
      <c r="G30" s="55"/>
      <c r="H30" s="56">
        <v>5.0</v>
      </c>
      <c r="I30" s="55"/>
      <c r="J30" s="55"/>
      <c r="K30" s="56">
        <v>2.0</v>
      </c>
      <c r="L30" s="55"/>
      <c r="M30" s="55"/>
      <c r="N30" s="55"/>
      <c r="O30" s="55"/>
      <c r="P30" s="55"/>
      <c r="Q30" s="56">
        <v>10.0</v>
      </c>
      <c r="R30" s="55"/>
      <c r="S30" s="55"/>
      <c r="T30" s="56">
        <v>10.0</v>
      </c>
      <c r="U30" s="55"/>
      <c r="V30" s="44"/>
      <c r="W30" s="44"/>
      <c r="X30" s="44"/>
      <c r="Y30" s="44"/>
      <c r="Z30" s="44"/>
    </row>
    <row r="31">
      <c r="A31" s="59"/>
      <c r="V31" s="44"/>
      <c r="W31" s="44"/>
      <c r="X31" s="44"/>
      <c r="Y31" s="44"/>
      <c r="Z31" s="44"/>
    </row>
    <row r="32"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60">
        <f t="shared" ref="F33:U33" si="4">SUM(F5:F30)</f>
        <v>58</v>
      </c>
      <c r="G33" s="60">
        <f t="shared" si="4"/>
        <v>58</v>
      </c>
      <c r="H33" s="60">
        <f t="shared" si="4"/>
        <v>58</v>
      </c>
      <c r="I33" s="60">
        <f t="shared" si="4"/>
        <v>58</v>
      </c>
      <c r="J33" s="60">
        <f t="shared" si="4"/>
        <v>58</v>
      </c>
      <c r="K33" s="60">
        <f t="shared" si="4"/>
        <v>58</v>
      </c>
      <c r="L33" s="60">
        <f t="shared" si="4"/>
        <v>58</v>
      </c>
      <c r="M33" s="60">
        <f t="shared" si="4"/>
        <v>58</v>
      </c>
      <c r="N33" s="60">
        <f t="shared" si="4"/>
        <v>58</v>
      </c>
      <c r="O33" s="60">
        <f t="shared" si="4"/>
        <v>58</v>
      </c>
      <c r="P33" s="60">
        <f t="shared" si="4"/>
        <v>58</v>
      </c>
      <c r="Q33" s="60">
        <f t="shared" si="4"/>
        <v>58</v>
      </c>
      <c r="R33" s="60">
        <f t="shared" si="4"/>
        <v>58</v>
      </c>
      <c r="S33" s="60">
        <f t="shared" si="4"/>
        <v>58</v>
      </c>
      <c r="T33" s="60">
        <f t="shared" si="4"/>
        <v>58</v>
      </c>
      <c r="U33" s="60">
        <f t="shared" si="4"/>
        <v>58</v>
      </c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">
    <mergeCell ref="A31:U32"/>
  </mergeCells>
  <conditionalFormatting sqref="B5:B30 D5:D29">
    <cfRule type="cellIs" dxfId="5" priority="1" operator="equal">
      <formula>"X"</formula>
    </cfRule>
  </conditionalFormatting>
  <conditionalFormatting sqref="F5:U30">
    <cfRule type="cellIs" dxfId="6" priority="2" operator="equal">
      <formula>12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9" width="3.38"/>
    <col customWidth="1" min="30" max="30" width="5.63"/>
    <col customWidth="1" min="31" max="31" width="5.13"/>
    <col customWidth="1" min="32" max="32" width="4.13"/>
  </cols>
  <sheetData>
    <row r="1">
      <c r="A1" s="61"/>
    </row>
    <row r="3" ht="157.5" customHeight="1">
      <c r="A3" s="20" t="s">
        <v>242</v>
      </c>
      <c r="B3" s="62" t="s">
        <v>133</v>
      </c>
      <c r="C3" s="62" t="s">
        <v>243</v>
      </c>
      <c r="D3" s="62" t="s">
        <v>165</v>
      </c>
      <c r="E3" s="62" t="s">
        <v>244</v>
      </c>
      <c r="F3" s="62" t="s">
        <v>245</v>
      </c>
      <c r="G3" s="62" t="s">
        <v>113</v>
      </c>
      <c r="H3" s="62" t="s">
        <v>213</v>
      </c>
      <c r="I3" s="62" t="s">
        <v>149</v>
      </c>
      <c r="J3" s="62" t="s">
        <v>37</v>
      </c>
      <c r="K3" s="62" t="s">
        <v>29</v>
      </c>
      <c r="L3" s="62" t="s">
        <v>141</v>
      </c>
      <c r="M3" s="62" t="s">
        <v>117</v>
      </c>
      <c r="N3" s="62" t="s">
        <v>57</v>
      </c>
      <c r="O3" s="62" t="s">
        <v>73</v>
      </c>
      <c r="P3" s="62" t="s">
        <v>61</v>
      </c>
      <c r="Q3" s="62" t="s">
        <v>137</v>
      </c>
      <c r="R3" s="62" t="s">
        <v>93</v>
      </c>
      <c r="S3" s="62" t="s">
        <v>169</v>
      </c>
      <c r="T3" s="62" t="s">
        <v>17</v>
      </c>
      <c r="U3" s="62" t="s">
        <v>161</v>
      </c>
      <c r="V3" s="62" t="s">
        <v>247</v>
      </c>
      <c r="W3" s="62" t="s">
        <v>209</v>
      </c>
      <c r="X3" s="62" t="s">
        <v>77</v>
      </c>
      <c r="Y3" s="62" t="s">
        <v>173</v>
      </c>
      <c r="Z3" s="62" t="s">
        <v>21</v>
      </c>
      <c r="AA3" s="62" t="s">
        <v>5</v>
      </c>
      <c r="AB3" s="62" t="s">
        <v>25</v>
      </c>
      <c r="AC3" s="62" t="s">
        <v>97</v>
      </c>
      <c r="AD3" s="63" t="s">
        <v>253</v>
      </c>
      <c r="AE3" s="64" t="s">
        <v>254</v>
      </c>
      <c r="AF3" s="65" t="s">
        <v>255</v>
      </c>
    </row>
    <row r="4">
      <c r="A4" s="25" t="s">
        <v>133</v>
      </c>
      <c r="B4" s="26" t="s">
        <v>256</v>
      </c>
      <c r="C4" s="26">
        <v>2.0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6">
        <v>8.0</v>
      </c>
      <c r="P4" s="27"/>
      <c r="Q4" s="27"/>
      <c r="R4" s="27"/>
      <c r="S4" s="27"/>
      <c r="T4" s="27"/>
      <c r="U4" s="26">
        <v>5.0</v>
      </c>
      <c r="V4" s="27"/>
      <c r="W4" s="27"/>
      <c r="X4" s="27"/>
      <c r="Y4" s="27"/>
      <c r="Z4" s="26">
        <v>8.0</v>
      </c>
      <c r="AA4" s="27"/>
      <c r="AB4" s="26">
        <v>2.0</v>
      </c>
      <c r="AC4" s="26">
        <v>1.0</v>
      </c>
      <c r="AD4" s="66">
        <f t="shared" ref="AD4:AD28" si="1">SUM(B4:AC4)</f>
        <v>26</v>
      </c>
      <c r="AE4" s="67">
        <f t="shared" ref="AE4:AE28" si="2">_xlfn.RANK.EQ(AD4, AD$4:AD$28, 0)</f>
        <v>23</v>
      </c>
      <c r="AF4" s="68">
        <f t="shared" ref="AF4:AF28" si="3">COUNT(B4:AC4)</f>
        <v>6</v>
      </c>
    </row>
    <row r="5">
      <c r="A5" s="25" t="s">
        <v>243</v>
      </c>
      <c r="B5" s="27"/>
      <c r="C5" s="26" t="s">
        <v>256</v>
      </c>
      <c r="D5" s="26">
        <v>8.0</v>
      </c>
      <c r="E5" s="26">
        <v>3.0</v>
      </c>
      <c r="F5" s="27"/>
      <c r="G5" s="26">
        <v>1.0</v>
      </c>
      <c r="H5" s="27"/>
      <c r="I5" s="27"/>
      <c r="J5" s="27"/>
      <c r="K5" s="26">
        <v>7.0</v>
      </c>
      <c r="L5" s="26">
        <v>8.0</v>
      </c>
      <c r="M5" s="27"/>
      <c r="N5" s="27"/>
      <c r="O5" s="27"/>
      <c r="P5" s="27"/>
      <c r="Q5" s="27"/>
      <c r="R5" s="26">
        <v>4.0</v>
      </c>
      <c r="S5" s="27"/>
      <c r="T5" s="27"/>
      <c r="U5" s="27"/>
      <c r="V5" s="26">
        <v>2.0</v>
      </c>
      <c r="W5" s="26">
        <v>10.0</v>
      </c>
      <c r="X5" s="27"/>
      <c r="Y5" s="27"/>
      <c r="Z5" s="26">
        <v>7.0</v>
      </c>
      <c r="AA5" s="27"/>
      <c r="AB5" s="26">
        <v>7.0</v>
      </c>
      <c r="AC5" s="26"/>
      <c r="AD5" s="66">
        <f t="shared" si="1"/>
        <v>57</v>
      </c>
      <c r="AE5" s="67">
        <f t="shared" si="2"/>
        <v>15</v>
      </c>
      <c r="AF5" s="68">
        <f t="shared" si="3"/>
        <v>10</v>
      </c>
    </row>
    <row r="6">
      <c r="A6" s="25" t="s">
        <v>165</v>
      </c>
      <c r="B6" s="26"/>
      <c r="C6" s="26">
        <v>6.0</v>
      </c>
      <c r="D6" s="26" t="s">
        <v>256</v>
      </c>
      <c r="E6" s="27"/>
      <c r="F6" s="26">
        <v>2.0</v>
      </c>
      <c r="G6" s="27"/>
      <c r="H6" s="27"/>
      <c r="I6" s="27"/>
      <c r="J6" s="26">
        <v>12.0</v>
      </c>
      <c r="K6" s="26">
        <v>5.0</v>
      </c>
      <c r="L6" s="26">
        <v>10.0</v>
      </c>
      <c r="M6" s="26">
        <v>7.0</v>
      </c>
      <c r="N6" s="27"/>
      <c r="O6" s="27"/>
      <c r="P6" s="27"/>
      <c r="Q6" s="27"/>
      <c r="R6" s="27"/>
      <c r="S6" s="27"/>
      <c r="T6" s="26">
        <v>8.0</v>
      </c>
      <c r="U6" s="27"/>
      <c r="V6" s="26">
        <v>3.0</v>
      </c>
      <c r="W6" s="26">
        <v>3.0</v>
      </c>
      <c r="X6" s="27"/>
      <c r="Y6" s="27"/>
      <c r="Z6" s="26">
        <v>1.0</v>
      </c>
      <c r="AA6" s="26">
        <v>4.0</v>
      </c>
      <c r="AB6" s="27"/>
      <c r="AC6" s="26"/>
      <c r="AD6" s="66">
        <f t="shared" si="1"/>
        <v>61</v>
      </c>
      <c r="AE6" s="67">
        <f t="shared" si="2"/>
        <v>14</v>
      </c>
      <c r="AF6" s="68">
        <f t="shared" si="3"/>
        <v>11</v>
      </c>
    </row>
    <row r="7">
      <c r="A7" s="25" t="s">
        <v>244</v>
      </c>
      <c r="B7" s="26">
        <v>12.0</v>
      </c>
      <c r="C7" s="27"/>
      <c r="D7" s="27"/>
      <c r="E7" s="26" t="s">
        <v>256</v>
      </c>
      <c r="F7" s="27"/>
      <c r="G7" s="26">
        <v>12.0</v>
      </c>
      <c r="H7" s="27"/>
      <c r="I7" s="27"/>
      <c r="J7" s="26">
        <v>4.0</v>
      </c>
      <c r="K7" s="27"/>
      <c r="L7" s="27"/>
      <c r="M7" s="27"/>
      <c r="N7" s="26">
        <v>10.0</v>
      </c>
      <c r="O7" s="27"/>
      <c r="P7" s="27"/>
      <c r="Q7" s="27"/>
      <c r="R7" s="27"/>
      <c r="S7" s="27"/>
      <c r="T7" s="26">
        <v>5.0</v>
      </c>
      <c r="U7" s="27"/>
      <c r="V7" s="27"/>
      <c r="W7" s="27"/>
      <c r="X7" s="27"/>
      <c r="Y7" s="27"/>
      <c r="Z7" s="27"/>
      <c r="AA7" s="27"/>
      <c r="AB7" s="26">
        <v>10.0</v>
      </c>
      <c r="AC7" s="26">
        <v>12.0</v>
      </c>
      <c r="AD7" s="66">
        <f t="shared" si="1"/>
        <v>65</v>
      </c>
      <c r="AE7" s="67">
        <f t="shared" si="2"/>
        <v>13</v>
      </c>
      <c r="AF7" s="68">
        <f t="shared" si="3"/>
        <v>7</v>
      </c>
    </row>
    <row r="8">
      <c r="A8" s="25" t="s">
        <v>245</v>
      </c>
      <c r="B8" s="26">
        <v>5.0</v>
      </c>
      <c r="C8" s="27"/>
      <c r="D8" s="27"/>
      <c r="E8" s="27"/>
      <c r="F8" s="26" t="s">
        <v>256</v>
      </c>
      <c r="G8" s="27"/>
      <c r="H8" s="27"/>
      <c r="I8" s="27"/>
      <c r="J8" s="26">
        <v>1.0</v>
      </c>
      <c r="K8" s="27"/>
      <c r="L8" s="27"/>
      <c r="M8" s="26">
        <v>1.0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6">
        <v>3.0</v>
      </c>
      <c r="AC8" s="27"/>
      <c r="AD8" s="66">
        <f t="shared" si="1"/>
        <v>10</v>
      </c>
      <c r="AE8" s="67">
        <f t="shared" si="2"/>
        <v>25</v>
      </c>
      <c r="AF8" s="68">
        <f t="shared" si="3"/>
        <v>4</v>
      </c>
    </row>
    <row r="9">
      <c r="A9" s="25" t="s">
        <v>113</v>
      </c>
      <c r="B9" s="27"/>
      <c r="C9" s="26">
        <v>5.0</v>
      </c>
      <c r="D9" s="26">
        <v>7.0</v>
      </c>
      <c r="E9" s="27"/>
      <c r="F9" s="26">
        <v>12.0</v>
      </c>
      <c r="G9" s="26" t="s">
        <v>256</v>
      </c>
      <c r="H9" s="26">
        <v>3.0</v>
      </c>
      <c r="I9" s="26">
        <v>12.0</v>
      </c>
      <c r="J9" s="27"/>
      <c r="K9" s="26">
        <v>8.0</v>
      </c>
      <c r="L9" s="26">
        <v>7.0</v>
      </c>
      <c r="M9" s="26">
        <v>2.0</v>
      </c>
      <c r="N9" s="27"/>
      <c r="O9" s="27"/>
      <c r="P9" s="27"/>
      <c r="Q9" s="26">
        <v>8.0</v>
      </c>
      <c r="R9" s="26">
        <v>1.0</v>
      </c>
      <c r="S9" s="26">
        <v>4.0</v>
      </c>
      <c r="T9" s="26">
        <v>7.0</v>
      </c>
      <c r="U9" s="26">
        <v>7.0</v>
      </c>
      <c r="V9" s="26">
        <v>4.0</v>
      </c>
      <c r="W9" s="27"/>
      <c r="X9" s="27"/>
      <c r="Y9" s="26">
        <v>5.0</v>
      </c>
      <c r="Z9" s="27"/>
      <c r="AA9" s="27"/>
      <c r="AB9" s="26">
        <v>5.0</v>
      </c>
      <c r="AC9" s="26">
        <v>8.0</v>
      </c>
      <c r="AD9" s="66">
        <f t="shared" si="1"/>
        <v>105</v>
      </c>
      <c r="AE9" s="67">
        <f t="shared" si="2"/>
        <v>2</v>
      </c>
      <c r="AF9" s="68">
        <f t="shared" si="3"/>
        <v>17</v>
      </c>
    </row>
    <row r="10">
      <c r="A10" s="25" t="s">
        <v>213</v>
      </c>
      <c r="B10" s="27"/>
      <c r="C10" s="27"/>
      <c r="D10" s="26">
        <v>5.0</v>
      </c>
      <c r="E10" s="27"/>
      <c r="F10" s="26">
        <v>4.0</v>
      </c>
      <c r="G10" s="27"/>
      <c r="H10" s="26" t="s">
        <v>256</v>
      </c>
      <c r="I10" s="26">
        <v>7.0</v>
      </c>
      <c r="J10" s="27"/>
      <c r="K10" s="26">
        <v>2.0</v>
      </c>
      <c r="L10" s="26">
        <v>3.0</v>
      </c>
      <c r="M10" s="27"/>
      <c r="N10" s="27"/>
      <c r="O10" s="27"/>
      <c r="P10" s="27"/>
      <c r="Q10" s="26">
        <v>5.0</v>
      </c>
      <c r="R10" s="26">
        <v>5.0</v>
      </c>
      <c r="S10" s="27"/>
      <c r="T10" s="27"/>
      <c r="U10" s="27"/>
      <c r="V10" s="27"/>
      <c r="W10" s="27"/>
      <c r="X10" s="27"/>
      <c r="Y10" s="26">
        <v>4.0</v>
      </c>
      <c r="Z10" s="27"/>
      <c r="AA10" s="26">
        <v>7.0</v>
      </c>
      <c r="AB10" s="26">
        <v>1.0</v>
      </c>
      <c r="AC10" s="27"/>
      <c r="AD10" s="66">
        <f t="shared" si="1"/>
        <v>43</v>
      </c>
      <c r="AE10" s="67">
        <f t="shared" si="2"/>
        <v>20</v>
      </c>
      <c r="AF10" s="68">
        <f t="shared" si="3"/>
        <v>10</v>
      </c>
    </row>
    <row r="11">
      <c r="A11" s="25" t="s">
        <v>149</v>
      </c>
      <c r="B11" s="27"/>
      <c r="C11" s="27"/>
      <c r="D11" s="27"/>
      <c r="E11" s="26">
        <v>5.0</v>
      </c>
      <c r="F11" s="26">
        <v>3.0</v>
      </c>
      <c r="G11" s="26">
        <v>5.0</v>
      </c>
      <c r="H11" s="26">
        <v>1.0</v>
      </c>
      <c r="I11" s="26" t="s">
        <v>256</v>
      </c>
      <c r="J11" s="26">
        <v>8.0</v>
      </c>
      <c r="K11" s="27"/>
      <c r="L11" s="27"/>
      <c r="M11" s="26">
        <v>5.0</v>
      </c>
      <c r="N11" s="27"/>
      <c r="O11" s="26">
        <v>5.0</v>
      </c>
      <c r="P11" s="27"/>
      <c r="Q11" s="26">
        <v>7.0</v>
      </c>
      <c r="R11" s="27"/>
      <c r="S11" s="26">
        <v>8.0</v>
      </c>
      <c r="T11" s="27"/>
      <c r="U11" s="26">
        <v>10.0</v>
      </c>
      <c r="V11" s="27"/>
      <c r="W11" s="26">
        <v>5.0</v>
      </c>
      <c r="X11" s="26">
        <v>1.0</v>
      </c>
      <c r="Y11" s="27"/>
      <c r="Z11" s="27"/>
      <c r="AA11" s="26">
        <v>5.0</v>
      </c>
      <c r="AB11" s="26">
        <v>12.0</v>
      </c>
      <c r="AC11" s="26">
        <v>5.0</v>
      </c>
      <c r="AD11" s="66">
        <f t="shared" si="1"/>
        <v>85</v>
      </c>
      <c r="AE11" s="67">
        <f t="shared" si="2"/>
        <v>7</v>
      </c>
      <c r="AF11" s="68">
        <f t="shared" si="3"/>
        <v>15</v>
      </c>
    </row>
    <row r="12">
      <c r="A12" s="25" t="s">
        <v>37</v>
      </c>
      <c r="B12" s="27"/>
      <c r="C12" s="26">
        <v>12.0</v>
      </c>
      <c r="D12" s="27"/>
      <c r="E12" s="27"/>
      <c r="F12" s="26">
        <v>10.0</v>
      </c>
      <c r="G12" s="27"/>
      <c r="H12" s="27"/>
      <c r="I12" s="27"/>
      <c r="J12" s="26" t="s">
        <v>256</v>
      </c>
      <c r="K12" s="26">
        <v>3.0</v>
      </c>
      <c r="L12" s="26">
        <v>12.0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6">
        <v>8.0</v>
      </c>
      <c r="X12" s="27"/>
      <c r="Y12" s="26">
        <v>1.0</v>
      </c>
      <c r="Z12" s="27"/>
      <c r="AA12" s="27"/>
      <c r="AB12" s="26">
        <v>4.0</v>
      </c>
      <c r="AC12" s="27"/>
      <c r="AD12" s="66">
        <f t="shared" si="1"/>
        <v>50</v>
      </c>
      <c r="AE12" s="67">
        <f t="shared" si="2"/>
        <v>17</v>
      </c>
      <c r="AF12" s="68">
        <f t="shared" si="3"/>
        <v>7</v>
      </c>
    </row>
    <row r="13">
      <c r="A13" s="25" t="s">
        <v>29</v>
      </c>
      <c r="B13" s="27"/>
      <c r="C13" s="26">
        <v>8.0</v>
      </c>
      <c r="D13" s="27"/>
      <c r="E13" s="27"/>
      <c r="F13" s="27"/>
      <c r="G13" s="27"/>
      <c r="H13" s="26">
        <v>4.0</v>
      </c>
      <c r="I13" s="27"/>
      <c r="J13" s="27"/>
      <c r="K13" s="26" t="s">
        <v>256</v>
      </c>
      <c r="L13" s="27"/>
      <c r="M13" s="26">
        <v>8.0</v>
      </c>
      <c r="N13" s="27"/>
      <c r="O13" s="27"/>
      <c r="P13" s="26">
        <v>4.0</v>
      </c>
      <c r="Q13" s="26">
        <v>1.0</v>
      </c>
      <c r="R13" s="26">
        <v>10.0</v>
      </c>
      <c r="S13" s="27"/>
      <c r="T13" s="26">
        <v>6.0</v>
      </c>
      <c r="U13" s="27"/>
      <c r="V13" s="26">
        <v>5.0</v>
      </c>
      <c r="W13" s="26">
        <v>12.0</v>
      </c>
      <c r="X13" s="26">
        <v>7.0</v>
      </c>
      <c r="Y13" s="26">
        <v>10.0</v>
      </c>
      <c r="Z13" s="27"/>
      <c r="AA13" s="27"/>
      <c r="AB13" s="27"/>
      <c r="AC13" s="27"/>
      <c r="AD13" s="66">
        <f t="shared" si="1"/>
        <v>75</v>
      </c>
      <c r="AE13" s="67">
        <f t="shared" si="2"/>
        <v>11</v>
      </c>
      <c r="AF13" s="68">
        <f t="shared" si="3"/>
        <v>11</v>
      </c>
    </row>
    <row r="14">
      <c r="A14" s="25" t="s">
        <v>141</v>
      </c>
      <c r="B14" s="27"/>
      <c r="C14" s="44"/>
      <c r="D14" s="26"/>
      <c r="E14" s="27"/>
      <c r="F14" s="27"/>
      <c r="G14" s="27"/>
      <c r="H14" s="27"/>
      <c r="I14" s="26">
        <v>1.0</v>
      </c>
      <c r="J14" s="27"/>
      <c r="K14" s="27"/>
      <c r="L14" s="26" t="s">
        <v>256</v>
      </c>
      <c r="M14" s="27"/>
      <c r="N14" s="26">
        <v>8.0</v>
      </c>
      <c r="O14" s="27"/>
      <c r="P14" s="26">
        <v>3.0</v>
      </c>
      <c r="Q14" s="27"/>
      <c r="R14" s="26">
        <v>7.0</v>
      </c>
      <c r="S14" s="27"/>
      <c r="T14" s="27"/>
      <c r="U14" s="27"/>
      <c r="V14" s="27"/>
      <c r="W14" s="27"/>
      <c r="X14" s="27"/>
      <c r="Y14" s="26">
        <v>6.0</v>
      </c>
      <c r="Z14" s="26">
        <v>2.0</v>
      </c>
      <c r="AA14" s="27"/>
      <c r="AB14" s="27"/>
      <c r="AC14" s="26"/>
      <c r="AD14" s="66">
        <f t="shared" si="1"/>
        <v>27</v>
      </c>
      <c r="AE14" s="67">
        <f t="shared" si="2"/>
        <v>22</v>
      </c>
      <c r="AF14" s="68">
        <f t="shared" si="3"/>
        <v>6</v>
      </c>
    </row>
    <row r="15">
      <c r="A15" s="25" t="s">
        <v>117</v>
      </c>
      <c r="B15" s="27"/>
      <c r="C15" s="26">
        <v>4.0</v>
      </c>
      <c r="D15" s="26">
        <v>12.0</v>
      </c>
      <c r="E15" s="27"/>
      <c r="F15" s="26"/>
      <c r="G15" s="26">
        <v>10.0</v>
      </c>
      <c r="H15" s="26">
        <v>2.0</v>
      </c>
      <c r="I15" s="26">
        <v>2.0</v>
      </c>
      <c r="J15" s="27"/>
      <c r="K15" s="27"/>
      <c r="L15" s="27"/>
      <c r="M15" s="26" t="s">
        <v>256</v>
      </c>
      <c r="N15" s="27"/>
      <c r="O15" s="27"/>
      <c r="P15" s="26">
        <v>2.0</v>
      </c>
      <c r="Q15" s="27"/>
      <c r="R15" s="26">
        <v>6.0</v>
      </c>
      <c r="S15" s="26">
        <v>3.0</v>
      </c>
      <c r="T15" s="27"/>
      <c r="U15" s="26">
        <v>6.0</v>
      </c>
      <c r="V15" s="27"/>
      <c r="W15" s="26">
        <v>2.0</v>
      </c>
      <c r="X15" s="26">
        <v>12.0</v>
      </c>
      <c r="Y15" s="26">
        <v>2.0</v>
      </c>
      <c r="Z15" s="27"/>
      <c r="AA15" s="26">
        <v>10.0</v>
      </c>
      <c r="AB15" s="27"/>
      <c r="AC15" s="27"/>
      <c r="AD15" s="66">
        <f t="shared" si="1"/>
        <v>73</v>
      </c>
      <c r="AE15" s="67">
        <f t="shared" si="2"/>
        <v>12</v>
      </c>
      <c r="AF15" s="68">
        <f t="shared" si="3"/>
        <v>13</v>
      </c>
    </row>
    <row r="16">
      <c r="A16" s="25" t="s">
        <v>57</v>
      </c>
      <c r="B16" s="26">
        <v>4.0</v>
      </c>
      <c r="C16" s="26">
        <v>3.0</v>
      </c>
      <c r="D16" s="27"/>
      <c r="E16" s="27"/>
      <c r="F16" s="27"/>
      <c r="G16" s="27"/>
      <c r="H16" s="27"/>
      <c r="I16" s="27"/>
      <c r="J16" s="27"/>
      <c r="K16" s="26">
        <v>1.0</v>
      </c>
      <c r="L16" s="26">
        <v>2.0</v>
      </c>
      <c r="M16" s="27"/>
      <c r="N16" s="26" t="s">
        <v>256</v>
      </c>
      <c r="O16" s="26">
        <v>6.0</v>
      </c>
      <c r="P16" s="27"/>
      <c r="Q16" s="27"/>
      <c r="R16" s="27"/>
      <c r="S16" s="27"/>
      <c r="T16" s="26">
        <v>12.0</v>
      </c>
      <c r="U16" s="27"/>
      <c r="V16" s="27"/>
      <c r="W16" s="26">
        <v>1.0</v>
      </c>
      <c r="X16" s="26">
        <v>10.0</v>
      </c>
      <c r="Y16" s="27"/>
      <c r="Z16" s="26">
        <v>4.0</v>
      </c>
      <c r="AA16" s="26">
        <v>6.0</v>
      </c>
      <c r="AB16" s="27"/>
      <c r="AC16" s="26"/>
      <c r="AD16" s="66">
        <f t="shared" si="1"/>
        <v>49</v>
      </c>
      <c r="AE16" s="67">
        <f t="shared" si="2"/>
        <v>19</v>
      </c>
      <c r="AF16" s="68">
        <f t="shared" si="3"/>
        <v>10</v>
      </c>
    </row>
    <row r="17">
      <c r="A17" s="25" t="s">
        <v>73</v>
      </c>
      <c r="B17" s="26">
        <v>3.0</v>
      </c>
      <c r="C17" s="26">
        <v>10.0</v>
      </c>
      <c r="D17" s="27"/>
      <c r="E17" s="26">
        <v>8.0</v>
      </c>
      <c r="F17" s="27"/>
      <c r="G17" s="27"/>
      <c r="H17" s="26">
        <v>6.0</v>
      </c>
      <c r="I17" s="26">
        <v>10.0</v>
      </c>
      <c r="J17" s="27"/>
      <c r="K17" s="26">
        <v>12.0</v>
      </c>
      <c r="L17" s="26">
        <v>4.0</v>
      </c>
      <c r="M17" s="27"/>
      <c r="N17" s="27"/>
      <c r="O17" s="26" t="s">
        <v>256</v>
      </c>
      <c r="P17" s="26">
        <v>12.0</v>
      </c>
      <c r="Q17" s="26">
        <v>10.0</v>
      </c>
      <c r="R17" s="26">
        <v>3.0</v>
      </c>
      <c r="S17" s="26">
        <v>2.0</v>
      </c>
      <c r="T17" s="26">
        <v>1.0</v>
      </c>
      <c r="U17" s="26">
        <v>4.0</v>
      </c>
      <c r="V17" s="27"/>
      <c r="W17" s="26">
        <v>6.0</v>
      </c>
      <c r="X17" s="27"/>
      <c r="Y17" s="26">
        <v>12.0</v>
      </c>
      <c r="Z17" s="27"/>
      <c r="AA17" s="27"/>
      <c r="AB17" s="26">
        <v>6.0</v>
      </c>
      <c r="AC17" s="26">
        <v>7.0</v>
      </c>
      <c r="AD17" s="66">
        <f t="shared" si="1"/>
        <v>116</v>
      </c>
      <c r="AE17" s="67">
        <f t="shared" si="2"/>
        <v>1</v>
      </c>
      <c r="AF17" s="68">
        <f t="shared" si="3"/>
        <v>17</v>
      </c>
    </row>
    <row r="18">
      <c r="A18" s="25" t="s">
        <v>61</v>
      </c>
      <c r="B18" s="26">
        <v>1.0</v>
      </c>
      <c r="C18" s="27"/>
      <c r="D18" s="27"/>
      <c r="E18" s="26">
        <v>2.0</v>
      </c>
      <c r="F18" s="26"/>
      <c r="G18" s="26">
        <v>7.0</v>
      </c>
      <c r="H18" s="26">
        <v>8.0</v>
      </c>
      <c r="I18" s="26">
        <v>4.0</v>
      </c>
      <c r="J18" s="26">
        <v>6.0</v>
      </c>
      <c r="K18" s="27"/>
      <c r="L18" s="27"/>
      <c r="M18" s="26">
        <v>12.0</v>
      </c>
      <c r="N18" s="26">
        <v>12.0</v>
      </c>
      <c r="O18" s="26">
        <v>2.0</v>
      </c>
      <c r="P18" s="26" t="s">
        <v>256</v>
      </c>
      <c r="Q18" s="27"/>
      <c r="R18" s="27"/>
      <c r="S18" s="26">
        <v>12.0</v>
      </c>
      <c r="T18" s="26">
        <v>4.0</v>
      </c>
      <c r="U18" s="27"/>
      <c r="V18" s="26">
        <v>8.0</v>
      </c>
      <c r="W18" s="27"/>
      <c r="X18" s="26">
        <v>8.0</v>
      </c>
      <c r="Y18" s="26">
        <v>7.0</v>
      </c>
      <c r="Z18" s="26">
        <v>12.0</v>
      </c>
      <c r="AA18" s="27"/>
      <c r="AB18" s="27"/>
      <c r="AC18" s="26"/>
      <c r="AD18" s="66">
        <f t="shared" si="1"/>
        <v>105</v>
      </c>
      <c r="AE18" s="67">
        <f t="shared" si="2"/>
        <v>2</v>
      </c>
      <c r="AF18" s="68">
        <f t="shared" si="3"/>
        <v>15</v>
      </c>
    </row>
    <row r="19">
      <c r="A19" s="25" t="s">
        <v>137</v>
      </c>
      <c r="B19" s="27"/>
      <c r="C19" s="27"/>
      <c r="D19" s="27"/>
      <c r="E19" s="27"/>
      <c r="F19" s="26">
        <v>8.0</v>
      </c>
      <c r="G19" s="27"/>
      <c r="H19" s="26">
        <v>10.0</v>
      </c>
      <c r="I19" s="26">
        <v>6.0</v>
      </c>
      <c r="J19" s="26">
        <v>3.0</v>
      </c>
      <c r="K19" s="26">
        <v>6.0</v>
      </c>
      <c r="L19" s="27"/>
      <c r="M19" s="26">
        <v>4.0</v>
      </c>
      <c r="N19" s="26">
        <v>7.0</v>
      </c>
      <c r="O19" s="27"/>
      <c r="P19" s="26">
        <v>7.0</v>
      </c>
      <c r="Q19" s="26" t="s">
        <v>256</v>
      </c>
      <c r="R19" s="26">
        <v>2.0</v>
      </c>
      <c r="S19" s="26">
        <v>5.0</v>
      </c>
      <c r="T19" s="26">
        <v>3.0</v>
      </c>
      <c r="U19" s="26">
        <v>12.0</v>
      </c>
      <c r="V19" s="27"/>
      <c r="W19" s="26">
        <v>4.0</v>
      </c>
      <c r="X19" s="26">
        <v>5.0</v>
      </c>
      <c r="Y19" s="27"/>
      <c r="Z19" s="26">
        <v>6.0</v>
      </c>
      <c r="AA19" s="27"/>
      <c r="AB19" s="27"/>
      <c r="AC19" s="26">
        <v>3.0</v>
      </c>
      <c r="AD19" s="66">
        <f t="shared" si="1"/>
        <v>91</v>
      </c>
      <c r="AE19" s="67">
        <f t="shared" si="2"/>
        <v>5</v>
      </c>
      <c r="AF19" s="68">
        <f t="shared" si="3"/>
        <v>16</v>
      </c>
    </row>
    <row r="20">
      <c r="A20" s="31" t="s">
        <v>93</v>
      </c>
      <c r="B20" s="26">
        <v>6.0</v>
      </c>
      <c r="C20" s="26">
        <v>1.0</v>
      </c>
      <c r="D20" s="26">
        <v>10.0</v>
      </c>
      <c r="E20" s="26">
        <v>12.0</v>
      </c>
      <c r="F20" s="26">
        <v>5.0</v>
      </c>
      <c r="G20" s="27"/>
      <c r="H20" s="27"/>
      <c r="I20" s="27"/>
      <c r="J20" s="27"/>
      <c r="K20" s="27"/>
      <c r="L20" s="27"/>
      <c r="M20" s="27"/>
      <c r="N20" s="26">
        <v>3.0</v>
      </c>
      <c r="O20" s="26">
        <v>7.0</v>
      </c>
      <c r="P20" s="27"/>
      <c r="Q20" s="27"/>
      <c r="R20" s="26" t="s">
        <v>256</v>
      </c>
      <c r="S20" s="27"/>
      <c r="T20" s="27"/>
      <c r="U20" s="26">
        <v>8.0</v>
      </c>
      <c r="V20" s="27"/>
      <c r="W20" s="27"/>
      <c r="X20" s="27"/>
      <c r="Y20" s="27"/>
      <c r="Z20" s="27"/>
      <c r="AA20" s="26">
        <v>1.0</v>
      </c>
      <c r="AB20" s="27"/>
      <c r="AC20" s="27"/>
      <c r="AD20" s="66">
        <f t="shared" si="1"/>
        <v>53</v>
      </c>
      <c r="AE20" s="67">
        <f t="shared" si="2"/>
        <v>16</v>
      </c>
      <c r="AF20" s="68">
        <f t="shared" si="3"/>
        <v>9</v>
      </c>
    </row>
    <row r="21">
      <c r="A21" s="25" t="s">
        <v>169</v>
      </c>
      <c r="B21" s="26">
        <v>8.0</v>
      </c>
      <c r="C21" s="27"/>
      <c r="D21" s="26">
        <v>3.0</v>
      </c>
      <c r="E21" s="26">
        <v>6.0</v>
      </c>
      <c r="F21" s="26">
        <v>1.0</v>
      </c>
      <c r="G21" s="26">
        <v>8.0</v>
      </c>
      <c r="H21" s="27"/>
      <c r="I21" s="27"/>
      <c r="J21" s="27"/>
      <c r="K21" s="27"/>
      <c r="L21" s="26">
        <v>1.0</v>
      </c>
      <c r="M21" s="27"/>
      <c r="N21" s="26">
        <v>2.0</v>
      </c>
      <c r="O21" s="27"/>
      <c r="P21" s="26">
        <v>1.0</v>
      </c>
      <c r="Q21" s="27"/>
      <c r="R21" s="26">
        <v>8.0</v>
      </c>
      <c r="S21" s="26" t="s">
        <v>256</v>
      </c>
      <c r="T21" s="27"/>
      <c r="U21" s="27"/>
      <c r="V21" s="26">
        <v>12.0</v>
      </c>
      <c r="W21" s="27"/>
      <c r="X21" s="26">
        <v>4.0</v>
      </c>
      <c r="Y21" s="26">
        <v>8.0</v>
      </c>
      <c r="Z21" s="26">
        <v>5.0</v>
      </c>
      <c r="AA21" s="26">
        <v>12.0</v>
      </c>
      <c r="AB21" s="27"/>
      <c r="AC21" s="26">
        <v>2.0</v>
      </c>
      <c r="AD21" s="66">
        <f t="shared" si="1"/>
        <v>81</v>
      </c>
      <c r="AE21" s="67">
        <f t="shared" si="2"/>
        <v>9</v>
      </c>
      <c r="AF21" s="68">
        <f t="shared" si="3"/>
        <v>15</v>
      </c>
    </row>
    <row r="22">
      <c r="A22" s="25" t="s">
        <v>17</v>
      </c>
      <c r="B22" s="27"/>
      <c r="C22" s="27"/>
      <c r="D22" s="27"/>
      <c r="E22" s="27"/>
      <c r="F22" s="26">
        <v>7.0</v>
      </c>
      <c r="G22" s="26">
        <v>4.0</v>
      </c>
      <c r="H22" s="26">
        <v>12.0</v>
      </c>
      <c r="I22" s="26">
        <v>3.0</v>
      </c>
      <c r="J22" s="27"/>
      <c r="K22" s="26">
        <v>4.0</v>
      </c>
      <c r="L22" s="27"/>
      <c r="M22" s="26">
        <v>3.0</v>
      </c>
      <c r="N22" s="26">
        <v>5.0</v>
      </c>
      <c r="O22" s="27"/>
      <c r="P22" s="27"/>
      <c r="Q22" s="26">
        <v>12.0</v>
      </c>
      <c r="R22" s="27"/>
      <c r="S22" s="26">
        <v>6.0</v>
      </c>
      <c r="T22" s="26" t="s">
        <v>256</v>
      </c>
      <c r="U22" s="27"/>
      <c r="V22" s="26">
        <v>10.0</v>
      </c>
      <c r="W22" s="26">
        <v>7.0</v>
      </c>
      <c r="X22" s="26">
        <v>2.0</v>
      </c>
      <c r="Y22" s="27"/>
      <c r="Z22" s="26">
        <v>10.0</v>
      </c>
      <c r="AA22" s="27"/>
      <c r="AB22" s="27"/>
      <c r="AC22" s="26">
        <v>10.0</v>
      </c>
      <c r="AD22" s="66">
        <f t="shared" si="1"/>
        <v>95</v>
      </c>
      <c r="AE22" s="67">
        <f t="shared" si="2"/>
        <v>4</v>
      </c>
      <c r="AF22" s="68">
        <f t="shared" si="3"/>
        <v>14</v>
      </c>
    </row>
    <row r="23">
      <c r="A23" s="25" t="s">
        <v>161</v>
      </c>
      <c r="B23" s="26">
        <v>7.0</v>
      </c>
      <c r="C23" s="27"/>
      <c r="D23" s="26">
        <v>6.0</v>
      </c>
      <c r="E23" s="26">
        <v>10.0</v>
      </c>
      <c r="F23" s="27"/>
      <c r="G23" s="27"/>
      <c r="H23" s="27"/>
      <c r="I23" s="27"/>
      <c r="J23" s="27"/>
      <c r="K23" s="27"/>
      <c r="L23" s="27"/>
      <c r="M23" s="27"/>
      <c r="N23" s="26">
        <v>4.0</v>
      </c>
      <c r="O23" s="26">
        <v>1.0</v>
      </c>
      <c r="P23" s="27"/>
      <c r="Q23" s="26">
        <v>4.0</v>
      </c>
      <c r="R23" s="27"/>
      <c r="S23" s="27"/>
      <c r="T23" s="27"/>
      <c r="U23" s="26" t="s">
        <v>256</v>
      </c>
      <c r="V23" s="27"/>
      <c r="W23" s="27"/>
      <c r="X23" s="27"/>
      <c r="Y23" s="27"/>
      <c r="Z23" s="27"/>
      <c r="AA23" s="26">
        <v>2.0</v>
      </c>
      <c r="AB23" s="27"/>
      <c r="AC23" s="27"/>
      <c r="AD23" s="66">
        <f t="shared" si="1"/>
        <v>34</v>
      </c>
      <c r="AE23" s="67">
        <f t="shared" si="2"/>
        <v>21</v>
      </c>
      <c r="AF23" s="68">
        <f t="shared" si="3"/>
        <v>7</v>
      </c>
    </row>
    <row r="24">
      <c r="A24" s="25" t="s">
        <v>247</v>
      </c>
      <c r="B24" s="26">
        <v>2.0</v>
      </c>
      <c r="C24" s="26">
        <v>7.0</v>
      </c>
      <c r="D24" s="27"/>
      <c r="E24" s="26">
        <v>4.0</v>
      </c>
      <c r="F24" s="26">
        <v>6.0</v>
      </c>
      <c r="G24" s="26">
        <v>6.0</v>
      </c>
      <c r="H24" s="26">
        <v>5.0</v>
      </c>
      <c r="I24" s="26">
        <v>8.0</v>
      </c>
      <c r="J24" s="27"/>
      <c r="K24" s="27"/>
      <c r="L24" s="27"/>
      <c r="M24" s="27"/>
      <c r="N24" s="26">
        <v>1.0</v>
      </c>
      <c r="O24" s="26">
        <v>3.0</v>
      </c>
      <c r="P24" s="26">
        <v>10.0</v>
      </c>
      <c r="Q24" s="26">
        <v>3.0</v>
      </c>
      <c r="R24" s="27"/>
      <c r="S24" s="26">
        <v>10.0</v>
      </c>
      <c r="T24" s="26">
        <v>2.0</v>
      </c>
      <c r="U24" s="26">
        <v>2.0</v>
      </c>
      <c r="V24" s="26" t="s">
        <v>256</v>
      </c>
      <c r="W24" s="27"/>
      <c r="X24" s="26">
        <v>6.0</v>
      </c>
      <c r="Y24" s="27"/>
      <c r="Z24" s="26">
        <v>3.0</v>
      </c>
      <c r="AA24" s="27"/>
      <c r="AB24" s="27"/>
      <c r="AC24" s="26"/>
      <c r="AD24" s="66">
        <f t="shared" si="1"/>
        <v>78</v>
      </c>
      <c r="AE24" s="67">
        <f t="shared" si="2"/>
        <v>10</v>
      </c>
      <c r="AF24" s="68">
        <f t="shared" si="3"/>
        <v>16</v>
      </c>
    </row>
    <row r="25">
      <c r="A25" s="25" t="s">
        <v>209</v>
      </c>
      <c r="B25" s="27"/>
      <c r="C25" s="27"/>
      <c r="D25" s="26">
        <v>1.0</v>
      </c>
      <c r="E25" s="27"/>
      <c r="F25" s="27"/>
      <c r="G25" s="27"/>
      <c r="H25" s="26">
        <v>7.0</v>
      </c>
      <c r="I25" s="26">
        <v>5.0</v>
      </c>
      <c r="J25" s="26">
        <v>7.0</v>
      </c>
      <c r="K25" s="26">
        <v>10.0</v>
      </c>
      <c r="L25" s="26">
        <v>6.0</v>
      </c>
      <c r="M25" s="26">
        <v>10.0</v>
      </c>
      <c r="N25" s="26">
        <v>6.0</v>
      </c>
      <c r="O25" s="27"/>
      <c r="P25" s="26">
        <v>6.0</v>
      </c>
      <c r="Q25" s="26">
        <v>6.0</v>
      </c>
      <c r="R25" s="27"/>
      <c r="S25" s="27"/>
      <c r="T25" s="26">
        <v>10.0</v>
      </c>
      <c r="U25" s="27"/>
      <c r="V25" s="26">
        <v>6.0</v>
      </c>
      <c r="W25" s="26" t="s">
        <v>256</v>
      </c>
      <c r="X25" s="26">
        <v>3.0</v>
      </c>
      <c r="Y25" s="27"/>
      <c r="Z25" s="27"/>
      <c r="AA25" s="27"/>
      <c r="AB25" s="27"/>
      <c r="AC25" s="27"/>
      <c r="AD25" s="66">
        <f t="shared" si="1"/>
        <v>83</v>
      </c>
      <c r="AE25" s="67">
        <f t="shared" si="2"/>
        <v>8</v>
      </c>
      <c r="AF25" s="68">
        <f t="shared" si="3"/>
        <v>13</v>
      </c>
    </row>
    <row r="26">
      <c r="A26" s="25" t="s">
        <v>77</v>
      </c>
      <c r="B26" s="27"/>
      <c r="C26" s="27"/>
      <c r="D26" s="27"/>
      <c r="E26" s="26">
        <v>1.0</v>
      </c>
      <c r="F26" s="26"/>
      <c r="G26" s="26">
        <v>3.0</v>
      </c>
      <c r="H26" s="27"/>
      <c r="I26" s="27"/>
      <c r="J26" s="26">
        <v>10.0</v>
      </c>
      <c r="K26" s="27"/>
      <c r="L26" s="27"/>
      <c r="M26" s="27"/>
      <c r="N26" s="27"/>
      <c r="O26" s="26">
        <v>10.0</v>
      </c>
      <c r="P26" s="27"/>
      <c r="Q26" s="27"/>
      <c r="R26" s="27"/>
      <c r="S26" s="26">
        <v>1.0</v>
      </c>
      <c r="T26" s="27"/>
      <c r="U26" s="26">
        <v>1.0</v>
      </c>
      <c r="V26" s="27"/>
      <c r="W26" s="27"/>
      <c r="X26" s="26" t="s">
        <v>256</v>
      </c>
      <c r="Y26" s="27"/>
      <c r="Z26" s="27"/>
      <c r="AA26" s="27"/>
      <c r="AB26" s="27"/>
      <c r="AC26" s="27"/>
      <c r="AD26" s="66">
        <f t="shared" si="1"/>
        <v>26</v>
      </c>
      <c r="AE26" s="67">
        <f t="shared" si="2"/>
        <v>23</v>
      </c>
      <c r="AF26" s="68">
        <f t="shared" si="3"/>
        <v>6</v>
      </c>
    </row>
    <row r="27">
      <c r="A27" s="25" t="s">
        <v>173</v>
      </c>
      <c r="B27" s="27"/>
      <c r="C27" s="27"/>
      <c r="D27" s="26">
        <v>2.0</v>
      </c>
      <c r="E27" s="27"/>
      <c r="F27" s="27"/>
      <c r="G27" s="27"/>
      <c r="H27" s="27"/>
      <c r="I27" s="27"/>
      <c r="J27" s="26">
        <v>5.0</v>
      </c>
      <c r="K27" s="27"/>
      <c r="L27" s="27"/>
      <c r="M27" s="26">
        <v>6.0</v>
      </c>
      <c r="N27" s="27"/>
      <c r="O27" s="26">
        <v>4.0</v>
      </c>
      <c r="P27" s="26">
        <v>5.0</v>
      </c>
      <c r="Q27" s="26">
        <v>2.0</v>
      </c>
      <c r="R27" s="27"/>
      <c r="S27" s="26">
        <v>7.0</v>
      </c>
      <c r="T27" s="27"/>
      <c r="U27" s="26">
        <v>3.0</v>
      </c>
      <c r="V27" s="26">
        <v>7.0</v>
      </c>
      <c r="W27" s="27"/>
      <c r="X27" s="27"/>
      <c r="Y27" s="26" t="s">
        <v>256</v>
      </c>
      <c r="Z27" s="27"/>
      <c r="AA27" s="26">
        <v>3.0</v>
      </c>
      <c r="AB27" s="27"/>
      <c r="AC27" s="26">
        <v>6.0</v>
      </c>
      <c r="AD27" s="66">
        <f t="shared" si="1"/>
        <v>50</v>
      </c>
      <c r="AE27" s="67">
        <f t="shared" si="2"/>
        <v>17</v>
      </c>
      <c r="AF27" s="68">
        <f t="shared" si="3"/>
        <v>11</v>
      </c>
    </row>
    <row r="28">
      <c r="A28" s="25" t="s">
        <v>21</v>
      </c>
      <c r="B28" s="26">
        <v>10.0</v>
      </c>
      <c r="C28" s="27"/>
      <c r="D28" s="26">
        <v>4.0</v>
      </c>
      <c r="E28" s="26">
        <v>7.0</v>
      </c>
      <c r="F28" s="26"/>
      <c r="G28" s="26">
        <v>2.0</v>
      </c>
      <c r="H28" s="27"/>
      <c r="I28" s="27"/>
      <c r="J28" s="26">
        <v>2.0</v>
      </c>
      <c r="K28" s="27"/>
      <c r="L28" s="26">
        <v>5.0</v>
      </c>
      <c r="M28" s="27"/>
      <c r="N28" s="27"/>
      <c r="O28" s="26">
        <v>12.0</v>
      </c>
      <c r="P28" s="26">
        <v>8.0</v>
      </c>
      <c r="Q28" s="27"/>
      <c r="R28" s="26">
        <v>12.0</v>
      </c>
      <c r="S28" s="27"/>
      <c r="T28" s="27"/>
      <c r="U28" s="27"/>
      <c r="V28" s="26">
        <v>1.0</v>
      </c>
      <c r="W28" s="27"/>
      <c r="X28" s="27"/>
      <c r="Y28" s="26">
        <v>3.0</v>
      </c>
      <c r="Z28" s="26" t="s">
        <v>256</v>
      </c>
      <c r="AA28" s="26">
        <v>8.0</v>
      </c>
      <c r="AB28" s="26">
        <v>8.0</v>
      </c>
      <c r="AC28" s="26">
        <v>4.0</v>
      </c>
      <c r="AD28" s="66">
        <f t="shared" si="1"/>
        <v>86</v>
      </c>
      <c r="AE28" s="67">
        <f t="shared" si="2"/>
        <v>6</v>
      </c>
      <c r="AF28" s="68">
        <f t="shared" si="3"/>
        <v>14</v>
      </c>
    </row>
    <row r="29" ht="6.0" customHeight="1">
      <c r="A29" s="69"/>
    </row>
    <row r="30">
      <c r="A30" s="39"/>
      <c r="B30" s="40">
        <f t="shared" ref="B30:AC30" si="4">SUM(B4:B28)</f>
        <v>58</v>
      </c>
      <c r="C30" s="40">
        <f t="shared" si="4"/>
        <v>58</v>
      </c>
      <c r="D30" s="40">
        <f t="shared" si="4"/>
        <v>58</v>
      </c>
      <c r="E30" s="40">
        <f t="shared" si="4"/>
        <v>58</v>
      </c>
      <c r="F30" s="40">
        <f t="shared" si="4"/>
        <v>58</v>
      </c>
      <c r="G30" s="40">
        <f t="shared" si="4"/>
        <v>58</v>
      </c>
      <c r="H30" s="40">
        <f t="shared" si="4"/>
        <v>58</v>
      </c>
      <c r="I30" s="40">
        <f t="shared" si="4"/>
        <v>58</v>
      </c>
      <c r="J30" s="40">
        <f t="shared" si="4"/>
        <v>58</v>
      </c>
      <c r="K30" s="40">
        <f t="shared" si="4"/>
        <v>58</v>
      </c>
      <c r="L30" s="40">
        <f t="shared" si="4"/>
        <v>58</v>
      </c>
      <c r="M30" s="40">
        <f t="shared" si="4"/>
        <v>58</v>
      </c>
      <c r="N30" s="40">
        <f t="shared" si="4"/>
        <v>58</v>
      </c>
      <c r="O30" s="40">
        <f t="shared" si="4"/>
        <v>58</v>
      </c>
      <c r="P30" s="40">
        <f t="shared" si="4"/>
        <v>58</v>
      </c>
      <c r="Q30" s="40">
        <f t="shared" si="4"/>
        <v>58</v>
      </c>
      <c r="R30" s="40">
        <f t="shared" si="4"/>
        <v>58</v>
      </c>
      <c r="S30" s="40">
        <f t="shared" si="4"/>
        <v>58</v>
      </c>
      <c r="T30" s="40">
        <f t="shared" si="4"/>
        <v>58</v>
      </c>
      <c r="U30" s="40">
        <f t="shared" si="4"/>
        <v>58</v>
      </c>
      <c r="V30" s="40">
        <f t="shared" si="4"/>
        <v>58</v>
      </c>
      <c r="W30" s="40">
        <f t="shared" si="4"/>
        <v>58</v>
      </c>
      <c r="X30" s="40">
        <f t="shared" si="4"/>
        <v>58</v>
      </c>
      <c r="Y30" s="40">
        <f t="shared" si="4"/>
        <v>58</v>
      </c>
      <c r="Z30" s="40">
        <f t="shared" si="4"/>
        <v>58</v>
      </c>
      <c r="AA30" s="40">
        <f t="shared" si="4"/>
        <v>58</v>
      </c>
      <c r="AB30" s="40">
        <f t="shared" si="4"/>
        <v>58</v>
      </c>
      <c r="AC30" s="40">
        <f t="shared" si="4"/>
        <v>58</v>
      </c>
      <c r="AD30" s="70"/>
    </row>
    <row r="31">
      <c r="A31" s="71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</row>
  </sheetData>
  <mergeCells count="4">
    <mergeCell ref="A1:AF2"/>
    <mergeCell ref="A29:AF29"/>
    <mergeCell ref="AD30:AF30"/>
    <mergeCell ref="A31:AF34"/>
  </mergeCells>
  <conditionalFormatting sqref="B4:AC28">
    <cfRule type="cellIs" dxfId="7" priority="1" operator="equal">
      <formula>12</formula>
    </cfRule>
  </conditionalFormatting>
  <conditionalFormatting sqref="B4:AC28">
    <cfRule type="cellIs" dxfId="8" priority="2" operator="equal">
      <formula>"X"</formula>
    </cfRule>
  </conditionalFormatting>
  <conditionalFormatting sqref="A4:A28">
    <cfRule type="expression" dxfId="2" priority="3">
      <formula>AE4&lt;=10</formula>
    </cfRule>
  </conditionalFormatting>
  <conditionalFormatting sqref="AE4:AE28">
    <cfRule type="cellIs" dxfId="3" priority="4" operator="lessThanOrEqual">
      <formula>10</formula>
    </cfRule>
  </conditionalFormatting>
  <conditionalFormatting sqref="B3:AC3">
    <cfRule type="expression" dxfId="9" priority="5">
      <formula>B30=58</formula>
    </cfRule>
  </conditionalFormatting>
  <conditionalFormatting sqref="B3:AC3">
    <cfRule type="expression" dxfId="10" priority="6">
      <formula>B30=0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4.38"/>
    <col customWidth="1" min="3" max="3" width="4.13"/>
    <col customWidth="1" min="4" max="20" width="3.75"/>
  </cols>
  <sheetData>
    <row r="1">
      <c r="A1" s="72"/>
      <c r="B1" s="27"/>
      <c r="C1" s="27"/>
      <c r="D1" s="27"/>
      <c r="E1" s="27"/>
      <c r="F1" s="27"/>
      <c r="G1" s="27"/>
      <c r="H1" s="27"/>
      <c r="I1" s="27"/>
      <c r="J1" s="27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2"/>
      <c r="B2" s="26"/>
      <c r="C2" s="27"/>
      <c r="D2" s="27"/>
      <c r="E2" s="27"/>
      <c r="F2" s="27"/>
      <c r="G2" s="27"/>
      <c r="H2" s="27"/>
      <c r="I2" s="27"/>
      <c r="J2" s="27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61.25" customHeight="1">
      <c r="A3" s="45" t="s">
        <v>260</v>
      </c>
      <c r="B3" s="73" t="s">
        <v>258</v>
      </c>
      <c r="C3" s="74" t="s">
        <v>254</v>
      </c>
      <c r="D3" s="75" t="s">
        <v>259</v>
      </c>
      <c r="E3" s="73" t="s">
        <v>261</v>
      </c>
      <c r="F3" s="76" t="s">
        <v>41</v>
      </c>
      <c r="G3" s="76" t="s">
        <v>81</v>
      </c>
      <c r="H3" s="76" t="s">
        <v>53</v>
      </c>
      <c r="I3" s="76" t="s">
        <v>45</v>
      </c>
      <c r="J3" s="76" t="s">
        <v>9</v>
      </c>
      <c r="K3" s="76" t="s">
        <v>201</v>
      </c>
      <c r="L3" s="76" t="s">
        <v>157</v>
      </c>
      <c r="M3" s="50" t="s">
        <v>189</v>
      </c>
      <c r="N3" s="50" t="s">
        <v>33</v>
      </c>
      <c r="O3" s="50" t="s">
        <v>153</v>
      </c>
      <c r="P3" s="50" t="s">
        <v>225</v>
      </c>
      <c r="Q3" s="50" t="s">
        <v>101</v>
      </c>
      <c r="R3" s="50" t="s">
        <v>145</v>
      </c>
      <c r="S3" s="50" t="s">
        <v>237</v>
      </c>
      <c r="T3" s="50" t="s">
        <v>217</v>
      </c>
      <c r="U3" s="72"/>
      <c r="V3" s="72"/>
      <c r="W3" s="72"/>
      <c r="X3" s="72"/>
      <c r="Y3" s="72"/>
      <c r="Z3" s="72"/>
    </row>
    <row r="4">
      <c r="A4" s="25" t="s">
        <v>133</v>
      </c>
      <c r="B4" s="51">
        <f t="shared" ref="B4:B28" si="1">SUM(F4:T4)+D4</f>
        <v>21</v>
      </c>
      <c r="C4" s="77">
        <f t="shared" ref="C4:C28" si="2">_xlfn.RANK.EQ(B4, B$4:B$28, 0)</f>
        <v>23</v>
      </c>
      <c r="D4" s="78"/>
      <c r="E4" s="79">
        <f t="shared" ref="E4:E28" si="3">COUNT(F4:Z4)</f>
        <v>6</v>
      </c>
      <c r="F4" s="26">
        <v>5.0</v>
      </c>
      <c r="G4" s="26">
        <v>2.0</v>
      </c>
      <c r="H4" s="27"/>
      <c r="I4" s="26">
        <v>5.0</v>
      </c>
      <c r="J4" s="27"/>
      <c r="K4" s="27"/>
      <c r="L4" s="26">
        <v>4.0</v>
      </c>
      <c r="M4" s="27"/>
      <c r="N4" s="27"/>
      <c r="O4" s="26">
        <v>2.0</v>
      </c>
      <c r="P4" s="27"/>
      <c r="Q4" s="27"/>
      <c r="R4" s="27"/>
      <c r="S4" s="26">
        <v>3.0</v>
      </c>
      <c r="T4" s="27"/>
      <c r="U4" s="27"/>
      <c r="V4" s="72"/>
      <c r="W4" s="72"/>
      <c r="X4" s="72"/>
      <c r="Y4" s="72"/>
      <c r="Z4" s="72"/>
    </row>
    <row r="5">
      <c r="A5" s="25" t="s">
        <v>243</v>
      </c>
      <c r="B5" s="51">
        <f t="shared" si="1"/>
        <v>35</v>
      </c>
      <c r="C5" s="77">
        <f t="shared" si="2"/>
        <v>12</v>
      </c>
      <c r="D5" s="78"/>
      <c r="E5" s="79">
        <f t="shared" si="3"/>
        <v>7</v>
      </c>
      <c r="F5" s="27"/>
      <c r="G5" s="26">
        <v>7.0</v>
      </c>
      <c r="H5" s="26">
        <v>4.0</v>
      </c>
      <c r="I5" s="27"/>
      <c r="J5" s="27"/>
      <c r="K5" s="26">
        <v>6.0</v>
      </c>
      <c r="L5" s="27"/>
      <c r="M5" s="26">
        <v>3.0</v>
      </c>
      <c r="N5" s="26">
        <v>6.0</v>
      </c>
      <c r="O5" s="27"/>
      <c r="P5" s="26">
        <v>2.0</v>
      </c>
      <c r="Q5" s="27"/>
      <c r="R5" s="26">
        <v>7.0</v>
      </c>
      <c r="S5" s="27"/>
      <c r="T5" s="27"/>
      <c r="U5" s="27"/>
      <c r="V5" s="72"/>
      <c r="W5" s="72"/>
      <c r="X5" s="72"/>
      <c r="Y5" s="72"/>
      <c r="Z5" s="72"/>
    </row>
    <row r="6">
      <c r="A6" s="25" t="s">
        <v>165</v>
      </c>
      <c r="B6" s="51">
        <f t="shared" si="1"/>
        <v>17</v>
      </c>
      <c r="C6" s="77">
        <f t="shared" si="2"/>
        <v>24</v>
      </c>
      <c r="D6" s="78"/>
      <c r="E6" s="79">
        <f t="shared" si="3"/>
        <v>2</v>
      </c>
      <c r="F6" s="27"/>
      <c r="G6" s="27"/>
      <c r="H6" s="27"/>
      <c r="I6" s="27"/>
      <c r="J6" s="27"/>
      <c r="K6" s="26">
        <v>5.0</v>
      </c>
      <c r="L6" s="27"/>
      <c r="M6" s="27"/>
      <c r="N6" s="27"/>
      <c r="O6" s="27"/>
      <c r="P6" s="26">
        <v>12.0</v>
      </c>
      <c r="Q6" s="27"/>
      <c r="R6" s="27"/>
      <c r="S6" s="27"/>
      <c r="T6" s="27"/>
      <c r="U6" s="27"/>
      <c r="V6" s="72"/>
      <c r="W6" s="72"/>
      <c r="X6" s="72"/>
      <c r="Y6" s="72"/>
      <c r="Z6" s="72"/>
    </row>
    <row r="7">
      <c r="A7" s="25" t="s">
        <v>244</v>
      </c>
      <c r="B7" s="51">
        <f t="shared" si="1"/>
        <v>43</v>
      </c>
      <c r="C7" s="77">
        <f t="shared" si="2"/>
        <v>8</v>
      </c>
      <c r="D7" s="80">
        <v>6.0</v>
      </c>
      <c r="E7" s="79">
        <f t="shared" si="3"/>
        <v>4</v>
      </c>
      <c r="F7" s="27"/>
      <c r="G7" s="27"/>
      <c r="H7" s="26">
        <v>10.0</v>
      </c>
      <c r="I7" s="26">
        <v>12.0</v>
      </c>
      <c r="J7" s="26">
        <v>5.0</v>
      </c>
      <c r="K7" s="27"/>
      <c r="L7" s="27"/>
      <c r="M7" s="26">
        <v>10.0</v>
      </c>
      <c r="N7" s="27"/>
      <c r="O7" s="27"/>
      <c r="P7" s="27"/>
      <c r="Q7" s="27"/>
      <c r="R7" s="27"/>
      <c r="S7" s="27"/>
      <c r="T7" s="27"/>
      <c r="U7" s="27"/>
      <c r="V7" s="72"/>
      <c r="W7" s="72"/>
      <c r="X7" s="72"/>
      <c r="Y7" s="72"/>
      <c r="Z7" s="72"/>
    </row>
    <row r="8">
      <c r="A8" s="25" t="s">
        <v>245</v>
      </c>
      <c r="B8" s="51">
        <f t="shared" si="1"/>
        <v>51</v>
      </c>
      <c r="C8" s="77">
        <f t="shared" si="2"/>
        <v>5</v>
      </c>
      <c r="D8" s="78"/>
      <c r="E8" s="79">
        <f t="shared" si="3"/>
        <v>8</v>
      </c>
      <c r="F8" s="26">
        <v>10.0</v>
      </c>
      <c r="G8" s="26">
        <v>1.0</v>
      </c>
      <c r="H8" s="26">
        <v>8.0</v>
      </c>
      <c r="I8" s="27"/>
      <c r="J8" s="27"/>
      <c r="K8" s="27"/>
      <c r="L8" s="27"/>
      <c r="M8" s="27"/>
      <c r="N8" s="26">
        <v>12.0</v>
      </c>
      <c r="O8" s="26">
        <v>10.0</v>
      </c>
      <c r="P8" s="26">
        <v>4.0</v>
      </c>
      <c r="Q8" s="26">
        <v>5.0</v>
      </c>
      <c r="R8" s="27"/>
      <c r="S8" s="27"/>
      <c r="T8" s="26">
        <v>1.0</v>
      </c>
      <c r="U8" s="27"/>
      <c r="V8" s="72"/>
      <c r="W8" s="72"/>
      <c r="X8" s="72"/>
      <c r="Y8" s="72"/>
      <c r="Z8" s="72"/>
    </row>
    <row r="9">
      <c r="A9" s="25" t="s">
        <v>113</v>
      </c>
      <c r="B9" s="51">
        <f t="shared" si="1"/>
        <v>32</v>
      </c>
      <c r="C9" s="77">
        <f t="shared" si="2"/>
        <v>15</v>
      </c>
      <c r="D9" s="80">
        <v>6.0</v>
      </c>
      <c r="E9" s="79">
        <f t="shared" si="3"/>
        <v>8</v>
      </c>
      <c r="F9" s="27"/>
      <c r="G9" s="27"/>
      <c r="H9" s="26">
        <v>2.0</v>
      </c>
      <c r="I9" s="26">
        <v>4.0</v>
      </c>
      <c r="J9" s="27"/>
      <c r="K9" s="27"/>
      <c r="L9" s="26">
        <v>3.0</v>
      </c>
      <c r="M9" s="27"/>
      <c r="N9" s="27"/>
      <c r="O9" s="27"/>
      <c r="P9" s="26">
        <v>3.0</v>
      </c>
      <c r="Q9" s="26">
        <v>2.0</v>
      </c>
      <c r="R9" s="26">
        <v>8.0</v>
      </c>
      <c r="S9" s="26">
        <v>1.0</v>
      </c>
      <c r="T9" s="26">
        <v>3.0</v>
      </c>
      <c r="U9" s="27"/>
      <c r="V9" s="72"/>
      <c r="W9" s="72"/>
      <c r="X9" s="72"/>
      <c r="Y9" s="72"/>
      <c r="Z9" s="72"/>
    </row>
    <row r="10">
      <c r="A10" s="25" t="s">
        <v>213</v>
      </c>
      <c r="B10" s="51">
        <f t="shared" si="1"/>
        <v>23</v>
      </c>
      <c r="C10" s="77">
        <f t="shared" si="2"/>
        <v>21</v>
      </c>
      <c r="D10" s="80">
        <v>6.0</v>
      </c>
      <c r="E10" s="79">
        <f t="shared" si="3"/>
        <v>6</v>
      </c>
      <c r="F10" s="27"/>
      <c r="G10" s="27"/>
      <c r="H10" s="27"/>
      <c r="I10" s="27"/>
      <c r="J10" s="27"/>
      <c r="K10" s="26">
        <v>1.0</v>
      </c>
      <c r="L10" s="26">
        <v>2.0</v>
      </c>
      <c r="M10" s="27"/>
      <c r="N10" s="26">
        <v>4.0</v>
      </c>
      <c r="O10" s="26">
        <v>1.0</v>
      </c>
      <c r="P10" s="27"/>
      <c r="Q10" s="26">
        <v>4.0</v>
      </c>
      <c r="R10" s="26">
        <v>5.0</v>
      </c>
      <c r="S10" s="27"/>
      <c r="T10" s="27"/>
      <c r="U10" s="27"/>
      <c r="V10" s="72"/>
      <c r="W10" s="72"/>
      <c r="X10" s="72"/>
      <c r="Y10" s="72"/>
      <c r="Z10" s="72"/>
    </row>
    <row r="11">
      <c r="A11" s="25" t="s">
        <v>149</v>
      </c>
      <c r="B11" s="51">
        <f t="shared" si="1"/>
        <v>29</v>
      </c>
      <c r="C11" s="77">
        <f t="shared" si="2"/>
        <v>17</v>
      </c>
      <c r="D11" s="78"/>
      <c r="E11" s="79">
        <f t="shared" si="3"/>
        <v>5</v>
      </c>
      <c r="F11" s="26">
        <v>4.0</v>
      </c>
      <c r="G11" s="27"/>
      <c r="H11" s="27"/>
      <c r="I11" s="26">
        <v>1.0</v>
      </c>
      <c r="J11" s="26">
        <v>12.0</v>
      </c>
      <c r="K11" s="27"/>
      <c r="L11" s="27"/>
      <c r="M11" s="27"/>
      <c r="N11" s="27"/>
      <c r="O11" s="27"/>
      <c r="P11" s="27"/>
      <c r="Q11" s="27"/>
      <c r="R11" s="26">
        <v>4.0</v>
      </c>
      <c r="S11" s="26">
        <v>8.0</v>
      </c>
      <c r="T11" s="27"/>
      <c r="U11" s="27"/>
      <c r="V11" s="72"/>
      <c r="W11" s="72"/>
      <c r="X11" s="72"/>
      <c r="Y11" s="72"/>
      <c r="Z11" s="72"/>
    </row>
    <row r="12">
      <c r="A12" s="25" t="s">
        <v>37</v>
      </c>
      <c r="B12" s="51">
        <f t="shared" si="1"/>
        <v>41</v>
      </c>
      <c r="C12" s="77">
        <f t="shared" si="2"/>
        <v>10</v>
      </c>
      <c r="D12" s="80">
        <v>6.0</v>
      </c>
      <c r="E12" s="79">
        <f t="shared" si="3"/>
        <v>6</v>
      </c>
      <c r="F12" s="26">
        <v>12.0</v>
      </c>
      <c r="G12" s="26">
        <v>3.0</v>
      </c>
      <c r="H12" s="27"/>
      <c r="I12" s="27"/>
      <c r="J12" s="27"/>
      <c r="K12" s="26">
        <v>10.0</v>
      </c>
      <c r="L12" s="27"/>
      <c r="M12" s="27"/>
      <c r="N12" s="26">
        <v>3.0</v>
      </c>
      <c r="O12" s="27"/>
      <c r="P12" s="26">
        <v>1.0</v>
      </c>
      <c r="Q12" s="27"/>
      <c r="R12" s="27"/>
      <c r="S12" s="27"/>
      <c r="T12" s="26">
        <v>6.0</v>
      </c>
      <c r="U12" s="27"/>
      <c r="V12" s="72"/>
      <c r="W12" s="72"/>
      <c r="X12" s="72"/>
      <c r="Y12" s="72"/>
      <c r="Z12" s="72"/>
    </row>
    <row r="13">
      <c r="A13" s="25" t="s">
        <v>29</v>
      </c>
      <c r="B13" s="51">
        <f t="shared" si="1"/>
        <v>28</v>
      </c>
      <c r="C13" s="77">
        <f t="shared" si="2"/>
        <v>18</v>
      </c>
      <c r="D13" s="78"/>
      <c r="E13" s="79">
        <f t="shared" si="3"/>
        <v>5</v>
      </c>
      <c r="F13" s="26">
        <v>6.0</v>
      </c>
      <c r="G13" s="26">
        <v>5.0</v>
      </c>
      <c r="H13" s="26">
        <v>5.0</v>
      </c>
      <c r="I13" s="27"/>
      <c r="J13" s="27"/>
      <c r="K13" s="26">
        <v>7.0</v>
      </c>
      <c r="L13" s="27"/>
      <c r="M13" s="27"/>
      <c r="N13" s="27"/>
      <c r="O13" s="27"/>
      <c r="P13" s="27"/>
      <c r="Q13" s="27"/>
      <c r="R13" s="27"/>
      <c r="S13" s="27"/>
      <c r="T13" s="26">
        <v>5.0</v>
      </c>
      <c r="U13" s="27"/>
      <c r="V13" s="72"/>
      <c r="W13" s="72"/>
      <c r="X13" s="72"/>
      <c r="Y13" s="72"/>
      <c r="Z13" s="72"/>
    </row>
    <row r="14">
      <c r="A14" s="25" t="s">
        <v>141</v>
      </c>
      <c r="B14" s="51">
        <f t="shared" si="1"/>
        <v>15</v>
      </c>
      <c r="C14" s="77">
        <f t="shared" si="2"/>
        <v>25</v>
      </c>
      <c r="D14" s="78"/>
      <c r="E14" s="79">
        <f t="shared" si="3"/>
        <v>4</v>
      </c>
      <c r="F14" s="27"/>
      <c r="G14" s="27"/>
      <c r="H14" s="26">
        <v>3.0</v>
      </c>
      <c r="I14" s="26">
        <v>3.0</v>
      </c>
      <c r="J14" s="27"/>
      <c r="K14" s="27"/>
      <c r="L14" s="27"/>
      <c r="M14" s="27"/>
      <c r="N14" s="27"/>
      <c r="O14" s="26">
        <v>7.0</v>
      </c>
      <c r="P14" s="27"/>
      <c r="Q14" s="27"/>
      <c r="R14" s="26">
        <v>2.0</v>
      </c>
      <c r="S14" s="27"/>
      <c r="T14" s="27"/>
      <c r="U14" s="27"/>
      <c r="V14" s="72"/>
      <c r="W14" s="72"/>
      <c r="X14" s="72"/>
      <c r="Y14" s="72"/>
      <c r="Z14" s="72"/>
    </row>
    <row r="15">
      <c r="A15" s="25" t="s">
        <v>117</v>
      </c>
      <c r="B15" s="51">
        <f t="shared" si="1"/>
        <v>22</v>
      </c>
      <c r="C15" s="77">
        <f t="shared" si="2"/>
        <v>22</v>
      </c>
      <c r="D15" s="78"/>
      <c r="E15" s="79">
        <f t="shared" si="3"/>
        <v>4</v>
      </c>
      <c r="F15" s="27"/>
      <c r="G15" s="27"/>
      <c r="H15" s="27"/>
      <c r="I15" s="27"/>
      <c r="J15" s="26">
        <v>7.0</v>
      </c>
      <c r="K15" s="27"/>
      <c r="L15" s="26">
        <v>6.0</v>
      </c>
      <c r="M15" s="27"/>
      <c r="N15" s="27"/>
      <c r="O15" s="27"/>
      <c r="P15" s="27"/>
      <c r="Q15" s="27"/>
      <c r="R15" s="26">
        <v>3.0</v>
      </c>
      <c r="S15" s="26">
        <v>6.0</v>
      </c>
      <c r="T15" s="27"/>
      <c r="U15" s="27"/>
      <c r="V15" s="72"/>
      <c r="W15" s="72"/>
      <c r="X15" s="72"/>
      <c r="Y15" s="72"/>
      <c r="Z15" s="72"/>
    </row>
    <row r="16">
      <c r="A16" s="25" t="s">
        <v>57</v>
      </c>
      <c r="B16" s="51">
        <f t="shared" si="1"/>
        <v>24</v>
      </c>
      <c r="C16" s="77">
        <f t="shared" si="2"/>
        <v>20</v>
      </c>
      <c r="D16" s="78"/>
      <c r="E16" s="79">
        <f t="shared" si="3"/>
        <v>3</v>
      </c>
      <c r="F16" s="27"/>
      <c r="G16" s="26">
        <v>12.0</v>
      </c>
      <c r="H16" s="27"/>
      <c r="I16" s="27"/>
      <c r="J16" s="26">
        <v>8.0</v>
      </c>
      <c r="K16" s="27"/>
      <c r="L16" s="27"/>
      <c r="M16" s="27"/>
      <c r="N16" s="27"/>
      <c r="O16" s="27"/>
      <c r="P16" s="27"/>
      <c r="Q16" s="27"/>
      <c r="R16" s="27"/>
      <c r="S16" s="27"/>
      <c r="T16" s="26">
        <v>4.0</v>
      </c>
      <c r="U16" s="27"/>
      <c r="V16" s="72"/>
      <c r="W16" s="72"/>
      <c r="X16" s="72"/>
      <c r="Y16" s="72"/>
      <c r="Z16" s="72"/>
    </row>
    <row r="17">
      <c r="A17" s="25" t="s">
        <v>73</v>
      </c>
      <c r="B17" s="51">
        <f t="shared" si="1"/>
        <v>26</v>
      </c>
      <c r="C17" s="77">
        <f t="shared" si="2"/>
        <v>19</v>
      </c>
      <c r="D17" s="80">
        <v>6.0</v>
      </c>
      <c r="E17" s="79">
        <f t="shared" si="3"/>
        <v>5</v>
      </c>
      <c r="F17" s="26">
        <v>1.0</v>
      </c>
      <c r="G17" s="26"/>
      <c r="H17" s="27"/>
      <c r="I17" s="27"/>
      <c r="J17" s="26">
        <v>10.0</v>
      </c>
      <c r="K17" s="26">
        <v>3.0</v>
      </c>
      <c r="L17" s="27"/>
      <c r="M17" s="26">
        <v>4.0</v>
      </c>
      <c r="N17" s="27"/>
      <c r="O17" s="27"/>
      <c r="P17" s="27"/>
      <c r="Q17" s="27"/>
      <c r="R17" s="27"/>
      <c r="S17" s="26">
        <v>2.0</v>
      </c>
      <c r="T17" s="27"/>
      <c r="U17" s="27"/>
      <c r="V17" s="72"/>
      <c r="W17" s="72"/>
      <c r="X17" s="72"/>
      <c r="Y17" s="72"/>
      <c r="Z17" s="72"/>
    </row>
    <row r="18">
      <c r="A18" s="25" t="s">
        <v>61</v>
      </c>
      <c r="B18" s="51">
        <f t="shared" si="1"/>
        <v>69</v>
      </c>
      <c r="C18" s="77">
        <f t="shared" si="2"/>
        <v>2</v>
      </c>
      <c r="D18" s="80">
        <v>6.0</v>
      </c>
      <c r="E18" s="79">
        <f t="shared" si="3"/>
        <v>11</v>
      </c>
      <c r="F18" s="26">
        <v>2.0</v>
      </c>
      <c r="G18" s="26">
        <v>4.0</v>
      </c>
      <c r="H18" s="26">
        <v>7.0</v>
      </c>
      <c r="I18" s="27"/>
      <c r="J18" s="26">
        <v>6.0</v>
      </c>
      <c r="K18" s="27"/>
      <c r="L18" s="26">
        <v>1.0</v>
      </c>
      <c r="M18" s="26">
        <v>6.0</v>
      </c>
      <c r="N18" s="26">
        <v>8.0</v>
      </c>
      <c r="O18" s="26">
        <v>4.0</v>
      </c>
      <c r="P18" s="27"/>
      <c r="Q18" s="26">
        <v>3.0</v>
      </c>
      <c r="R18" s="26">
        <v>12.0</v>
      </c>
      <c r="S18" s="27"/>
      <c r="T18" s="26">
        <v>10.0</v>
      </c>
      <c r="U18" s="27"/>
      <c r="V18" s="72"/>
      <c r="W18" s="72"/>
      <c r="X18" s="72"/>
      <c r="Y18" s="72"/>
      <c r="Z18" s="72"/>
    </row>
    <row r="19">
      <c r="A19" s="25" t="s">
        <v>137</v>
      </c>
      <c r="B19" s="51">
        <f t="shared" si="1"/>
        <v>34</v>
      </c>
      <c r="C19" s="77">
        <f t="shared" si="2"/>
        <v>13</v>
      </c>
      <c r="D19" s="80">
        <v>6.0</v>
      </c>
      <c r="E19" s="79">
        <f t="shared" si="3"/>
        <v>5</v>
      </c>
      <c r="F19" s="27"/>
      <c r="G19" s="26">
        <v>6.0</v>
      </c>
      <c r="H19" s="27"/>
      <c r="I19" s="27"/>
      <c r="J19" s="27"/>
      <c r="K19" s="27"/>
      <c r="L19" s="26">
        <v>8.0</v>
      </c>
      <c r="M19" s="26">
        <v>8.0</v>
      </c>
      <c r="N19" s="27"/>
      <c r="O19" s="27"/>
      <c r="P19" s="27"/>
      <c r="Q19" s="27"/>
      <c r="R19" s="27"/>
      <c r="S19" s="26">
        <v>4.0</v>
      </c>
      <c r="T19" s="26">
        <v>2.0</v>
      </c>
      <c r="U19" s="27"/>
      <c r="V19" s="72"/>
      <c r="W19" s="72"/>
      <c r="X19" s="72"/>
      <c r="Y19" s="72"/>
      <c r="Z19" s="72"/>
    </row>
    <row r="20">
      <c r="A20" s="25" t="s">
        <v>93</v>
      </c>
      <c r="B20" s="51">
        <f t="shared" si="1"/>
        <v>72</v>
      </c>
      <c r="C20" s="77">
        <f t="shared" si="2"/>
        <v>1</v>
      </c>
      <c r="D20" s="80">
        <v>6.0</v>
      </c>
      <c r="E20" s="79">
        <f t="shared" si="3"/>
        <v>10</v>
      </c>
      <c r="F20" s="26">
        <v>8.0</v>
      </c>
      <c r="G20" s="27"/>
      <c r="H20" s="26">
        <v>12.0</v>
      </c>
      <c r="I20" s="26">
        <v>6.0</v>
      </c>
      <c r="J20" s="26">
        <v>3.0</v>
      </c>
      <c r="K20" s="27"/>
      <c r="L20" s="26">
        <v>7.0</v>
      </c>
      <c r="M20" s="26">
        <v>1.0</v>
      </c>
      <c r="N20" s="26">
        <v>5.0</v>
      </c>
      <c r="O20" s="26">
        <v>8.0</v>
      </c>
      <c r="P20" s="27"/>
      <c r="Q20" s="26">
        <v>6.0</v>
      </c>
      <c r="R20" s="26">
        <v>10.0</v>
      </c>
      <c r="S20" s="27"/>
      <c r="T20" s="27"/>
      <c r="U20" s="27"/>
      <c r="V20" s="72"/>
      <c r="W20" s="72"/>
      <c r="X20" s="72"/>
      <c r="Y20" s="72"/>
      <c r="Z20" s="72"/>
    </row>
    <row r="21">
      <c r="A21" s="25" t="s">
        <v>169</v>
      </c>
      <c r="B21" s="51">
        <f t="shared" si="1"/>
        <v>58</v>
      </c>
      <c r="C21" s="77">
        <f t="shared" si="2"/>
        <v>4</v>
      </c>
      <c r="D21" s="80">
        <v>6.0</v>
      </c>
      <c r="E21" s="79">
        <f t="shared" si="3"/>
        <v>9</v>
      </c>
      <c r="F21" s="26">
        <v>3.0</v>
      </c>
      <c r="G21" s="27"/>
      <c r="H21" s="27"/>
      <c r="I21" s="27"/>
      <c r="J21" s="26">
        <v>4.0</v>
      </c>
      <c r="K21" s="26">
        <v>4.0</v>
      </c>
      <c r="L21" s="26">
        <v>12.0</v>
      </c>
      <c r="M21" s="27"/>
      <c r="N21" s="27"/>
      <c r="O21" s="26">
        <v>3.0</v>
      </c>
      <c r="P21" s="26">
        <v>10.0</v>
      </c>
      <c r="Q21" s="26">
        <v>1.0</v>
      </c>
      <c r="R21" s="27"/>
      <c r="S21" s="26">
        <v>7.0</v>
      </c>
      <c r="T21" s="26">
        <v>8.0</v>
      </c>
      <c r="U21" s="27"/>
      <c r="V21" s="72"/>
      <c r="W21" s="72"/>
      <c r="X21" s="72"/>
      <c r="Y21" s="72"/>
      <c r="Z21" s="72"/>
    </row>
    <row r="22">
      <c r="A22" s="25" t="s">
        <v>17</v>
      </c>
      <c r="B22" s="51">
        <f t="shared" si="1"/>
        <v>50</v>
      </c>
      <c r="C22" s="77">
        <f t="shared" si="2"/>
        <v>6</v>
      </c>
      <c r="D22" s="80">
        <v>6.0</v>
      </c>
      <c r="E22" s="79">
        <f t="shared" si="3"/>
        <v>8</v>
      </c>
      <c r="F22" s="27"/>
      <c r="G22" s="26">
        <v>10.0</v>
      </c>
      <c r="H22" s="27"/>
      <c r="I22" s="27"/>
      <c r="J22" s="26">
        <v>2.0</v>
      </c>
      <c r="K22" s="26">
        <v>2.0</v>
      </c>
      <c r="L22" s="27"/>
      <c r="M22" s="26">
        <v>5.0</v>
      </c>
      <c r="N22" s="26">
        <v>2.0</v>
      </c>
      <c r="O22" s="27"/>
      <c r="P22" s="26">
        <v>8.0</v>
      </c>
      <c r="Q22" s="26">
        <v>8.0</v>
      </c>
      <c r="R22" s="27"/>
      <c r="S22" s="27"/>
      <c r="T22" s="26">
        <v>7.0</v>
      </c>
      <c r="U22" s="27"/>
      <c r="V22" s="72"/>
      <c r="W22" s="72"/>
      <c r="X22" s="72"/>
      <c r="Y22" s="72"/>
      <c r="Z22" s="72"/>
    </row>
    <row r="23">
      <c r="A23" s="25" t="s">
        <v>161</v>
      </c>
      <c r="B23" s="51">
        <f t="shared" si="1"/>
        <v>32</v>
      </c>
      <c r="C23" s="77">
        <f t="shared" si="2"/>
        <v>15</v>
      </c>
      <c r="D23" s="78"/>
      <c r="E23" s="79">
        <f t="shared" si="3"/>
        <v>5</v>
      </c>
      <c r="F23" s="27"/>
      <c r="G23" s="27"/>
      <c r="H23" s="26">
        <v>1.0</v>
      </c>
      <c r="I23" s="26">
        <v>2.0</v>
      </c>
      <c r="J23" s="27"/>
      <c r="K23" s="27"/>
      <c r="L23" s="27"/>
      <c r="M23" s="26">
        <v>7.0</v>
      </c>
      <c r="N23" s="26">
        <v>10.0</v>
      </c>
      <c r="O23" s="26">
        <v>12.0</v>
      </c>
      <c r="P23" s="27"/>
      <c r="Q23" s="27"/>
      <c r="R23" s="27"/>
      <c r="S23" s="27"/>
      <c r="T23" s="27"/>
      <c r="U23" s="27"/>
      <c r="V23" s="72"/>
      <c r="W23" s="72"/>
      <c r="X23" s="72"/>
      <c r="Y23" s="72"/>
      <c r="Z23" s="72"/>
    </row>
    <row r="24">
      <c r="A24" s="25" t="s">
        <v>247</v>
      </c>
      <c r="B24" s="51">
        <f t="shared" si="1"/>
        <v>65</v>
      </c>
      <c r="C24" s="77">
        <f t="shared" si="2"/>
        <v>3</v>
      </c>
      <c r="D24" s="80">
        <v>6.0</v>
      </c>
      <c r="E24" s="79">
        <f t="shared" si="3"/>
        <v>7</v>
      </c>
      <c r="F24" s="27"/>
      <c r="G24" s="27"/>
      <c r="H24" s="27"/>
      <c r="I24" s="27"/>
      <c r="J24" s="26">
        <v>1.0</v>
      </c>
      <c r="K24" s="26">
        <v>12.0</v>
      </c>
      <c r="L24" s="26">
        <v>10.0</v>
      </c>
      <c r="M24" s="27"/>
      <c r="N24" s="27"/>
      <c r="O24" s="27"/>
      <c r="P24" s="26">
        <v>5.0</v>
      </c>
      <c r="Q24" s="26">
        <v>7.0</v>
      </c>
      <c r="R24" s="27"/>
      <c r="S24" s="26">
        <v>12.0</v>
      </c>
      <c r="T24" s="26">
        <v>12.0</v>
      </c>
      <c r="U24" s="27"/>
      <c r="V24" s="72"/>
      <c r="W24" s="72"/>
      <c r="X24" s="72"/>
      <c r="Y24" s="72"/>
      <c r="Z24" s="72"/>
    </row>
    <row r="25">
      <c r="A25" s="25" t="s">
        <v>209</v>
      </c>
      <c r="B25" s="51">
        <f t="shared" si="1"/>
        <v>34</v>
      </c>
      <c r="C25" s="77">
        <f t="shared" si="2"/>
        <v>13</v>
      </c>
      <c r="D25" s="78"/>
      <c r="E25" s="79">
        <f t="shared" si="3"/>
        <v>6</v>
      </c>
      <c r="F25" s="27"/>
      <c r="G25" s="26">
        <v>8.0</v>
      </c>
      <c r="H25" s="27"/>
      <c r="I25" s="26">
        <v>8.0</v>
      </c>
      <c r="J25" s="27"/>
      <c r="K25" s="26">
        <v>8.0</v>
      </c>
      <c r="L25" s="27"/>
      <c r="M25" s="26">
        <v>2.0</v>
      </c>
      <c r="N25" s="26">
        <v>1.0</v>
      </c>
      <c r="O25" s="27"/>
      <c r="P25" s="26">
        <v>7.0</v>
      </c>
      <c r="Q25" s="27"/>
      <c r="R25" s="27"/>
      <c r="S25" s="27"/>
      <c r="T25" s="27"/>
      <c r="U25" s="27"/>
      <c r="V25" s="72"/>
      <c r="W25" s="72"/>
      <c r="X25" s="72"/>
      <c r="Y25" s="72"/>
      <c r="Z25" s="72"/>
    </row>
    <row r="26">
      <c r="A26" s="25" t="s">
        <v>77</v>
      </c>
      <c r="B26" s="51">
        <f t="shared" si="1"/>
        <v>42</v>
      </c>
      <c r="C26" s="77">
        <f t="shared" si="2"/>
        <v>9</v>
      </c>
      <c r="D26" s="80">
        <v>6.0</v>
      </c>
      <c r="E26" s="79">
        <f t="shared" si="3"/>
        <v>5</v>
      </c>
      <c r="F26" s="27"/>
      <c r="G26" s="27"/>
      <c r="H26" s="27"/>
      <c r="I26" s="26">
        <v>7.0</v>
      </c>
      <c r="J26" s="27"/>
      <c r="K26" s="27"/>
      <c r="L26" s="27"/>
      <c r="M26" s="26">
        <v>12.0</v>
      </c>
      <c r="N26" s="27"/>
      <c r="O26" s="26">
        <v>6.0</v>
      </c>
      <c r="P26" s="27"/>
      <c r="Q26" s="27"/>
      <c r="R26" s="26">
        <v>6.0</v>
      </c>
      <c r="S26" s="26">
        <v>5.0</v>
      </c>
      <c r="T26" s="27"/>
      <c r="U26" s="27"/>
      <c r="V26" s="72"/>
      <c r="W26" s="72"/>
      <c r="X26" s="72"/>
      <c r="Y26" s="72"/>
      <c r="Z26" s="72"/>
    </row>
    <row r="27">
      <c r="A27" s="25" t="s">
        <v>173</v>
      </c>
      <c r="B27" s="51">
        <f t="shared" si="1"/>
        <v>38</v>
      </c>
      <c r="C27" s="77">
        <f t="shared" si="2"/>
        <v>11</v>
      </c>
      <c r="D27" s="80">
        <v>6.0</v>
      </c>
      <c r="E27" s="79">
        <f t="shared" si="3"/>
        <v>5</v>
      </c>
      <c r="F27" s="27"/>
      <c r="G27" s="27"/>
      <c r="H27" s="27"/>
      <c r="I27" s="27"/>
      <c r="J27" s="27"/>
      <c r="K27" s="27"/>
      <c r="L27" s="26">
        <v>5.0</v>
      </c>
      <c r="M27" s="27"/>
      <c r="N27" s="27"/>
      <c r="O27" s="27"/>
      <c r="P27" s="26">
        <v>6.0</v>
      </c>
      <c r="Q27" s="26">
        <v>10.0</v>
      </c>
      <c r="R27" s="26">
        <v>1.0</v>
      </c>
      <c r="S27" s="26">
        <v>10.0</v>
      </c>
      <c r="T27" s="27"/>
      <c r="U27" s="27"/>
      <c r="V27" s="72"/>
      <c r="W27" s="72"/>
      <c r="X27" s="72"/>
      <c r="Y27" s="72"/>
      <c r="Z27" s="72"/>
    </row>
    <row r="28">
      <c r="A28" s="25" t="s">
        <v>21</v>
      </c>
      <c r="B28" s="51">
        <f t="shared" si="1"/>
        <v>47</v>
      </c>
      <c r="C28" s="77">
        <f t="shared" si="2"/>
        <v>7</v>
      </c>
      <c r="D28" s="78"/>
      <c r="E28" s="79">
        <f t="shared" si="3"/>
        <v>6</v>
      </c>
      <c r="F28" s="26">
        <v>7.0</v>
      </c>
      <c r="G28" s="27"/>
      <c r="H28" s="26">
        <v>6.0</v>
      </c>
      <c r="I28" s="26">
        <v>10.0</v>
      </c>
      <c r="J28" s="27"/>
      <c r="K28" s="27"/>
      <c r="L28" s="27"/>
      <c r="M28" s="27"/>
      <c r="N28" s="26">
        <v>7.0</v>
      </c>
      <c r="O28" s="26">
        <v>5.0</v>
      </c>
      <c r="P28" s="27"/>
      <c r="Q28" s="26">
        <v>12.0</v>
      </c>
      <c r="R28" s="27"/>
      <c r="S28" s="27"/>
      <c r="T28" s="27"/>
      <c r="U28" s="27"/>
      <c r="V28" s="72"/>
      <c r="W28" s="72"/>
      <c r="X28" s="72"/>
      <c r="Y28" s="72"/>
      <c r="Z28" s="72"/>
    </row>
    <row r="29">
      <c r="A29" s="81"/>
      <c r="Z29" s="72"/>
    </row>
    <row r="30">
      <c r="Z30" s="72"/>
    </row>
    <row r="31">
      <c r="A31" s="72"/>
      <c r="B31" s="72"/>
      <c r="C31" s="72"/>
      <c r="D31" s="72"/>
      <c r="E31" s="72"/>
      <c r="F31" s="82">
        <f t="shared" ref="F31:T31" si="4">SUM(F4:F28)</f>
        <v>58</v>
      </c>
      <c r="G31" s="82">
        <f t="shared" si="4"/>
        <v>58</v>
      </c>
      <c r="H31" s="82">
        <f t="shared" si="4"/>
        <v>58</v>
      </c>
      <c r="I31" s="82">
        <f t="shared" si="4"/>
        <v>58</v>
      </c>
      <c r="J31" s="82">
        <f t="shared" si="4"/>
        <v>58</v>
      </c>
      <c r="K31" s="82">
        <f t="shared" si="4"/>
        <v>58</v>
      </c>
      <c r="L31" s="82">
        <f t="shared" si="4"/>
        <v>58</v>
      </c>
      <c r="M31" s="82">
        <f t="shared" si="4"/>
        <v>58</v>
      </c>
      <c r="N31" s="82">
        <f t="shared" si="4"/>
        <v>58</v>
      </c>
      <c r="O31" s="82">
        <f t="shared" si="4"/>
        <v>58</v>
      </c>
      <c r="P31" s="82">
        <f t="shared" si="4"/>
        <v>58</v>
      </c>
      <c r="Q31" s="82">
        <f t="shared" si="4"/>
        <v>58</v>
      </c>
      <c r="R31" s="82">
        <f t="shared" si="4"/>
        <v>58</v>
      </c>
      <c r="S31" s="82">
        <f t="shared" si="4"/>
        <v>58</v>
      </c>
      <c r="T31" s="82">
        <f t="shared" si="4"/>
        <v>58</v>
      </c>
      <c r="U31" s="72"/>
      <c r="V31" s="72"/>
      <c r="W31" s="72"/>
      <c r="X31" s="72"/>
      <c r="Y31" s="72"/>
      <c r="Z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">
    <mergeCell ref="A29:Y30"/>
  </mergeCells>
  <conditionalFormatting sqref="F4:V28">
    <cfRule type="cellIs" dxfId="6" priority="1" operator="equal">
      <formula>12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35.25"/>
    <col customWidth="1" min="4" max="4" width="21.0"/>
  </cols>
  <sheetData>
    <row r="4">
      <c r="B4" s="83" t="s">
        <v>262</v>
      </c>
    </row>
    <row r="5">
      <c r="B5" s="13">
        <v>1.0</v>
      </c>
      <c r="C5" s="84" t="s">
        <v>263</v>
      </c>
      <c r="D5" s="85" t="s">
        <v>264</v>
      </c>
    </row>
    <row r="6">
      <c r="B6" s="13">
        <v>2.0</v>
      </c>
      <c r="C6" s="84" t="s">
        <v>265</v>
      </c>
      <c r="D6" s="85" t="s">
        <v>266</v>
      </c>
    </row>
    <row r="7">
      <c r="B7" s="13">
        <v>3.0</v>
      </c>
      <c r="C7" s="84" t="s">
        <v>267</v>
      </c>
      <c r="D7" s="85" t="s">
        <v>268</v>
      </c>
    </row>
    <row r="8">
      <c r="B8" s="13">
        <v>4.0</v>
      </c>
      <c r="C8" s="14" t="s">
        <v>269</v>
      </c>
      <c r="D8" s="86" t="s">
        <v>269</v>
      </c>
    </row>
    <row r="9">
      <c r="B9" s="13">
        <v>5.0</v>
      </c>
      <c r="C9" s="14" t="s">
        <v>270</v>
      </c>
      <c r="D9" s="86" t="s">
        <v>270</v>
      </c>
    </row>
    <row r="10">
      <c r="B10" s="13">
        <v>6.0</v>
      </c>
      <c r="C10" s="84" t="s">
        <v>271</v>
      </c>
      <c r="D10" s="85" t="s">
        <v>272</v>
      </c>
    </row>
    <row r="11">
      <c r="B11" s="13">
        <v>7.0</v>
      </c>
      <c r="C11" s="84" t="s">
        <v>273</v>
      </c>
      <c r="D11" s="85" t="s">
        <v>274</v>
      </c>
    </row>
    <row r="12">
      <c r="B12" s="13">
        <v>8.0</v>
      </c>
      <c r="C12" s="84" t="s">
        <v>275</v>
      </c>
      <c r="D12" s="85" t="s">
        <v>276</v>
      </c>
    </row>
    <row r="13">
      <c r="B13" s="13">
        <v>9.0</v>
      </c>
      <c r="C13" s="84" t="s">
        <v>277</v>
      </c>
      <c r="D13" s="85" t="s">
        <v>278</v>
      </c>
      <c r="F13" s="87" t="s">
        <v>279</v>
      </c>
    </row>
    <row r="14">
      <c r="B14" s="13">
        <v>10.0</v>
      </c>
      <c r="C14" s="84" t="s">
        <v>280</v>
      </c>
      <c r="D14" s="85" t="s">
        <v>281</v>
      </c>
    </row>
    <row r="15">
      <c r="B15" s="13">
        <v>11.0</v>
      </c>
      <c r="C15" s="84" t="s">
        <v>282</v>
      </c>
      <c r="D15" s="85" t="s">
        <v>283</v>
      </c>
    </row>
    <row r="16">
      <c r="B16" s="13">
        <v>12.0</v>
      </c>
      <c r="C16" s="84" t="s">
        <v>284</v>
      </c>
      <c r="D16" s="85" t="s">
        <v>285</v>
      </c>
    </row>
    <row r="17">
      <c r="B17" s="13">
        <v>13.0</v>
      </c>
      <c r="C17" s="84" t="s">
        <v>286</v>
      </c>
      <c r="D17" s="85" t="s">
        <v>287</v>
      </c>
    </row>
    <row r="18">
      <c r="B18" s="13">
        <v>14.0</v>
      </c>
      <c r="C18" s="84" t="s">
        <v>288</v>
      </c>
      <c r="D18" s="85" t="s">
        <v>289</v>
      </c>
    </row>
    <row r="19">
      <c r="B19" s="13">
        <v>15.0</v>
      </c>
      <c r="C19" s="14" t="s">
        <v>290</v>
      </c>
      <c r="D19" s="86" t="s">
        <v>290</v>
      </c>
    </row>
    <row r="20">
      <c r="B20" s="13">
        <v>16.0</v>
      </c>
      <c r="C20" s="84" t="s">
        <v>291</v>
      </c>
      <c r="D20" s="85" t="s">
        <v>292</v>
      </c>
    </row>
    <row r="21">
      <c r="B21" s="13">
        <v>17.0</v>
      </c>
      <c r="C21" s="14" t="s">
        <v>293</v>
      </c>
      <c r="D21" s="86" t="s">
        <v>293</v>
      </c>
    </row>
    <row r="22">
      <c r="B22" s="13">
        <v>18.0</v>
      </c>
      <c r="C22" s="84" t="s">
        <v>294</v>
      </c>
      <c r="D22" s="85" t="s">
        <v>295</v>
      </c>
    </row>
    <row r="23">
      <c r="B23" s="13">
        <v>19.0</v>
      </c>
      <c r="C23" s="84" t="s">
        <v>296</v>
      </c>
      <c r="D23" s="85" t="s">
        <v>297</v>
      </c>
    </row>
    <row r="24">
      <c r="B24" s="13">
        <v>20.0</v>
      </c>
      <c r="C24" s="84" t="s">
        <v>298</v>
      </c>
      <c r="D24" s="85" t="s">
        <v>299</v>
      </c>
    </row>
    <row r="25">
      <c r="B25" s="13">
        <v>21.0</v>
      </c>
      <c r="C25" s="84" t="s">
        <v>300</v>
      </c>
      <c r="D25" s="85" t="s">
        <v>301</v>
      </c>
    </row>
    <row r="26">
      <c r="B26" s="13">
        <v>22.0</v>
      </c>
      <c r="C26" s="14" t="s">
        <v>302</v>
      </c>
      <c r="D26" s="86" t="s">
        <v>302</v>
      </c>
    </row>
    <row r="27">
      <c r="B27" s="13">
        <v>23.0</v>
      </c>
      <c r="C27" s="84" t="s">
        <v>303</v>
      </c>
      <c r="D27" s="85" t="s">
        <v>304</v>
      </c>
    </row>
    <row r="28">
      <c r="B28" s="13">
        <v>24.0</v>
      </c>
      <c r="C28" s="84" t="s">
        <v>305</v>
      </c>
      <c r="D28" s="85" t="s">
        <v>306</v>
      </c>
    </row>
    <row r="29">
      <c r="B29" s="13">
        <v>25.0</v>
      </c>
      <c r="C29" s="84" t="s">
        <v>307</v>
      </c>
      <c r="D29" s="85" t="s">
        <v>308</v>
      </c>
    </row>
    <row r="30">
      <c r="B30" s="13">
        <v>26.0</v>
      </c>
      <c r="C30" s="84" t="s">
        <v>309</v>
      </c>
      <c r="D30" s="85" t="s">
        <v>310</v>
      </c>
    </row>
    <row r="31">
      <c r="B31" s="13">
        <v>27.0</v>
      </c>
      <c r="C31" s="84" t="s">
        <v>311</v>
      </c>
      <c r="D31" s="85" t="s">
        <v>312</v>
      </c>
    </row>
    <row r="32">
      <c r="B32" s="13">
        <v>28.0</v>
      </c>
      <c r="C32" s="14" t="s">
        <v>313</v>
      </c>
      <c r="D32" s="86" t="s">
        <v>313</v>
      </c>
    </row>
  </sheetData>
  <mergeCells count="1">
    <mergeCell ref="B4:D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7.75"/>
    <col customWidth="1" min="2" max="2" width="5.5"/>
    <col customWidth="1" min="3" max="3" width="4.75"/>
    <col customWidth="1" min="4" max="4" width="4.63"/>
    <col customWidth="1" min="5" max="62" width="3.75"/>
  </cols>
  <sheetData>
    <row r="1">
      <c r="A1" s="88"/>
      <c r="E1" s="89"/>
      <c r="AG1" s="90"/>
    </row>
    <row r="4" ht="152.25" customHeight="1">
      <c r="A4" s="20" t="s">
        <v>262</v>
      </c>
      <c r="B4" s="91" t="s">
        <v>258</v>
      </c>
      <c r="C4" s="92" t="s">
        <v>254</v>
      </c>
      <c r="D4" s="93" t="s">
        <v>314</v>
      </c>
      <c r="E4" s="62" t="s">
        <v>93</v>
      </c>
      <c r="F4" s="62" t="s">
        <v>201</v>
      </c>
      <c r="G4" s="62" t="s">
        <v>73</v>
      </c>
      <c r="H4" s="62" t="s">
        <v>233</v>
      </c>
      <c r="I4" s="62" t="s">
        <v>25</v>
      </c>
      <c r="J4" s="62" t="s">
        <v>129</v>
      </c>
      <c r="K4" s="62" t="s">
        <v>45</v>
      </c>
      <c r="L4" s="62" t="s">
        <v>169</v>
      </c>
      <c r="M4" s="62" t="s">
        <v>113</v>
      </c>
      <c r="N4" s="62" t="s">
        <v>81</v>
      </c>
      <c r="O4" s="62" t="s">
        <v>137</v>
      </c>
      <c r="P4" s="62" t="s">
        <v>246</v>
      </c>
      <c r="Q4" s="62" t="s">
        <v>177</v>
      </c>
      <c r="R4" s="62" t="s">
        <v>21</v>
      </c>
      <c r="S4" s="62" t="s">
        <v>97</v>
      </c>
      <c r="T4" s="62" t="s">
        <v>229</v>
      </c>
      <c r="U4" s="62" t="s">
        <v>225</v>
      </c>
      <c r="V4" s="62" t="s">
        <v>17</v>
      </c>
      <c r="W4" s="62" t="s">
        <v>209</v>
      </c>
      <c r="X4" s="62" t="s">
        <v>33</v>
      </c>
      <c r="Y4" s="62" t="s">
        <v>315</v>
      </c>
      <c r="Z4" s="62" t="s">
        <v>217</v>
      </c>
      <c r="AA4" s="62" t="s">
        <v>181</v>
      </c>
      <c r="AB4" s="62" t="s">
        <v>189</v>
      </c>
      <c r="AC4" s="62" t="s">
        <v>61</v>
      </c>
      <c r="AD4" s="62" t="s">
        <v>149</v>
      </c>
      <c r="AE4" s="62" t="s">
        <v>101</v>
      </c>
      <c r="AF4" s="62" t="s">
        <v>5</v>
      </c>
      <c r="AG4" s="62" t="s">
        <v>173</v>
      </c>
      <c r="AH4" s="62" t="s">
        <v>133</v>
      </c>
      <c r="AI4" s="62" t="s">
        <v>41</v>
      </c>
      <c r="AJ4" s="62" t="s">
        <v>53</v>
      </c>
      <c r="AK4" s="62" t="s">
        <v>145</v>
      </c>
      <c r="AL4" s="62" t="s">
        <v>37</v>
      </c>
      <c r="AM4" s="62" t="s">
        <v>77</v>
      </c>
      <c r="AN4" s="62" t="s">
        <v>29</v>
      </c>
      <c r="AO4" s="62" t="s">
        <v>57</v>
      </c>
      <c r="AP4" s="62" t="s">
        <v>109</v>
      </c>
      <c r="AQ4" s="62" t="s">
        <v>49</v>
      </c>
      <c r="AR4" s="62" t="s">
        <v>125</v>
      </c>
      <c r="AS4" s="62" t="s">
        <v>121</v>
      </c>
      <c r="AT4" s="62" t="s">
        <v>9</v>
      </c>
      <c r="AU4" s="62" t="s">
        <v>157</v>
      </c>
      <c r="AV4" s="62" t="s">
        <v>69</v>
      </c>
      <c r="AW4" s="62" t="s">
        <v>185</v>
      </c>
      <c r="AX4" s="62" t="s">
        <v>213</v>
      </c>
      <c r="AY4" s="62" t="s">
        <v>316</v>
      </c>
      <c r="AZ4" s="62" t="s">
        <v>89</v>
      </c>
      <c r="BA4" s="62" t="s">
        <v>165</v>
      </c>
      <c r="BB4" s="62" t="s">
        <v>161</v>
      </c>
      <c r="BC4" s="62" t="s">
        <v>117</v>
      </c>
      <c r="BD4" s="62" t="s">
        <v>105</v>
      </c>
      <c r="BE4" s="62" t="s">
        <v>221</v>
      </c>
      <c r="BF4" s="62" t="s">
        <v>153</v>
      </c>
      <c r="BG4" s="62" t="s">
        <v>237</v>
      </c>
      <c r="BH4" s="62" t="s">
        <v>85</v>
      </c>
      <c r="BI4" s="62" t="s">
        <v>197</v>
      </c>
      <c r="BJ4" s="62" t="s">
        <v>141</v>
      </c>
    </row>
    <row r="5">
      <c r="A5" s="94" t="s">
        <v>263</v>
      </c>
      <c r="B5" s="95">
        <f t="shared" ref="B5:B32" si="1">SUM(E5:BU5)</f>
        <v>156</v>
      </c>
      <c r="C5" s="96">
        <f t="shared" ref="C5:C32" si="2">_xlfn.RANK.EQ(B5, B$5:B$32, 0)</f>
        <v>2</v>
      </c>
      <c r="D5" s="97">
        <f t="shared" ref="D5:D32" si="3">COUNT(E5:CJ5)</f>
        <v>22</v>
      </c>
      <c r="E5" s="26" t="s">
        <v>256</v>
      </c>
      <c r="F5" s="98"/>
      <c r="G5" s="26">
        <v>7.0</v>
      </c>
      <c r="H5" s="26">
        <v>10.0</v>
      </c>
      <c r="I5" s="27"/>
      <c r="J5" s="26">
        <v>12.0</v>
      </c>
      <c r="K5" s="26">
        <v>5.0</v>
      </c>
      <c r="L5" s="27"/>
      <c r="M5" s="27"/>
      <c r="N5" s="27"/>
      <c r="O5" s="27"/>
      <c r="P5" s="26">
        <v>10.0</v>
      </c>
      <c r="Q5" s="26">
        <v>10.0</v>
      </c>
      <c r="R5" s="27"/>
      <c r="S5" s="27"/>
      <c r="T5" s="27"/>
      <c r="U5" s="27"/>
      <c r="V5" s="27"/>
      <c r="W5" s="27"/>
      <c r="X5" s="26">
        <v>6.0</v>
      </c>
      <c r="Y5" s="27"/>
      <c r="Z5" s="27"/>
      <c r="AA5" s="27"/>
      <c r="AB5" s="27"/>
      <c r="AC5" s="26">
        <v>1.0</v>
      </c>
      <c r="AD5" s="27"/>
      <c r="AE5" s="27"/>
      <c r="AF5" s="26"/>
      <c r="AG5" s="26"/>
      <c r="AH5" s="26">
        <v>5.0</v>
      </c>
      <c r="AI5" s="26">
        <v>8.0</v>
      </c>
      <c r="AJ5" s="26">
        <v>10.0</v>
      </c>
      <c r="AK5" s="26">
        <v>4.0</v>
      </c>
      <c r="AL5" s="26"/>
      <c r="AM5" s="26"/>
      <c r="AN5" s="26"/>
      <c r="AO5" s="26"/>
      <c r="AP5" s="26">
        <v>5.0</v>
      </c>
      <c r="AQ5" s="26">
        <v>12.0</v>
      </c>
      <c r="AR5" s="26"/>
      <c r="AS5" s="26">
        <v>12.0</v>
      </c>
      <c r="AT5" s="26"/>
      <c r="AU5" s="26">
        <v>3.0</v>
      </c>
      <c r="AV5" s="26"/>
      <c r="AW5" s="26"/>
      <c r="AX5" s="26"/>
      <c r="AY5" s="27"/>
      <c r="AZ5" s="26">
        <v>8.0</v>
      </c>
      <c r="BA5" s="26">
        <v>12.0</v>
      </c>
      <c r="BB5" s="26">
        <v>6.0</v>
      </c>
      <c r="BC5" s="26"/>
      <c r="BD5" s="26">
        <v>4.0</v>
      </c>
      <c r="BE5" s="26">
        <v>3.0</v>
      </c>
      <c r="BF5" s="26">
        <v>3.0</v>
      </c>
      <c r="BG5" s="26"/>
      <c r="BH5" s="26"/>
      <c r="BI5" s="26"/>
      <c r="BJ5" s="26"/>
    </row>
    <row r="6">
      <c r="A6" s="94" t="s">
        <v>265</v>
      </c>
      <c r="B6" s="95">
        <f t="shared" si="1"/>
        <v>146</v>
      </c>
      <c r="C6" s="96">
        <f t="shared" si="2"/>
        <v>7</v>
      </c>
      <c r="D6" s="97">
        <f t="shared" si="3"/>
        <v>25</v>
      </c>
      <c r="E6" s="26">
        <v>10.0</v>
      </c>
      <c r="F6" s="26" t="s">
        <v>256</v>
      </c>
      <c r="G6" s="26"/>
      <c r="H6" s="26"/>
      <c r="I6" s="27"/>
      <c r="J6" s="26">
        <v>3.0</v>
      </c>
      <c r="K6" s="26">
        <v>1.0</v>
      </c>
      <c r="L6" s="27"/>
      <c r="M6" s="26">
        <v>6.0</v>
      </c>
      <c r="N6" s="26">
        <v>5.0</v>
      </c>
      <c r="O6" s="27"/>
      <c r="P6" s="27"/>
      <c r="Q6" s="27"/>
      <c r="R6" s="26">
        <v>12.0</v>
      </c>
      <c r="S6" s="27"/>
      <c r="T6" s="26">
        <v>5.0</v>
      </c>
      <c r="U6" s="26">
        <v>1.0</v>
      </c>
      <c r="V6" s="27"/>
      <c r="W6" s="26">
        <v>8.0</v>
      </c>
      <c r="X6" s="26">
        <v>10.0</v>
      </c>
      <c r="Y6" s="26">
        <v>8.0</v>
      </c>
      <c r="Z6" s="26">
        <v>12.0</v>
      </c>
      <c r="AA6" s="26">
        <v>5.0</v>
      </c>
      <c r="AB6" s="26">
        <v>7.0</v>
      </c>
      <c r="AC6" s="27"/>
      <c r="AD6" s="27"/>
      <c r="AE6" s="27"/>
      <c r="AF6" s="26"/>
      <c r="AG6" s="26"/>
      <c r="AH6" s="26"/>
      <c r="AI6" s="26"/>
      <c r="AJ6" s="26"/>
      <c r="AK6" s="26"/>
      <c r="AL6" s="26">
        <v>1.0</v>
      </c>
      <c r="AM6" s="26"/>
      <c r="AN6" s="26"/>
      <c r="AO6" s="26">
        <v>7.0</v>
      </c>
      <c r="AP6" s="26">
        <v>1.0</v>
      </c>
      <c r="AQ6" s="26"/>
      <c r="AR6" s="26"/>
      <c r="AS6" s="26"/>
      <c r="AT6" s="26"/>
      <c r="AU6" s="26"/>
      <c r="AV6" s="26">
        <v>7.0</v>
      </c>
      <c r="AW6" s="26"/>
      <c r="AX6" s="26">
        <v>8.0</v>
      </c>
      <c r="AY6" s="26">
        <v>4.0</v>
      </c>
      <c r="AZ6" s="26">
        <v>10.0</v>
      </c>
      <c r="BA6" s="26"/>
      <c r="BB6" s="26"/>
      <c r="BC6" s="26"/>
      <c r="BD6" s="26"/>
      <c r="BE6" s="26">
        <v>8.0</v>
      </c>
      <c r="BF6" s="26">
        <v>1.0</v>
      </c>
      <c r="BG6" s="26"/>
      <c r="BH6" s="26">
        <v>3.0</v>
      </c>
      <c r="BI6" s="26"/>
      <c r="BJ6" s="26">
        <v>3.0</v>
      </c>
    </row>
    <row r="7">
      <c r="A7" s="94" t="s">
        <v>267</v>
      </c>
      <c r="B7" s="95">
        <f t="shared" si="1"/>
        <v>127</v>
      </c>
      <c r="C7" s="96">
        <f t="shared" si="2"/>
        <v>14</v>
      </c>
      <c r="D7" s="97">
        <f t="shared" si="3"/>
        <v>23</v>
      </c>
      <c r="E7" s="26">
        <v>1.0</v>
      </c>
      <c r="F7" s="26"/>
      <c r="G7" s="26" t="s">
        <v>256</v>
      </c>
      <c r="H7" s="27"/>
      <c r="I7" s="26">
        <v>5.0</v>
      </c>
      <c r="J7" s="27"/>
      <c r="K7" s="27"/>
      <c r="L7" s="27"/>
      <c r="M7" s="27"/>
      <c r="N7" s="27"/>
      <c r="O7" s="26">
        <v>5.0</v>
      </c>
      <c r="P7" s="27"/>
      <c r="Q7" s="27"/>
      <c r="R7" s="27"/>
      <c r="S7" s="26">
        <v>3.0</v>
      </c>
      <c r="T7" s="26">
        <v>6.0</v>
      </c>
      <c r="U7" s="27"/>
      <c r="V7" s="26">
        <v>2.0</v>
      </c>
      <c r="W7" s="26">
        <v>12.0</v>
      </c>
      <c r="X7" s="27"/>
      <c r="Y7" s="27"/>
      <c r="Z7" s="27"/>
      <c r="AA7" s="26">
        <v>1.0</v>
      </c>
      <c r="AB7" s="26">
        <v>1.0</v>
      </c>
      <c r="AC7" s="27"/>
      <c r="AD7" s="26">
        <v>10.0</v>
      </c>
      <c r="AE7" s="27"/>
      <c r="AF7" s="26"/>
      <c r="AG7" s="26">
        <v>12.0</v>
      </c>
      <c r="AH7" s="26"/>
      <c r="AI7" s="26"/>
      <c r="AJ7" s="26"/>
      <c r="AK7" s="26"/>
      <c r="AL7" s="26"/>
      <c r="AM7" s="26"/>
      <c r="AN7" s="26">
        <v>12.0</v>
      </c>
      <c r="AO7" s="26"/>
      <c r="AP7" s="26">
        <v>4.0</v>
      </c>
      <c r="AQ7" s="26">
        <v>2.0</v>
      </c>
      <c r="AR7" s="26"/>
      <c r="AS7" s="26">
        <v>3.0</v>
      </c>
      <c r="AT7" s="26">
        <v>6.0</v>
      </c>
      <c r="AU7" s="26"/>
      <c r="AV7" s="26">
        <v>8.0</v>
      </c>
      <c r="AW7" s="26">
        <v>10.0</v>
      </c>
      <c r="AX7" s="26"/>
      <c r="AY7" s="26">
        <v>7.0</v>
      </c>
      <c r="AZ7" s="26">
        <v>7.0</v>
      </c>
      <c r="BA7" s="26"/>
      <c r="BB7" s="26"/>
      <c r="BC7" s="26"/>
      <c r="BD7" s="26"/>
      <c r="BE7" s="26">
        <v>1.0</v>
      </c>
      <c r="BF7" s="26"/>
      <c r="BG7" s="26">
        <v>3.0</v>
      </c>
      <c r="BH7" s="26"/>
      <c r="BI7" s="26"/>
      <c r="BJ7" s="26">
        <v>6.0</v>
      </c>
    </row>
    <row r="8">
      <c r="A8" s="94" t="s">
        <v>269</v>
      </c>
      <c r="B8" s="95">
        <f t="shared" si="1"/>
        <v>114</v>
      </c>
      <c r="C8" s="96">
        <f t="shared" si="2"/>
        <v>18</v>
      </c>
      <c r="D8" s="97">
        <f t="shared" si="3"/>
        <v>20</v>
      </c>
      <c r="E8" s="26"/>
      <c r="F8" s="27"/>
      <c r="G8" s="26">
        <v>5.0</v>
      </c>
      <c r="H8" s="26" t="s">
        <v>256</v>
      </c>
      <c r="I8" s="27"/>
      <c r="J8" s="26">
        <v>6.0</v>
      </c>
      <c r="K8" s="26">
        <v>2.0</v>
      </c>
      <c r="L8" s="27"/>
      <c r="M8" s="27"/>
      <c r="N8" s="27"/>
      <c r="O8" s="27"/>
      <c r="P8" s="26">
        <v>8.0</v>
      </c>
      <c r="Q8" s="26">
        <v>2.0</v>
      </c>
      <c r="R8" s="27"/>
      <c r="S8" s="26">
        <v>5.0</v>
      </c>
      <c r="T8" s="27"/>
      <c r="U8" s="27"/>
      <c r="V8" s="27"/>
      <c r="W8" s="27"/>
      <c r="X8" s="26">
        <v>5.0</v>
      </c>
      <c r="Y8" s="27"/>
      <c r="Z8" s="27"/>
      <c r="AA8" s="27"/>
      <c r="AB8" s="27"/>
      <c r="AC8" s="26">
        <v>12.0</v>
      </c>
      <c r="AD8" s="26">
        <v>5.0</v>
      </c>
      <c r="AE8" s="26">
        <v>5.0</v>
      </c>
      <c r="AF8" s="26">
        <v>2.0</v>
      </c>
      <c r="AG8" s="26"/>
      <c r="AH8" s="26"/>
      <c r="AI8" s="26">
        <v>2.0</v>
      </c>
      <c r="AJ8" s="26">
        <v>8.0</v>
      </c>
      <c r="AK8" s="26">
        <v>7.0</v>
      </c>
      <c r="AL8" s="26"/>
      <c r="AM8" s="26"/>
      <c r="AN8" s="26"/>
      <c r="AO8" s="26"/>
      <c r="AP8" s="26"/>
      <c r="AQ8" s="26">
        <v>8.0</v>
      </c>
      <c r="AR8" s="26"/>
      <c r="AS8" s="26"/>
      <c r="AT8" s="26"/>
      <c r="AU8" s="26">
        <v>8.0</v>
      </c>
      <c r="AV8" s="26">
        <v>5.0</v>
      </c>
      <c r="AW8" s="26"/>
      <c r="AX8" s="26"/>
      <c r="AY8" s="27"/>
      <c r="AZ8" s="26"/>
      <c r="BA8" s="26">
        <v>3.0</v>
      </c>
      <c r="BB8" s="26">
        <v>10.0</v>
      </c>
      <c r="BC8" s="26">
        <v>6.0</v>
      </c>
      <c r="BD8" s="26"/>
      <c r="BE8" s="26"/>
      <c r="BF8" s="26"/>
      <c r="BG8" s="26"/>
      <c r="BH8" s="26"/>
      <c r="BI8" s="26"/>
      <c r="BJ8" s="26"/>
    </row>
    <row r="9">
      <c r="A9" s="94" t="s">
        <v>270</v>
      </c>
      <c r="B9" s="95">
        <f t="shared" si="1"/>
        <v>135</v>
      </c>
      <c r="C9" s="96">
        <f t="shared" si="2"/>
        <v>10</v>
      </c>
      <c r="D9" s="97">
        <f t="shared" si="3"/>
        <v>18</v>
      </c>
      <c r="E9" s="26"/>
      <c r="F9" s="26">
        <v>4.0</v>
      </c>
      <c r="G9" s="26">
        <v>4.0</v>
      </c>
      <c r="H9" s="27"/>
      <c r="I9" s="26" t="s">
        <v>256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6">
        <v>4.0</v>
      </c>
      <c r="V9" s="26">
        <v>12.0</v>
      </c>
      <c r="W9" s="26">
        <v>1.0</v>
      </c>
      <c r="X9" s="27"/>
      <c r="Y9" s="26">
        <v>6.0</v>
      </c>
      <c r="Z9" s="27"/>
      <c r="AA9" s="27"/>
      <c r="AB9" s="27"/>
      <c r="AC9" s="27"/>
      <c r="AD9" s="27"/>
      <c r="AE9" s="26">
        <v>12.0</v>
      </c>
      <c r="AF9" s="26">
        <v>7.0</v>
      </c>
      <c r="AG9" s="27"/>
      <c r="AH9" s="27"/>
      <c r="AI9" s="26">
        <v>5.0</v>
      </c>
      <c r="AJ9" s="27"/>
      <c r="AK9" s="27"/>
      <c r="AL9" s="26">
        <v>8.0</v>
      </c>
      <c r="AM9" s="26">
        <v>5.0</v>
      </c>
      <c r="AN9" s="26">
        <v>4.0</v>
      </c>
      <c r="AO9" s="27"/>
      <c r="AP9" s="27"/>
      <c r="AQ9" s="27"/>
      <c r="AR9" s="26">
        <v>12.0</v>
      </c>
      <c r="AS9" s="27"/>
      <c r="AT9" s="27"/>
      <c r="AU9" s="27"/>
      <c r="AV9" s="26">
        <v>10.0</v>
      </c>
      <c r="AW9" s="26"/>
      <c r="AX9" s="26"/>
      <c r="AY9" s="26"/>
      <c r="AZ9" s="26">
        <v>12.0</v>
      </c>
      <c r="BA9" s="26">
        <v>10.0</v>
      </c>
      <c r="BB9" s="26"/>
      <c r="BC9" s="26">
        <v>7.0</v>
      </c>
      <c r="BD9" s="26"/>
      <c r="BE9" s="26"/>
      <c r="BF9" s="26"/>
      <c r="BG9" s="26"/>
      <c r="BH9" s="26"/>
      <c r="BI9" s="26"/>
      <c r="BJ9" s="26">
        <v>12.0</v>
      </c>
    </row>
    <row r="10">
      <c r="A10" s="94" t="s">
        <v>271</v>
      </c>
      <c r="B10" s="95">
        <f t="shared" si="1"/>
        <v>197</v>
      </c>
      <c r="C10" s="96">
        <f t="shared" si="2"/>
        <v>1</v>
      </c>
      <c r="D10" s="97">
        <f t="shared" si="3"/>
        <v>33</v>
      </c>
      <c r="E10" s="26">
        <v>6.0</v>
      </c>
      <c r="F10" s="26"/>
      <c r="G10" s="26"/>
      <c r="H10" s="26">
        <v>6.0</v>
      </c>
      <c r="I10" s="26"/>
      <c r="J10" s="26" t="s">
        <v>256</v>
      </c>
      <c r="K10" s="26">
        <v>7.0</v>
      </c>
      <c r="L10" s="27"/>
      <c r="M10" s="26">
        <v>4.0</v>
      </c>
      <c r="N10" s="26">
        <v>4.0</v>
      </c>
      <c r="O10" s="27"/>
      <c r="P10" s="26">
        <v>7.0</v>
      </c>
      <c r="Q10" s="27"/>
      <c r="R10" s="26">
        <v>10.0</v>
      </c>
      <c r="S10" s="26">
        <v>10.0</v>
      </c>
      <c r="T10" s="26">
        <v>8.0</v>
      </c>
      <c r="U10" s="27"/>
      <c r="V10" s="26">
        <v>6.0</v>
      </c>
      <c r="W10" s="26">
        <v>3.0</v>
      </c>
      <c r="X10" s="26">
        <v>12.0</v>
      </c>
      <c r="Y10" s="27"/>
      <c r="Z10" s="27"/>
      <c r="AA10" s="26">
        <v>6.0</v>
      </c>
      <c r="AB10" s="26">
        <v>4.0</v>
      </c>
      <c r="AC10" s="26">
        <v>5.0</v>
      </c>
      <c r="AD10" s="26">
        <v>3.0</v>
      </c>
      <c r="AE10" s="27"/>
      <c r="AF10" s="26">
        <v>8.0</v>
      </c>
      <c r="AG10" s="26">
        <v>5.0</v>
      </c>
      <c r="AH10" s="26">
        <v>3.0</v>
      </c>
      <c r="AI10" s="26">
        <v>6.0</v>
      </c>
      <c r="AJ10" s="26">
        <v>6.0</v>
      </c>
      <c r="AK10" s="26">
        <v>5.0</v>
      </c>
      <c r="AL10" s="26"/>
      <c r="AM10" s="26"/>
      <c r="AN10" s="26"/>
      <c r="AO10" s="26">
        <v>6.0</v>
      </c>
      <c r="AP10" s="26">
        <v>3.0</v>
      </c>
      <c r="AQ10" s="26"/>
      <c r="AR10" s="26"/>
      <c r="AS10" s="26"/>
      <c r="AT10" s="26">
        <v>8.0</v>
      </c>
      <c r="AU10" s="26"/>
      <c r="AV10" s="26"/>
      <c r="AW10" s="26">
        <v>1.0</v>
      </c>
      <c r="AX10" s="26"/>
      <c r="AY10" s="26"/>
      <c r="AZ10" s="26"/>
      <c r="BA10" s="26"/>
      <c r="BB10" s="26">
        <v>7.0</v>
      </c>
      <c r="BC10" s="26">
        <v>4.0</v>
      </c>
      <c r="BD10" s="26">
        <v>10.0</v>
      </c>
      <c r="BE10" s="26">
        <v>7.0</v>
      </c>
      <c r="BF10" s="26">
        <v>5.0</v>
      </c>
      <c r="BG10" s="26"/>
      <c r="BH10" s="26">
        <v>7.0</v>
      </c>
      <c r="BI10" s="26"/>
      <c r="BJ10" s="26">
        <v>5.0</v>
      </c>
    </row>
    <row r="11">
      <c r="A11" s="94" t="s">
        <v>273</v>
      </c>
      <c r="B11" s="95">
        <f t="shared" si="1"/>
        <v>92</v>
      </c>
      <c r="C11" s="96">
        <f t="shared" si="2"/>
        <v>23</v>
      </c>
      <c r="D11" s="97">
        <f t="shared" si="3"/>
        <v>17</v>
      </c>
      <c r="E11" s="27"/>
      <c r="F11" s="27"/>
      <c r="G11" s="26"/>
      <c r="H11" s="27"/>
      <c r="I11" s="26">
        <v>2.0</v>
      </c>
      <c r="J11" s="26">
        <v>4.0</v>
      </c>
      <c r="K11" s="26" t="s">
        <v>256</v>
      </c>
      <c r="L11" s="27"/>
      <c r="M11" s="27"/>
      <c r="N11" s="27"/>
      <c r="O11" s="27"/>
      <c r="P11" s="26">
        <v>5.0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6">
        <v>8.0</v>
      </c>
      <c r="AD11" s="26"/>
      <c r="AE11" s="26">
        <v>1.0</v>
      </c>
      <c r="AF11" s="26">
        <v>3.0</v>
      </c>
      <c r="AG11" s="27"/>
      <c r="AH11" s="26">
        <v>8.0</v>
      </c>
      <c r="AI11" s="26">
        <v>1.0</v>
      </c>
      <c r="AJ11" s="26">
        <v>7.0</v>
      </c>
      <c r="AK11" s="27"/>
      <c r="AL11" s="26">
        <v>5.0</v>
      </c>
      <c r="AM11" s="26">
        <v>6.0</v>
      </c>
      <c r="AN11" s="27"/>
      <c r="AO11" s="26">
        <v>1.0</v>
      </c>
      <c r="AP11" s="27"/>
      <c r="AQ11" s="26">
        <v>6.0</v>
      </c>
      <c r="AR11" s="27"/>
      <c r="AS11" s="26">
        <v>7.0</v>
      </c>
      <c r="AT11" s="26">
        <v>12.0</v>
      </c>
      <c r="AU11" s="26"/>
      <c r="AV11" s="26">
        <v>12.0</v>
      </c>
      <c r="AW11" s="26"/>
      <c r="AX11" s="26"/>
      <c r="AY11" s="26"/>
      <c r="AZ11" s="26"/>
      <c r="BA11" s="26">
        <v>4.0</v>
      </c>
      <c r="BB11" s="26"/>
      <c r="BC11" s="26"/>
      <c r="BD11" s="26"/>
      <c r="BE11" s="26"/>
      <c r="BF11" s="26"/>
      <c r="BG11" s="26"/>
      <c r="BH11" s="26"/>
      <c r="BI11" s="26"/>
      <c r="BJ11" s="26"/>
    </row>
    <row r="12">
      <c r="A12" s="94" t="s">
        <v>275</v>
      </c>
      <c r="B12" s="95">
        <f t="shared" si="1"/>
        <v>153</v>
      </c>
      <c r="C12" s="96">
        <f t="shared" si="2"/>
        <v>4</v>
      </c>
      <c r="D12" s="97">
        <f t="shared" si="3"/>
        <v>24</v>
      </c>
      <c r="E12" s="26">
        <v>7.0</v>
      </c>
      <c r="F12" s="26">
        <v>6.0</v>
      </c>
      <c r="G12" s="27"/>
      <c r="H12" s="26">
        <v>7.0</v>
      </c>
      <c r="I12" s="26"/>
      <c r="J12" s="26"/>
      <c r="K12" s="26"/>
      <c r="L12" s="26" t="s">
        <v>256</v>
      </c>
      <c r="M12" s="26">
        <v>10.0</v>
      </c>
      <c r="N12" s="26">
        <v>1.0</v>
      </c>
      <c r="O12" s="27"/>
      <c r="P12" s="26"/>
      <c r="Q12" s="27"/>
      <c r="R12" s="26">
        <v>4.0</v>
      </c>
      <c r="S12" s="26"/>
      <c r="T12" s="27"/>
      <c r="U12" s="26">
        <v>3.0</v>
      </c>
      <c r="V12" s="27"/>
      <c r="W12" s="27"/>
      <c r="X12" s="27"/>
      <c r="Y12" s="26">
        <v>12.0</v>
      </c>
      <c r="Z12" s="26">
        <v>4.0</v>
      </c>
      <c r="AA12" s="27"/>
      <c r="AB12" s="27"/>
      <c r="AC12" s="27"/>
      <c r="AD12" s="27"/>
      <c r="AE12" s="26">
        <v>6.0</v>
      </c>
      <c r="AF12" s="26">
        <v>12.0</v>
      </c>
      <c r="AG12" s="26">
        <v>8.0</v>
      </c>
      <c r="AH12" s="26">
        <v>12.0</v>
      </c>
      <c r="AI12" s="26"/>
      <c r="AJ12" s="26"/>
      <c r="AK12" s="26"/>
      <c r="AL12" s="26"/>
      <c r="AM12" s="26">
        <v>7.0</v>
      </c>
      <c r="AN12" s="26"/>
      <c r="AO12" s="26"/>
      <c r="AP12" s="26"/>
      <c r="AQ12" s="26">
        <v>3.0</v>
      </c>
      <c r="AR12" s="26">
        <v>1.0</v>
      </c>
      <c r="AS12" s="26">
        <v>1.0</v>
      </c>
      <c r="AT12" s="26">
        <v>4.0</v>
      </c>
      <c r="AU12" s="26">
        <v>12.0</v>
      </c>
      <c r="AV12" s="26"/>
      <c r="AW12" s="26"/>
      <c r="AX12" s="26"/>
      <c r="AY12" s="26">
        <v>12.0</v>
      </c>
      <c r="AZ12" s="26">
        <v>6.0</v>
      </c>
      <c r="BA12" s="26">
        <v>1.0</v>
      </c>
      <c r="BB12" s="26"/>
      <c r="BC12" s="26"/>
      <c r="BD12" s="26"/>
      <c r="BE12" s="26"/>
      <c r="BF12" s="26">
        <v>6.0</v>
      </c>
      <c r="BG12" s="26">
        <v>8.0</v>
      </c>
      <c r="BH12" s="26"/>
      <c r="BI12" s="26"/>
      <c r="BJ12" s="26"/>
    </row>
    <row r="13">
      <c r="A13" s="94" t="s">
        <v>277</v>
      </c>
      <c r="B13" s="95">
        <f t="shared" si="1"/>
        <v>96</v>
      </c>
      <c r="C13" s="96">
        <f t="shared" si="2"/>
        <v>22</v>
      </c>
      <c r="D13" s="97">
        <f t="shared" si="3"/>
        <v>20</v>
      </c>
      <c r="E13" s="27"/>
      <c r="F13" s="26"/>
      <c r="G13" s="27"/>
      <c r="H13" s="27"/>
      <c r="I13" s="26">
        <v>4.0</v>
      </c>
      <c r="J13" s="27"/>
      <c r="K13" s="27"/>
      <c r="L13" s="26">
        <v>4.0</v>
      </c>
      <c r="M13" s="26" t="s">
        <v>256</v>
      </c>
      <c r="N13" s="26"/>
      <c r="O13" s="26">
        <v>3.0</v>
      </c>
      <c r="P13" s="27"/>
      <c r="Q13" s="26">
        <v>3.0</v>
      </c>
      <c r="R13" s="27"/>
      <c r="S13" s="26">
        <v>7.0</v>
      </c>
      <c r="T13" s="26">
        <v>10.0</v>
      </c>
      <c r="U13" s="26">
        <v>5.0</v>
      </c>
      <c r="V13" s="26">
        <v>7.0</v>
      </c>
      <c r="W13" s="27"/>
      <c r="X13" s="27"/>
      <c r="Y13" s="27"/>
      <c r="Z13" s="27"/>
      <c r="AA13" s="26">
        <v>4.0</v>
      </c>
      <c r="AB13" s="27"/>
      <c r="AC13" s="27"/>
      <c r="AD13" s="26">
        <v>12.0</v>
      </c>
      <c r="AE13" s="26">
        <v>2.0</v>
      </c>
      <c r="AF13" s="27"/>
      <c r="AG13" s="26">
        <v>3.0</v>
      </c>
      <c r="AH13" s="26"/>
      <c r="AI13" s="26"/>
      <c r="AJ13" s="26"/>
      <c r="AK13" s="26">
        <v>2.0</v>
      </c>
      <c r="AL13" s="26"/>
      <c r="AM13" s="26"/>
      <c r="AN13" s="26">
        <v>5.0</v>
      </c>
      <c r="AO13" s="26"/>
      <c r="AP13" s="26">
        <v>10.0</v>
      </c>
      <c r="AQ13" s="26"/>
      <c r="AR13" s="26"/>
      <c r="AS13" s="26"/>
      <c r="AT13" s="26"/>
      <c r="AU13" s="26"/>
      <c r="AV13" s="26"/>
      <c r="AW13" s="26">
        <v>2.0</v>
      </c>
      <c r="AX13" s="26"/>
      <c r="AY13" s="26"/>
      <c r="AZ13" s="26"/>
      <c r="BA13" s="26">
        <v>6.0</v>
      </c>
      <c r="BB13" s="26">
        <v>4.0</v>
      </c>
      <c r="BC13" s="26">
        <v>1.0</v>
      </c>
      <c r="BD13" s="26"/>
      <c r="BE13" s="26">
        <v>2.0</v>
      </c>
      <c r="BF13" s="26"/>
      <c r="BG13" s="26"/>
      <c r="BH13" s="26"/>
      <c r="BI13" s="26"/>
      <c r="BJ13" s="26"/>
    </row>
    <row r="14">
      <c r="A14" s="94" t="s">
        <v>280</v>
      </c>
      <c r="B14" s="95">
        <f t="shared" si="1"/>
        <v>137</v>
      </c>
      <c r="C14" s="96">
        <f t="shared" si="2"/>
        <v>9</v>
      </c>
      <c r="D14" s="97">
        <f t="shared" si="3"/>
        <v>20</v>
      </c>
      <c r="E14" s="26">
        <v>8.0</v>
      </c>
      <c r="F14" s="26"/>
      <c r="G14" s="26">
        <v>6.0</v>
      </c>
      <c r="H14" s="27"/>
      <c r="I14" s="27"/>
      <c r="J14" s="27"/>
      <c r="K14" s="26"/>
      <c r="L14" s="27"/>
      <c r="M14" s="27"/>
      <c r="N14" s="26" t="s">
        <v>256</v>
      </c>
      <c r="O14" s="26">
        <v>7.0</v>
      </c>
      <c r="P14" s="26"/>
      <c r="Q14" s="27"/>
      <c r="R14" s="26">
        <v>1.0</v>
      </c>
      <c r="S14" s="27"/>
      <c r="T14" s="27"/>
      <c r="U14" s="27"/>
      <c r="V14" s="27"/>
      <c r="W14" s="26">
        <v>7.0</v>
      </c>
      <c r="X14" s="27"/>
      <c r="Y14" s="26">
        <v>2.0</v>
      </c>
      <c r="Z14" s="26">
        <v>3.0</v>
      </c>
      <c r="AA14" s="26">
        <v>10.0</v>
      </c>
      <c r="AB14" s="26">
        <v>10.0</v>
      </c>
      <c r="AC14" s="27"/>
      <c r="AD14" s="27"/>
      <c r="AE14" s="26">
        <v>4.0</v>
      </c>
      <c r="AF14" s="27"/>
      <c r="AG14" s="27"/>
      <c r="AH14" s="27"/>
      <c r="AI14" s="26">
        <v>10.0</v>
      </c>
      <c r="AJ14" s="27"/>
      <c r="AK14" s="27"/>
      <c r="AL14" s="26">
        <v>12.0</v>
      </c>
      <c r="AM14" s="26">
        <v>4.0</v>
      </c>
      <c r="AN14" s="26">
        <v>10.0</v>
      </c>
      <c r="AO14" s="26">
        <v>12.0</v>
      </c>
      <c r="AP14" s="27"/>
      <c r="AQ14" s="27"/>
      <c r="AR14" s="27"/>
      <c r="AS14" s="27"/>
      <c r="AT14" s="27"/>
      <c r="AU14" s="27"/>
      <c r="AV14" s="26">
        <v>1.0</v>
      </c>
      <c r="AW14" s="26"/>
      <c r="AX14" s="26">
        <v>6.0</v>
      </c>
      <c r="AY14" s="27"/>
      <c r="AZ14" s="26"/>
      <c r="BA14" s="26"/>
      <c r="BB14" s="26"/>
      <c r="BC14" s="26"/>
      <c r="BD14" s="26">
        <v>12.0</v>
      </c>
      <c r="BE14" s="26"/>
      <c r="BF14" s="26"/>
      <c r="BG14" s="26">
        <v>2.0</v>
      </c>
      <c r="BH14" s="26">
        <v>10.0</v>
      </c>
      <c r="BI14" s="26"/>
      <c r="BJ14" s="26"/>
    </row>
    <row r="15">
      <c r="A15" s="94" t="s">
        <v>282</v>
      </c>
      <c r="B15" s="95">
        <f t="shared" si="1"/>
        <v>133</v>
      </c>
      <c r="C15" s="96">
        <f t="shared" si="2"/>
        <v>11</v>
      </c>
      <c r="D15" s="97">
        <f t="shared" si="3"/>
        <v>24</v>
      </c>
      <c r="E15" s="27"/>
      <c r="F15" s="27"/>
      <c r="G15" s="26"/>
      <c r="H15" s="26">
        <v>1.0</v>
      </c>
      <c r="I15" s="27"/>
      <c r="J15" s="27"/>
      <c r="K15" s="27"/>
      <c r="L15" s="26">
        <v>2.0</v>
      </c>
      <c r="M15" s="27"/>
      <c r="N15" s="26">
        <v>7.0</v>
      </c>
      <c r="O15" s="26" t="s">
        <v>256</v>
      </c>
      <c r="P15" s="27"/>
      <c r="Q15" s="26"/>
      <c r="R15" s="26">
        <v>6.0</v>
      </c>
      <c r="S15" s="27"/>
      <c r="T15" s="27"/>
      <c r="U15" s="27"/>
      <c r="V15" s="26">
        <v>4.0</v>
      </c>
      <c r="W15" s="26">
        <v>4.0</v>
      </c>
      <c r="X15" s="27"/>
      <c r="Y15" s="27"/>
      <c r="Z15" s="26">
        <v>1.0</v>
      </c>
      <c r="AA15" s="26">
        <v>12.0</v>
      </c>
      <c r="AB15" s="26">
        <v>8.0</v>
      </c>
      <c r="AC15" s="27"/>
      <c r="AD15" s="26">
        <v>8.0</v>
      </c>
      <c r="AE15" s="27"/>
      <c r="AF15" s="27"/>
      <c r="AG15" s="27"/>
      <c r="AH15" s="26">
        <v>1.0</v>
      </c>
      <c r="AI15" s="27"/>
      <c r="AJ15" s="27"/>
      <c r="AK15" s="27"/>
      <c r="AL15" s="27"/>
      <c r="AM15" s="26">
        <v>8.0</v>
      </c>
      <c r="AN15" s="26">
        <v>7.0</v>
      </c>
      <c r="AO15" s="26">
        <v>4.0</v>
      </c>
      <c r="AP15" s="26">
        <v>8.0</v>
      </c>
      <c r="AQ15" s="27"/>
      <c r="AR15" s="27"/>
      <c r="AS15" s="27"/>
      <c r="AT15" s="27"/>
      <c r="AU15" s="26">
        <v>5.0</v>
      </c>
      <c r="AV15" s="26"/>
      <c r="AW15" s="26">
        <v>4.0</v>
      </c>
      <c r="AX15" s="26">
        <v>3.0</v>
      </c>
      <c r="AY15" s="27"/>
      <c r="AZ15" s="26"/>
      <c r="BA15" s="26"/>
      <c r="BB15" s="26">
        <v>12.0</v>
      </c>
      <c r="BC15" s="26">
        <v>12.0</v>
      </c>
      <c r="BD15" s="26">
        <v>1.0</v>
      </c>
      <c r="BE15" s="26"/>
      <c r="BF15" s="26">
        <v>8.0</v>
      </c>
      <c r="BG15" s="26">
        <v>6.0</v>
      </c>
      <c r="BH15" s="26">
        <v>1.0</v>
      </c>
      <c r="BI15" s="26"/>
      <c r="BJ15" s="26"/>
    </row>
    <row r="16">
      <c r="A16" s="94" t="s">
        <v>284</v>
      </c>
      <c r="B16" s="95">
        <f t="shared" si="1"/>
        <v>115</v>
      </c>
      <c r="C16" s="96">
        <f t="shared" si="2"/>
        <v>17</v>
      </c>
      <c r="D16" s="97">
        <f t="shared" si="3"/>
        <v>16</v>
      </c>
      <c r="E16" s="26"/>
      <c r="F16" s="26"/>
      <c r="G16" s="26"/>
      <c r="H16" s="26">
        <v>3.0</v>
      </c>
      <c r="I16" s="26">
        <v>6.0</v>
      </c>
      <c r="J16" s="26">
        <v>10.0</v>
      </c>
      <c r="K16" s="26">
        <v>12.0</v>
      </c>
      <c r="L16" s="26"/>
      <c r="M16" s="26">
        <v>12.0</v>
      </c>
      <c r="N16" s="27"/>
      <c r="O16" s="27"/>
      <c r="P16" s="26" t="s">
        <v>256</v>
      </c>
      <c r="Q16" s="26">
        <v>4.0</v>
      </c>
      <c r="R16" s="27"/>
      <c r="S16" s="26">
        <v>12.0</v>
      </c>
      <c r="T16" s="26">
        <v>3.0</v>
      </c>
      <c r="U16" s="27"/>
      <c r="V16" s="27"/>
      <c r="W16" s="27"/>
      <c r="X16" s="26">
        <v>8.0</v>
      </c>
      <c r="Y16" s="27"/>
      <c r="Z16" s="27"/>
      <c r="AA16" s="27"/>
      <c r="AB16" s="27"/>
      <c r="AC16" s="27"/>
      <c r="AD16" s="27"/>
      <c r="AE16" s="27"/>
      <c r="AF16" s="27"/>
      <c r="AG16" s="26">
        <v>7.0</v>
      </c>
      <c r="AH16" s="26"/>
      <c r="AI16" s="26"/>
      <c r="AJ16" s="26">
        <v>3.0</v>
      </c>
      <c r="AK16" s="26">
        <v>8.0</v>
      </c>
      <c r="AL16" s="26"/>
      <c r="AM16" s="26"/>
      <c r="AN16" s="26"/>
      <c r="AO16" s="26"/>
      <c r="AP16" s="26"/>
      <c r="AQ16" s="26"/>
      <c r="AR16" s="26"/>
      <c r="AS16" s="26"/>
      <c r="AT16" s="26">
        <v>10.0</v>
      </c>
      <c r="AU16" s="26"/>
      <c r="AV16" s="26">
        <v>2.0</v>
      </c>
      <c r="AW16" s="26"/>
      <c r="AX16" s="26"/>
      <c r="AY16" s="26"/>
      <c r="AZ16" s="26"/>
      <c r="BA16" s="26"/>
      <c r="BB16" s="26">
        <v>5.0</v>
      </c>
      <c r="BC16" s="26"/>
      <c r="BD16" s="26"/>
      <c r="BE16" s="26"/>
      <c r="BF16" s="26">
        <v>10.0</v>
      </c>
      <c r="BG16" s="26"/>
      <c r="BH16" s="26"/>
      <c r="BI16" s="26"/>
      <c r="BJ16" s="26"/>
    </row>
    <row r="17">
      <c r="A17" s="94" t="s">
        <v>286</v>
      </c>
      <c r="B17" s="95">
        <f t="shared" si="1"/>
        <v>125</v>
      </c>
      <c r="C17" s="96">
        <f t="shared" si="2"/>
        <v>15</v>
      </c>
      <c r="D17" s="97">
        <f t="shared" si="3"/>
        <v>25</v>
      </c>
      <c r="E17" s="26"/>
      <c r="F17" s="26">
        <v>8.0</v>
      </c>
      <c r="G17" s="27"/>
      <c r="H17" s="26">
        <v>4.0</v>
      </c>
      <c r="I17" s="26">
        <v>3.0</v>
      </c>
      <c r="J17" s="27"/>
      <c r="K17" s="26">
        <v>8.0</v>
      </c>
      <c r="L17" s="26">
        <v>3.0</v>
      </c>
      <c r="M17" s="26">
        <v>1.0</v>
      </c>
      <c r="N17" s="26"/>
      <c r="O17" s="26"/>
      <c r="P17" s="27"/>
      <c r="Q17" s="26" t="s">
        <v>256</v>
      </c>
      <c r="R17" s="26"/>
      <c r="S17" s="26">
        <v>6.0</v>
      </c>
      <c r="T17" s="26">
        <v>7.0</v>
      </c>
      <c r="U17" s="27"/>
      <c r="V17" s="27"/>
      <c r="W17" s="27"/>
      <c r="X17" s="26">
        <v>7.0</v>
      </c>
      <c r="Y17" s="26">
        <v>3.0</v>
      </c>
      <c r="Z17" s="27"/>
      <c r="AA17" s="27"/>
      <c r="AB17" s="27"/>
      <c r="AC17" s="26">
        <v>3.0</v>
      </c>
      <c r="AD17" s="27"/>
      <c r="AE17" s="27"/>
      <c r="AF17" s="27"/>
      <c r="AG17" s="26">
        <v>4.0</v>
      </c>
      <c r="AH17" s="26">
        <v>4.0</v>
      </c>
      <c r="AI17" s="26"/>
      <c r="AJ17" s="26"/>
      <c r="AK17" s="26">
        <v>10.0</v>
      </c>
      <c r="AL17" s="26"/>
      <c r="AM17" s="26"/>
      <c r="AN17" s="26"/>
      <c r="AO17" s="26"/>
      <c r="AP17" s="26"/>
      <c r="AQ17" s="26"/>
      <c r="AR17" s="26">
        <v>2.0</v>
      </c>
      <c r="AS17" s="26">
        <v>5.0</v>
      </c>
      <c r="AT17" s="26"/>
      <c r="AU17" s="26">
        <v>6.0</v>
      </c>
      <c r="AV17" s="26">
        <v>4.0</v>
      </c>
      <c r="AW17" s="26">
        <v>6.0</v>
      </c>
      <c r="AX17" s="26"/>
      <c r="AY17" s="26">
        <v>3.0</v>
      </c>
      <c r="AZ17" s="26">
        <v>1.0</v>
      </c>
      <c r="BA17" s="26">
        <v>8.0</v>
      </c>
      <c r="BB17" s="26"/>
      <c r="BC17" s="26"/>
      <c r="BD17" s="26"/>
      <c r="BE17" s="26">
        <v>6.0</v>
      </c>
      <c r="BF17" s="26">
        <v>7.0</v>
      </c>
      <c r="BG17" s="26"/>
      <c r="BH17" s="26">
        <v>6.0</v>
      </c>
      <c r="BI17" s="26"/>
      <c r="BJ17" s="26"/>
    </row>
    <row r="18">
      <c r="A18" s="94" t="s">
        <v>288</v>
      </c>
      <c r="B18" s="95">
        <f t="shared" si="1"/>
        <v>148</v>
      </c>
      <c r="C18" s="96">
        <f t="shared" si="2"/>
        <v>6</v>
      </c>
      <c r="D18" s="97">
        <f t="shared" si="3"/>
        <v>20</v>
      </c>
      <c r="E18" s="26">
        <v>12.0</v>
      </c>
      <c r="F18" s="27"/>
      <c r="G18" s="26">
        <v>12.0</v>
      </c>
      <c r="H18" s="26">
        <v>12.0</v>
      </c>
      <c r="I18" s="26">
        <v>10.0</v>
      </c>
      <c r="J18" s="26">
        <v>7.0</v>
      </c>
      <c r="K18" s="26">
        <v>10.0</v>
      </c>
      <c r="L18" s="27"/>
      <c r="M18" s="27"/>
      <c r="N18" s="27"/>
      <c r="O18" s="27"/>
      <c r="P18" s="26">
        <v>6.0</v>
      </c>
      <c r="Q18" s="26">
        <v>5.0</v>
      </c>
      <c r="R18" s="26" t="s">
        <v>256</v>
      </c>
      <c r="S18" s="27"/>
      <c r="T18" s="27"/>
      <c r="U18" s="27"/>
      <c r="V18" s="27"/>
      <c r="W18" s="27"/>
      <c r="X18" s="26">
        <v>2.0</v>
      </c>
      <c r="Y18" s="27"/>
      <c r="Z18" s="27"/>
      <c r="AA18" s="27"/>
      <c r="AB18" s="27"/>
      <c r="AC18" s="26">
        <v>4.0</v>
      </c>
      <c r="AD18" s="27"/>
      <c r="AE18" s="26">
        <v>10.0</v>
      </c>
      <c r="AF18" s="26">
        <v>5.0</v>
      </c>
      <c r="AG18" s="26">
        <v>1.0</v>
      </c>
      <c r="AH18" s="26">
        <v>10.0</v>
      </c>
      <c r="AI18" s="26">
        <v>7.0</v>
      </c>
      <c r="AJ18" s="26">
        <v>4.0</v>
      </c>
      <c r="AK18" s="26"/>
      <c r="AL18" s="26"/>
      <c r="AM18" s="26"/>
      <c r="AN18" s="26"/>
      <c r="AO18" s="26"/>
      <c r="AP18" s="26"/>
      <c r="AQ18" s="26">
        <v>7.0</v>
      </c>
      <c r="AR18" s="26">
        <v>6.0</v>
      </c>
      <c r="AS18" s="26">
        <v>10.0</v>
      </c>
      <c r="AT18" s="26"/>
      <c r="AU18" s="26"/>
      <c r="AV18" s="26"/>
      <c r="AW18" s="26"/>
      <c r="AX18" s="26"/>
      <c r="AY18" s="27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>
        <v>8.0</v>
      </c>
    </row>
    <row r="19">
      <c r="A19" s="94" t="s">
        <v>290</v>
      </c>
      <c r="B19" s="95">
        <f t="shared" si="1"/>
        <v>19</v>
      </c>
      <c r="C19" s="96">
        <f t="shared" si="2"/>
        <v>28</v>
      </c>
      <c r="D19" s="97">
        <f t="shared" si="3"/>
        <v>4</v>
      </c>
      <c r="E19" s="27"/>
      <c r="F19" s="27"/>
      <c r="G19" s="26">
        <v>3.0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6"/>
      <c r="S19" s="26" t="s">
        <v>256</v>
      </c>
      <c r="T19" s="27"/>
      <c r="U19" s="27"/>
      <c r="V19" s="26"/>
      <c r="W19" s="26"/>
      <c r="X19" s="27"/>
      <c r="Y19" s="26"/>
      <c r="Z19" s="27"/>
      <c r="AA19" s="26">
        <v>2.0</v>
      </c>
      <c r="AB19" s="26"/>
      <c r="AC19" s="26"/>
      <c r="AD19" s="27"/>
      <c r="AE19" s="27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>
        <v>10.0</v>
      </c>
      <c r="AZ19" s="26"/>
      <c r="BA19" s="26"/>
      <c r="BB19" s="26"/>
      <c r="BC19" s="26"/>
      <c r="BD19" s="26"/>
      <c r="BE19" s="26"/>
      <c r="BF19" s="26"/>
      <c r="BG19" s="26">
        <v>4.0</v>
      </c>
      <c r="BH19" s="26"/>
      <c r="BI19" s="26"/>
      <c r="BJ19" s="26"/>
    </row>
    <row r="20">
      <c r="A20" s="94" t="s">
        <v>291</v>
      </c>
      <c r="B20" s="95">
        <f t="shared" si="1"/>
        <v>125</v>
      </c>
      <c r="C20" s="96">
        <f t="shared" si="2"/>
        <v>15</v>
      </c>
      <c r="D20" s="97">
        <f t="shared" si="3"/>
        <v>22</v>
      </c>
      <c r="E20" s="26">
        <v>5.0</v>
      </c>
      <c r="F20" s="26">
        <v>12.0</v>
      </c>
      <c r="G20" s="26">
        <v>10.0</v>
      </c>
      <c r="H20" s="27"/>
      <c r="I20" s="26">
        <v>8.0</v>
      </c>
      <c r="J20" s="27"/>
      <c r="K20" s="27"/>
      <c r="L20" s="26">
        <v>12.0</v>
      </c>
      <c r="M20" s="26">
        <v>7.0</v>
      </c>
      <c r="N20" s="27"/>
      <c r="O20" s="27"/>
      <c r="P20" s="27"/>
      <c r="Q20" s="27"/>
      <c r="R20" s="27"/>
      <c r="S20" s="26">
        <v>2.0</v>
      </c>
      <c r="T20" s="26" t="s">
        <v>256</v>
      </c>
      <c r="U20" s="26">
        <v>12.0</v>
      </c>
      <c r="V20" s="26">
        <v>1.0</v>
      </c>
      <c r="W20" s="26"/>
      <c r="X20" s="26">
        <v>1.0</v>
      </c>
      <c r="Y20" s="26">
        <v>5.0</v>
      </c>
      <c r="Z20" s="26"/>
      <c r="AA20" s="26"/>
      <c r="AB20" s="27"/>
      <c r="AC20" s="26"/>
      <c r="AD20" s="27"/>
      <c r="AE20" s="27"/>
      <c r="AF20" s="26">
        <v>4.0</v>
      </c>
      <c r="AG20" s="26"/>
      <c r="AH20" s="26"/>
      <c r="AI20" s="26"/>
      <c r="AJ20" s="26"/>
      <c r="AK20" s="26">
        <v>1.0</v>
      </c>
      <c r="AL20" s="26"/>
      <c r="AM20" s="26"/>
      <c r="AN20" s="26">
        <v>6.0</v>
      </c>
      <c r="AO20" s="26"/>
      <c r="AP20" s="26"/>
      <c r="AQ20" s="26"/>
      <c r="AR20" s="26"/>
      <c r="AS20" s="26"/>
      <c r="AT20" s="26">
        <v>3.0</v>
      </c>
      <c r="AU20" s="26">
        <v>1.0</v>
      </c>
      <c r="AV20" s="26"/>
      <c r="AW20" s="26">
        <v>7.0</v>
      </c>
      <c r="AX20" s="26"/>
      <c r="AY20" s="26">
        <v>6.0</v>
      </c>
      <c r="AZ20" s="26">
        <v>5.0</v>
      </c>
      <c r="BA20" s="26"/>
      <c r="BB20" s="26"/>
      <c r="BC20" s="26"/>
      <c r="BD20" s="26">
        <v>8.0</v>
      </c>
      <c r="BE20" s="26"/>
      <c r="BF20" s="26"/>
      <c r="BG20" s="26"/>
      <c r="BH20" s="26">
        <v>2.0</v>
      </c>
      <c r="BI20" s="26"/>
      <c r="BJ20" s="26">
        <v>7.0</v>
      </c>
    </row>
    <row r="21">
      <c r="A21" s="94" t="s">
        <v>293</v>
      </c>
      <c r="B21" s="95">
        <f t="shared" si="1"/>
        <v>25</v>
      </c>
      <c r="C21" s="96">
        <f t="shared" si="2"/>
        <v>27</v>
      </c>
      <c r="D21" s="97">
        <f t="shared" si="3"/>
        <v>6</v>
      </c>
      <c r="E21" s="27"/>
      <c r="F21" s="27"/>
      <c r="G21" s="27"/>
      <c r="H21" s="27"/>
      <c r="I21" s="27"/>
      <c r="J21" s="27"/>
      <c r="K21" s="27"/>
      <c r="L21" s="26">
        <v>5.0</v>
      </c>
      <c r="M21" s="27"/>
      <c r="N21" s="26">
        <v>2.0</v>
      </c>
      <c r="O21" s="27"/>
      <c r="P21" s="26">
        <v>2.0</v>
      </c>
      <c r="Q21" s="27"/>
      <c r="R21" s="26"/>
      <c r="S21" s="27"/>
      <c r="T21" s="27"/>
      <c r="U21" s="26" t="s">
        <v>256</v>
      </c>
      <c r="V21" s="27"/>
      <c r="W21" s="27"/>
      <c r="X21" s="26"/>
      <c r="Y21" s="27"/>
      <c r="Z21" s="27"/>
      <c r="AA21" s="27"/>
      <c r="AB21" s="27"/>
      <c r="AC21" s="27"/>
      <c r="AD21" s="26"/>
      <c r="AE21" s="27"/>
      <c r="AF21" s="27"/>
      <c r="AG21" s="27"/>
      <c r="AH21" s="27"/>
      <c r="AI21" s="27"/>
      <c r="AJ21" s="27"/>
      <c r="AK21" s="27"/>
      <c r="AL21" s="27"/>
      <c r="AM21" s="27"/>
      <c r="AN21" s="26">
        <v>8.0</v>
      </c>
      <c r="AO21" s="27"/>
      <c r="AP21" s="27"/>
      <c r="AQ21" s="27"/>
      <c r="AR21" s="27"/>
      <c r="AS21" s="26">
        <v>4.0</v>
      </c>
      <c r="AT21" s="26"/>
      <c r="AU21" s="26"/>
      <c r="AV21" s="26"/>
      <c r="AW21" s="26"/>
      <c r="AX21" s="26">
        <v>4.0</v>
      </c>
      <c r="AY21" s="27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</row>
    <row r="22">
      <c r="A22" s="94" t="s">
        <v>294</v>
      </c>
      <c r="B22" s="95">
        <f t="shared" si="1"/>
        <v>128</v>
      </c>
      <c r="C22" s="96">
        <f t="shared" si="2"/>
        <v>13</v>
      </c>
      <c r="D22" s="97">
        <f t="shared" si="3"/>
        <v>23</v>
      </c>
      <c r="E22" s="27"/>
      <c r="F22" s="27"/>
      <c r="G22" s="27"/>
      <c r="H22" s="27"/>
      <c r="I22" s="27"/>
      <c r="J22" s="26">
        <v>1.0</v>
      </c>
      <c r="K22" s="27"/>
      <c r="L22" s="27"/>
      <c r="M22" s="26">
        <v>3.0</v>
      </c>
      <c r="N22" s="26">
        <v>12.0</v>
      </c>
      <c r="O22" s="26">
        <v>10.0</v>
      </c>
      <c r="P22" s="27"/>
      <c r="Q22" s="26">
        <v>1.0</v>
      </c>
      <c r="R22" s="26">
        <v>8.0</v>
      </c>
      <c r="S22" s="26">
        <v>8.0</v>
      </c>
      <c r="T22" s="27"/>
      <c r="U22" s="26">
        <v>6.0</v>
      </c>
      <c r="V22" s="26" t="s">
        <v>256</v>
      </c>
      <c r="W22" s="26">
        <v>6.0</v>
      </c>
      <c r="X22" s="27"/>
      <c r="Y22" s="26">
        <v>4.0</v>
      </c>
      <c r="Z22" s="26">
        <v>5.0</v>
      </c>
      <c r="AA22" s="26">
        <v>7.0</v>
      </c>
      <c r="AB22" s="26">
        <v>6.0</v>
      </c>
      <c r="AC22" s="26"/>
      <c r="AD22" s="26">
        <v>2.0</v>
      </c>
      <c r="AE22" s="27"/>
      <c r="AF22" s="26"/>
      <c r="AG22" s="26"/>
      <c r="AH22" s="26"/>
      <c r="AI22" s="26"/>
      <c r="AJ22" s="26"/>
      <c r="AK22" s="26"/>
      <c r="AL22" s="26"/>
      <c r="AM22" s="26">
        <v>10.0</v>
      </c>
      <c r="AN22" s="26">
        <v>1.0</v>
      </c>
      <c r="AO22" s="26">
        <v>5.0</v>
      </c>
      <c r="AP22" s="26">
        <v>7.0</v>
      </c>
      <c r="AQ22" s="26"/>
      <c r="AR22" s="26"/>
      <c r="AS22" s="26"/>
      <c r="AT22" s="26">
        <v>1.0</v>
      </c>
      <c r="AU22" s="26"/>
      <c r="AV22" s="26"/>
      <c r="AW22" s="26">
        <v>8.0</v>
      </c>
      <c r="AX22" s="26">
        <v>10.0</v>
      </c>
      <c r="AY22" s="26">
        <v>5.0</v>
      </c>
      <c r="AZ22" s="26"/>
      <c r="BA22" s="26"/>
      <c r="BB22" s="26"/>
      <c r="BC22" s="26">
        <v>2.0</v>
      </c>
      <c r="BD22" s="26"/>
      <c r="BE22" s="26"/>
      <c r="BF22" s="26"/>
      <c r="BG22" s="26"/>
      <c r="BH22" s="26"/>
      <c r="BI22" s="26"/>
      <c r="BJ22" s="26"/>
    </row>
    <row r="23">
      <c r="A23" s="94" t="s">
        <v>296</v>
      </c>
      <c r="B23" s="95">
        <f t="shared" si="1"/>
        <v>101</v>
      </c>
      <c r="C23" s="96">
        <f t="shared" si="2"/>
        <v>21</v>
      </c>
      <c r="D23" s="97">
        <f t="shared" si="3"/>
        <v>21</v>
      </c>
      <c r="E23" s="27"/>
      <c r="F23" s="26">
        <v>5.0</v>
      </c>
      <c r="G23" s="27"/>
      <c r="H23" s="27"/>
      <c r="I23" s="27"/>
      <c r="J23" s="27"/>
      <c r="K23" s="26">
        <v>6.0</v>
      </c>
      <c r="L23" s="27"/>
      <c r="M23" s="27"/>
      <c r="N23" s="26">
        <v>10.0</v>
      </c>
      <c r="O23" s="26">
        <v>1.0</v>
      </c>
      <c r="P23" s="26">
        <v>4.0</v>
      </c>
      <c r="Q23" s="27"/>
      <c r="R23" s="26">
        <v>3.0</v>
      </c>
      <c r="S23" s="27"/>
      <c r="T23" s="26">
        <v>1.0</v>
      </c>
      <c r="U23" s="26">
        <v>10.0</v>
      </c>
      <c r="V23" s="26">
        <v>8.0</v>
      </c>
      <c r="W23" s="26" t="s">
        <v>256</v>
      </c>
      <c r="X23" s="27"/>
      <c r="Y23" s="26"/>
      <c r="Z23" s="26"/>
      <c r="AA23" s="26"/>
      <c r="AB23" s="27"/>
      <c r="AC23" s="26"/>
      <c r="AD23" s="26">
        <v>1.0</v>
      </c>
      <c r="AE23" s="27"/>
      <c r="AF23" s="26"/>
      <c r="AG23" s="26"/>
      <c r="AH23" s="26"/>
      <c r="AI23" s="26"/>
      <c r="AJ23" s="26"/>
      <c r="AK23" s="26"/>
      <c r="AL23" s="26">
        <v>4.0</v>
      </c>
      <c r="AM23" s="26"/>
      <c r="AN23" s="26">
        <v>3.0</v>
      </c>
      <c r="AO23" s="26">
        <v>3.0</v>
      </c>
      <c r="AP23" s="26">
        <v>2.0</v>
      </c>
      <c r="AQ23" s="26"/>
      <c r="AR23" s="26">
        <v>5.0</v>
      </c>
      <c r="AS23" s="26"/>
      <c r="AT23" s="26"/>
      <c r="AU23" s="26"/>
      <c r="AV23" s="26">
        <v>3.0</v>
      </c>
      <c r="AW23" s="26"/>
      <c r="AX23" s="26"/>
      <c r="AY23" s="27"/>
      <c r="AZ23" s="26">
        <v>3.0</v>
      </c>
      <c r="BA23" s="26">
        <v>5.0</v>
      </c>
      <c r="BB23" s="26"/>
      <c r="BC23" s="26">
        <v>10.0</v>
      </c>
      <c r="BD23" s="26"/>
      <c r="BE23" s="26"/>
      <c r="BF23" s="26"/>
      <c r="BG23" s="26"/>
      <c r="BH23" s="26">
        <v>4.0</v>
      </c>
      <c r="BI23" s="26"/>
      <c r="BJ23" s="26">
        <v>10.0</v>
      </c>
    </row>
    <row r="24">
      <c r="A24" s="94" t="s">
        <v>317</v>
      </c>
      <c r="B24" s="95">
        <f t="shared" si="1"/>
        <v>142</v>
      </c>
      <c r="C24" s="96">
        <f t="shared" si="2"/>
        <v>8</v>
      </c>
      <c r="D24" s="97">
        <f t="shared" si="3"/>
        <v>23</v>
      </c>
      <c r="E24" s="27"/>
      <c r="F24" s="26">
        <v>1.0</v>
      </c>
      <c r="G24" s="27"/>
      <c r="H24" s="27"/>
      <c r="I24" s="26">
        <v>12.0</v>
      </c>
      <c r="J24" s="26">
        <v>2.0</v>
      </c>
      <c r="K24" s="27"/>
      <c r="L24" s="27"/>
      <c r="M24" s="27"/>
      <c r="N24" s="26">
        <v>8.0</v>
      </c>
      <c r="O24" s="27"/>
      <c r="P24" s="26">
        <v>12.0</v>
      </c>
      <c r="Q24" s="26">
        <v>6.0</v>
      </c>
      <c r="R24" s="27"/>
      <c r="S24" s="27"/>
      <c r="T24" s="27"/>
      <c r="U24" s="27"/>
      <c r="V24" s="26">
        <v>10.0</v>
      </c>
      <c r="W24" s="27"/>
      <c r="X24" s="26" t="s">
        <v>256</v>
      </c>
      <c r="Y24" s="27"/>
      <c r="Z24" s="27"/>
      <c r="AA24" s="27"/>
      <c r="AB24" s="27"/>
      <c r="AC24" s="26">
        <v>10.0</v>
      </c>
      <c r="AD24" s="26"/>
      <c r="AE24" s="26">
        <v>7.0</v>
      </c>
      <c r="AF24" s="26">
        <v>1.0</v>
      </c>
      <c r="AG24" s="27"/>
      <c r="AH24" s="27"/>
      <c r="AI24" s="26">
        <v>12.0</v>
      </c>
      <c r="AJ24" s="26">
        <v>12.0</v>
      </c>
      <c r="AK24" s="27"/>
      <c r="AL24" s="26">
        <v>6.0</v>
      </c>
      <c r="AM24" s="26">
        <v>1.0</v>
      </c>
      <c r="AN24" s="27"/>
      <c r="AO24" s="26">
        <v>2.0</v>
      </c>
      <c r="AP24" s="27"/>
      <c r="AQ24" s="26">
        <v>5.0</v>
      </c>
      <c r="AR24" s="27"/>
      <c r="AS24" s="27"/>
      <c r="AT24" s="27"/>
      <c r="AU24" s="27"/>
      <c r="AV24" s="27"/>
      <c r="AW24" s="27"/>
      <c r="AX24" s="27"/>
      <c r="AY24" s="26">
        <v>1.0</v>
      </c>
      <c r="AZ24" s="26">
        <v>4.0</v>
      </c>
      <c r="BA24" s="26">
        <v>7.0</v>
      </c>
      <c r="BB24" s="26"/>
      <c r="BC24" s="26"/>
      <c r="BD24" s="26">
        <v>2.0</v>
      </c>
      <c r="BE24" s="26">
        <v>5.0</v>
      </c>
      <c r="BF24" s="26"/>
      <c r="BG24" s="26"/>
      <c r="BH24" s="26">
        <v>12.0</v>
      </c>
      <c r="BI24" s="26"/>
      <c r="BJ24" s="26">
        <v>4.0</v>
      </c>
    </row>
    <row r="25">
      <c r="A25" s="94" t="s">
        <v>318</v>
      </c>
      <c r="B25" s="95">
        <f t="shared" si="1"/>
        <v>131</v>
      </c>
      <c r="C25" s="96">
        <f t="shared" si="2"/>
        <v>12</v>
      </c>
      <c r="D25" s="97">
        <f t="shared" si="3"/>
        <v>22</v>
      </c>
      <c r="E25" s="27"/>
      <c r="F25" s="26">
        <v>10.0</v>
      </c>
      <c r="G25" s="27"/>
      <c r="H25" s="26">
        <v>2.0</v>
      </c>
      <c r="I25" s="27"/>
      <c r="J25" s="27"/>
      <c r="K25" s="27"/>
      <c r="L25" s="26">
        <v>8.0</v>
      </c>
      <c r="M25" s="26">
        <v>5.0</v>
      </c>
      <c r="N25" s="27"/>
      <c r="O25" s="27"/>
      <c r="P25" s="27"/>
      <c r="Q25" s="26">
        <v>8.0</v>
      </c>
      <c r="R25" s="27"/>
      <c r="S25" s="27"/>
      <c r="T25" s="26">
        <v>2.0</v>
      </c>
      <c r="U25" s="26">
        <v>7.0</v>
      </c>
      <c r="V25" s="27"/>
      <c r="W25" s="26"/>
      <c r="X25" s="26"/>
      <c r="Y25" s="26" t="s">
        <v>256</v>
      </c>
      <c r="Z25" s="26">
        <v>10.0</v>
      </c>
      <c r="AA25" s="26"/>
      <c r="AB25" s="27"/>
      <c r="AC25" s="26">
        <v>7.0</v>
      </c>
      <c r="AD25" s="26">
        <v>7.0</v>
      </c>
      <c r="AE25" s="27"/>
      <c r="AF25" s="26"/>
      <c r="AG25" s="26"/>
      <c r="AH25" s="26">
        <v>6.0</v>
      </c>
      <c r="AI25" s="26"/>
      <c r="AJ25" s="26"/>
      <c r="AK25" s="26"/>
      <c r="AL25" s="26"/>
      <c r="AM25" s="26">
        <v>12.0</v>
      </c>
      <c r="AN25" s="26"/>
      <c r="AO25" s="26"/>
      <c r="AP25" s="26">
        <v>6.0</v>
      </c>
      <c r="AQ25" s="26">
        <v>1.0</v>
      </c>
      <c r="AR25" s="26">
        <v>3.0</v>
      </c>
      <c r="AS25" s="26">
        <v>6.0</v>
      </c>
      <c r="AT25" s="26"/>
      <c r="AU25" s="26">
        <v>10.0</v>
      </c>
      <c r="AV25" s="26"/>
      <c r="AW25" s="26"/>
      <c r="AX25" s="26">
        <v>1.0</v>
      </c>
      <c r="AY25" s="27"/>
      <c r="AZ25" s="26">
        <v>2.0</v>
      </c>
      <c r="BA25" s="26"/>
      <c r="BB25" s="26">
        <v>3.0</v>
      </c>
      <c r="BC25" s="26">
        <v>3.0</v>
      </c>
      <c r="BD25" s="26"/>
      <c r="BE25" s="26"/>
      <c r="BF25" s="26"/>
      <c r="BG25" s="26">
        <v>12.0</v>
      </c>
      <c r="BH25" s="26"/>
      <c r="BI25" s="26"/>
      <c r="BJ25" s="26"/>
    </row>
    <row r="26">
      <c r="A26" s="94" t="s">
        <v>302</v>
      </c>
      <c r="B26" s="95">
        <f t="shared" si="1"/>
        <v>86</v>
      </c>
      <c r="C26" s="96">
        <f t="shared" si="2"/>
        <v>25</v>
      </c>
      <c r="D26" s="97">
        <f t="shared" si="3"/>
        <v>15</v>
      </c>
      <c r="E26" s="26">
        <v>4.0</v>
      </c>
      <c r="F26" s="26">
        <v>7.0</v>
      </c>
      <c r="G26" s="27"/>
      <c r="H26" s="27"/>
      <c r="I26" s="27"/>
      <c r="J26" s="27"/>
      <c r="K26" s="27"/>
      <c r="L26" s="27"/>
      <c r="M26" s="27"/>
      <c r="N26" s="27"/>
      <c r="O26" s="26">
        <v>2.0</v>
      </c>
      <c r="P26" s="27"/>
      <c r="Q26" s="27"/>
      <c r="R26" s="27"/>
      <c r="S26" s="27"/>
      <c r="T26" s="27"/>
      <c r="U26" s="27"/>
      <c r="V26" s="27"/>
      <c r="W26" s="26">
        <v>10.0</v>
      </c>
      <c r="X26" s="27"/>
      <c r="Y26" s="26">
        <v>10.0</v>
      </c>
      <c r="Z26" s="26" t="s">
        <v>256</v>
      </c>
      <c r="AA26" s="26"/>
      <c r="AB26" s="26">
        <v>2.0</v>
      </c>
      <c r="AC26" s="27"/>
      <c r="AD26" s="27"/>
      <c r="AE26" s="27"/>
      <c r="AF26" s="27"/>
      <c r="AG26" s="27"/>
      <c r="AH26" s="27"/>
      <c r="AI26" s="26">
        <v>4.0</v>
      </c>
      <c r="AJ26" s="26">
        <v>2.0</v>
      </c>
      <c r="AK26" s="27"/>
      <c r="AL26" s="26">
        <v>10.0</v>
      </c>
      <c r="AM26" s="27"/>
      <c r="AN26" s="27"/>
      <c r="AO26" s="27"/>
      <c r="AP26" s="26">
        <v>12.0</v>
      </c>
      <c r="AQ26" s="27"/>
      <c r="AR26" s="26">
        <v>7.0</v>
      </c>
      <c r="AS26" s="27"/>
      <c r="AT26" s="27"/>
      <c r="AU26" s="27"/>
      <c r="AV26" s="27"/>
      <c r="AW26" s="27"/>
      <c r="AX26" s="26">
        <v>5.0</v>
      </c>
      <c r="AY26" s="27"/>
      <c r="AZ26" s="26"/>
      <c r="BA26" s="26"/>
      <c r="BB26" s="26"/>
      <c r="BC26" s="26"/>
      <c r="BD26" s="26">
        <v>5.0</v>
      </c>
      <c r="BE26" s="26"/>
      <c r="BF26" s="26"/>
      <c r="BG26" s="26"/>
      <c r="BH26" s="26">
        <v>5.0</v>
      </c>
      <c r="BI26" s="26"/>
      <c r="BJ26" s="26">
        <v>1.0</v>
      </c>
    </row>
    <row r="27">
      <c r="A27" s="94" t="s">
        <v>303</v>
      </c>
      <c r="B27" s="95">
        <f t="shared" si="1"/>
        <v>111</v>
      </c>
      <c r="C27" s="96">
        <f t="shared" si="2"/>
        <v>19</v>
      </c>
      <c r="D27" s="97">
        <f t="shared" si="3"/>
        <v>22</v>
      </c>
      <c r="E27" s="26">
        <v>3.0</v>
      </c>
      <c r="F27" s="27"/>
      <c r="G27" s="27"/>
      <c r="H27" s="27"/>
      <c r="I27" s="27"/>
      <c r="J27" s="26">
        <v>8.0</v>
      </c>
      <c r="K27" s="26">
        <v>3.0</v>
      </c>
      <c r="L27" s="26">
        <v>1.0</v>
      </c>
      <c r="M27" s="27"/>
      <c r="N27" s="26">
        <v>6.0</v>
      </c>
      <c r="O27" s="26">
        <v>12.0</v>
      </c>
      <c r="P27" s="26">
        <v>1.0</v>
      </c>
      <c r="Q27" s="27"/>
      <c r="R27" s="26">
        <v>2.0</v>
      </c>
      <c r="S27" s="27"/>
      <c r="T27" s="27"/>
      <c r="U27" s="27"/>
      <c r="V27" s="27"/>
      <c r="W27" s="26">
        <v>2.0</v>
      </c>
      <c r="X27" s="26"/>
      <c r="Y27" s="26">
        <v>7.0</v>
      </c>
      <c r="Z27" s="26">
        <v>8.0</v>
      </c>
      <c r="AA27" s="26" t="s">
        <v>256</v>
      </c>
      <c r="AB27" s="26">
        <v>12.0</v>
      </c>
      <c r="AC27" s="26">
        <v>2.0</v>
      </c>
      <c r="AD27" s="27"/>
      <c r="AE27" s="27"/>
      <c r="AF27" s="27"/>
      <c r="AG27" s="27"/>
      <c r="AH27" s="27"/>
      <c r="AI27" s="26">
        <v>3.0</v>
      </c>
      <c r="AJ27" s="26">
        <v>1.0</v>
      </c>
      <c r="AK27" s="27"/>
      <c r="AL27" s="26">
        <v>3.0</v>
      </c>
      <c r="AM27" s="26">
        <v>2.0</v>
      </c>
      <c r="AN27" s="27"/>
      <c r="AO27" s="26">
        <v>8.0</v>
      </c>
      <c r="AP27" s="27"/>
      <c r="AQ27" s="27"/>
      <c r="AR27" s="27"/>
      <c r="AS27" s="27"/>
      <c r="AT27" s="26">
        <v>2.0</v>
      </c>
      <c r="AU27" s="26"/>
      <c r="AV27" s="26"/>
      <c r="AW27" s="26">
        <v>3.0</v>
      </c>
      <c r="AX27" s="26">
        <v>12.0</v>
      </c>
      <c r="AY27" s="27"/>
      <c r="AZ27" s="26"/>
      <c r="BA27" s="26"/>
      <c r="BB27" s="26"/>
      <c r="BC27" s="26"/>
      <c r="BD27" s="26"/>
      <c r="BE27" s="26">
        <v>10.0</v>
      </c>
      <c r="BF27" s="26"/>
      <c r="BG27" s="26"/>
      <c r="BH27" s="26"/>
      <c r="BI27" s="26"/>
      <c r="BJ27" s="26"/>
    </row>
    <row r="28">
      <c r="A28" s="94" t="s">
        <v>305</v>
      </c>
      <c r="B28" s="95">
        <f t="shared" si="1"/>
        <v>107</v>
      </c>
      <c r="C28" s="96">
        <f t="shared" si="2"/>
        <v>20</v>
      </c>
      <c r="D28" s="97">
        <f t="shared" si="3"/>
        <v>21</v>
      </c>
      <c r="E28" s="26">
        <v>2.0</v>
      </c>
      <c r="F28" s="27"/>
      <c r="G28" s="27"/>
      <c r="H28" s="27"/>
      <c r="I28" s="26">
        <v>1.0</v>
      </c>
      <c r="J28" s="27"/>
      <c r="K28" s="26">
        <v>4.0</v>
      </c>
      <c r="L28" s="27"/>
      <c r="M28" s="27"/>
      <c r="N28" s="27"/>
      <c r="O28" s="26">
        <v>8.0</v>
      </c>
      <c r="P28" s="27"/>
      <c r="Q28" s="26">
        <v>12.0</v>
      </c>
      <c r="R28" s="26">
        <v>5.0</v>
      </c>
      <c r="S28" s="27"/>
      <c r="T28" s="27"/>
      <c r="U28" s="27"/>
      <c r="V28" s="27"/>
      <c r="W28" s="27"/>
      <c r="X28" s="26">
        <v>4.0</v>
      </c>
      <c r="Y28" s="26"/>
      <c r="Z28" s="26">
        <v>6.0</v>
      </c>
      <c r="AA28" s="26">
        <v>8.0</v>
      </c>
      <c r="AB28" s="26" t="s">
        <v>256</v>
      </c>
      <c r="AC28" s="27"/>
      <c r="AD28" s="26">
        <v>6.0</v>
      </c>
      <c r="AE28" s="26">
        <v>3.0</v>
      </c>
      <c r="AF28" s="26"/>
      <c r="AG28" s="26">
        <v>2.0</v>
      </c>
      <c r="AH28" s="26"/>
      <c r="AI28" s="26"/>
      <c r="AJ28" s="26"/>
      <c r="AK28" s="26"/>
      <c r="AL28" s="26"/>
      <c r="AM28" s="26">
        <v>3.0</v>
      </c>
      <c r="AN28" s="26"/>
      <c r="AO28" s="26"/>
      <c r="AP28" s="26"/>
      <c r="AQ28" s="26"/>
      <c r="AR28" s="26"/>
      <c r="AS28" s="26">
        <v>2.0</v>
      </c>
      <c r="AT28" s="26"/>
      <c r="AU28" s="26">
        <v>4.0</v>
      </c>
      <c r="AV28" s="26"/>
      <c r="AW28" s="26">
        <v>5.0</v>
      </c>
      <c r="AX28" s="26">
        <v>7.0</v>
      </c>
      <c r="AY28" s="27"/>
      <c r="AZ28" s="26"/>
      <c r="BA28" s="26"/>
      <c r="BB28" s="26"/>
      <c r="BC28" s="26"/>
      <c r="BD28" s="26">
        <v>6.0</v>
      </c>
      <c r="BE28" s="26">
        <v>4.0</v>
      </c>
      <c r="BF28" s="26"/>
      <c r="BG28" s="26">
        <v>7.0</v>
      </c>
      <c r="BH28" s="26">
        <v>8.0</v>
      </c>
      <c r="BI28" s="26"/>
      <c r="BJ28" s="26"/>
    </row>
    <row r="29">
      <c r="A29" s="94" t="s">
        <v>307</v>
      </c>
      <c r="B29" s="95">
        <f t="shared" si="1"/>
        <v>154</v>
      </c>
      <c r="C29" s="96">
        <f t="shared" si="2"/>
        <v>3</v>
      </c>
      <c r="D29" s="97">
        <f t="shared" si="3"/>
        <v>28</v>
      </c>
      <c r="E29" s="27"/>
      <c r="F29" s="27"/>
      <c r="G29" s="26">
        <v>2.0</v>
      </c>
      <c r="H29" s="26">
        <v>5.0</v>
      </c>
      <c r="I29" s="27"/>
      <c r="J29" s="26">
        <v>5.0</v>
      </c>
      <c r="K29" s="27"/>
      <c r="L29" s="26">
        <v>10.0</v>
      </c>
      <c r="M29" s="26">
        <v>8.0</v>
      </c>
      <c r="N29" s="27"/>
      <c r="O29" s="26">
        <v>6.0</v>
      </c>
      <c r="P29" s="27"/>
      <c r="Q29" s="27"/>
      <c r="R29" s="26">
        <v>7.0</v>
      </c>
      <c r="S29" s="27"/>
      <c r="T29" s="26">
        <v>4.0</v>
      </c>
      <c r="U29" s="27"/>
      <c r="V29" s="26">
        <v>5.0</v>
      </c>
      <c r="W29" s="27"/>
      <c r="X29" s="26">
        <v>3.0</v>
      </c>
      <c r="Y29" s="26"/>
      <c r="Z29" s="26">
        <v>7.0</v>
      </c>
      <c r="AA29" s="26">
        <v>3.0</v>
      </c>
      <c r="AB29" s="26">
        <v>5.0</v>
      </c>
      <c r="AC29" s="26" t="s">
        <v>256</v>
      </c>
      <c r="AD29" s="26">
        <v>4.0</v>
      </c>
      <c r="AE29" s="26"/>
      <c r="AF29" s="26"/>
      <c r="AG29" s="26">
        <v>6.0</v>
      </c>
      <c r="AH29" s="26">
        <v>2.0</v>
      </c>
      <c r="AI29" s="26"/>
      <c r="AJ29" s="26">
        <v>5.0</v>
      </c>
      <c r="AK29" s="26">
        <v>6.0</v>
      </c>
      <c r="AL29" s="26">
        <v>2.0</v>
      </c>
      <c r="AM29" s="26"/>
      <c r="AN29" s="26"/>
      <c r="AO29" s="26">
        <v>10.0</v>
      </c>
      <c r="AP29" s="26"/>
      <c r="AQ29" s="26"/>
      <c r="AR29" s="26">
        <v>8.0</v>
      </c>
      <c r="AS29" s="26"/>
      <c r="AT29" s="26">
        <v>5.0</v>
      </c>
      <c r="AU29" s="26"/>
      <c r="AV29" s="26"/>
      <c r="AW29" s="26"/>
      <c r="AX29" s="26">
        <v>2.0</v>
      </c>
      <c r="AY29" s="26">
        <v>8.0</v>
      </c>
      <c r="AZ29" s="26"/>
      <c r="BA29" s="26"/>
      <c r="BB29" s="26"/>
      <c r="BC29" s="26">
        <v>8.0</v>
      </c>
      <c r="BD29" s="26"/>
      <c r="BE29" s="26">
        <v>12.0</v>
      </c>
      <c r="BF29" s="26">
        <v>4.0</v>
      </c>
      <c r="BG29" s="26"/>
      <c r="BH29" s="26"/>
      <c r="BI29" s="26"/>
      <c r="BJ29" s="26">
        <v>2.0</v>
      </c>
    </row>
    <row r="30">
      <c r="A30" s="94" t="s">
        <v>309</v>
      </c>
      <c r="B30" s="95">
        <f t="shared" si="1"/>
        <v>90</v>
      </c>
      <c r="C30" s="96">
        <f t="shared" si="2"/>
        <v>24</v>
      </c>
      <c r="D30" s="97">
        <f t="shared" si="3"/>
        <v>16</v>
      </c>
      <c r="E30" s="27"/>
      <c r="F30" s="27"/>
      <c r="G30" s="26">
        <v>8.0</v>
      </c>
      <c r="H30" s="27"/>
      <c r="I30" s="26">
        <v>7.0</v>
      </c>
      <c r="J30" s="27"/>
      <c r="K30" s="27"/>
      <c r="L30" s="26">
        <v>7.0</v>
      </c>
      <c r="M30" s="26">
        <v>2.0</v>
      </c>
      <c r="N30" s="27"/>
      <c r="O30" s="26">
        <v>4.0</v>
      </c>
      <c r="P30" s="27"/>
      <c r="Q30" s="27"/>
      <c r="R30" s="27"/>
      <c r="S30" s="26">
        <v>1.0</v>
      </c>
      <c r="T30" s="27"/>
      <c r="U30" s="26">
        <v>2.0</v>
      </c>
      <c r="V30" s="27"/>
      <c r="W30" s="26">
        <v>5.0</v>
      </c>
      <c r="X30" s="27"/>
      <c r="Y30" s="27"/>
      <c r="Z30" s="27"/>
      <c r="AA30" s="27"/>
      <c r="AB30" s="27"/>
      <c r="AC30" s="27"/>
      <c r="AD30" s="26" t="s">
        <v>256</v>
      </c>
      <c r="AE30" s="27"/>
      <c r="AF30" s="26">
        <v>10.0</v>
      </c>
      <c r="AG30" s="27"/>
      <c r="AH30" s="27"/>
      <c r="AI30" s="27"/>
      <c r="AJ30" s="27"/>
      <c r="AK30" s="26">
        <v>3.0</v>
      </c>
      <c r="AL30" s="26">
        <v>7.0</v>
      </c>
      <c r="AM30" s="27"/>
      <c r="AN30" s="27"/>
      <c r="AO30" s="27"/>
      <c r="AP30" s="27"/>
      <c r="AQ30" s="27"/>
      <c r="AR30" s="26">
        <v>4.0</v>
      </c>
      <c r="AS30" s="27"/>
      <c r="AT30" s="26">
        <v>7.0</v>
      </c>
      <c r="AU30" s="26"/>
      <c r="AV30" s="26"/>
      <c r="AW30" s="26"/>
      <c r="AX30" s="26"/>
      <c r="AY30" s="27"/>
      <c r="AZ30" s="26"/>
      <c r="BA30" s="26"/>
      <c r="BB30" s="26">
        <v>8.0</v>
      </c>
      <c r="BC30" s="26">
        <v>5.0</v>
      </c>
      <c r="BD30" s="26"/>
      <c r="BE30" s="26"/>
      <c r="BF30" s="26"/>
      <c r="BG30" s="26">
        <v>10.0</v>
      </c>
      <c r="BH30" s="26"/>
      <c r="BI30" s="26"/>
      <c r="BJ30" s="26"/>
    </row>
    <row r="31">
      <c r="A31" s="94" t="s">
        <v>311</v>
      </c>
      <c r="B31" s="95">
        <f t="shared" si="1"/>
        <v>152</v>
      </c>
      <c r="C31" s="96">
        <f t="shared" si="2"/>
        <v>5</v>
      </c>
      <c r="D31" s="97">
        <f t="shared" si="3"/>
        <v>26</v>
      </c>
      <c r="E31" s="27"/>
      <c r="F31" s="26">
        <v>2.0</v>
      </c>
      <c r="G31" s="27"/>
      <c r="H31" s="26">
        <v>8.0</v>
      </c>
      <c r="I31" s="27"/>
      <c r="J31" s="27"/>
      <c r="K31" s="27"/>
      <c r="L31" s="26">
        <v>6.0</v>
      </c>
      <c r="M31" s="27"/>
      <c r="N31" s="26">
        <v>3.0</v>
      </c>
      <c r="O31" s="27"/>
      <c r="P31" s="26">
        <v>3.0</v>
      </c>
      <c r="Q31" s="26">
        <v>7.0</v>
      </c>
      <c r="R31" s="27"/>
      <c r="S31" s="26">
        <v>4.0</v>
      </c>
      <c r="T31" s="26">
        <v>12.0</v>
      </c>
      <c r="U31" s="26">
        <v>8.0</v>
      </c>
      <c r="V31" s="26">
        <v>3.0</v>
      </c>
      <c r="W31" s="27"/>
      <c r="X31" s="27"/>
      <c r="Y31" s="26">
        <v>1.0</v>
      </c>
      <c r="Z31" s="27"/>
      <c r="AA31" s="27"/>
      <c r="AB31" s="26">
        <v>3.0</v>
      </c>
      <c r="AC31" s="26">
        <v>6.0</v>
      </c>
      <c r="AD31" s="27"/>
      <c r="AE31" s="26" t="s">
        <v>256</v>
      </c>
      <c r="AF31" s="26">
        <v>6.0</v>
      </c>
      <c r="AG31" s="26">
        <v>10.0</v>
      </c>
      <c r="AH31" s="26"/>
      <c r="AI31" s="26"/>
      <c r="AJ31" s="26"/>
      <c r="AK31" s="26">
        <v>12.0</v>
      </c>
      <c r="AL31" s="26"/>
      <c r="AM31" s="26"/>
      <c r="AN31" s="26">
        <v>2.0</v>
      </c>
      <c r="AO31" s="26"/>
      <c r="AP31" s="26"/>
      <c r="AQ31" s="26">
        <v>10.0</v>
      </c>
      <c r="AR31" s="26"/>
      <c r="AS31" s="26">
        <v>8.0</v>
      </c>
      <c r="AT31" s="26"/>
      <c r="AU31" s="26">
        <v>2.0</v>
      </c>
      <c r="AV31" s="26"/>
      <c r="AW31" s="26">
        <v>12.0</v>
      </c>
      <c r="AX31" s="26"/>
      <c r="AY31" s="26">
        <v>2.0</v>
      </c>
      <c r="AZ31" s="26"/>
      <c r="BA31" s="26"/>
      <c r="BB31" s="26">
        <v>2.0</v>
      </c>
      <c r="BC31" s="26"/>
      <c r="BD31" s="26">
        <v>3.0</v>
      </c>
      <c r="BE31" s="26"/>
      <c r="BF31" s="26">
        <v>12.0</v>
      </c>
      <c r="BG31" s="26">
        <v>5.0</v>
      </c>
      <c r="BH31" s="26"/>
      <c r="BI31" s="26"/>
      <c r="BJ31" s="26"/>
    </row>
    <row r="32">
      <c r="A32" s="94" t="s">
        <v>313</v>
      </c>
      <c r="B32" s="95">
        <f t="shared" si="1"/>
        <v>61</v>
      </c>
      <c r="C32" s="96">
        <f t="shared" si="2"/>
        <v>26</v>
      </c>
      <c r="D32" s="97">
        <f t="shared" si="3"/>
        <v>14</v>
      </c>
      <c r="E32" s="27"/>
      <c r="F32" s="26">
        <v>3.0</v>
      </c>
      <c r="G32" s="26">
        <v>1.0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6">
        <v>2.0</v>
      </c>
      <c r="AA32" s="27"/>
      <c r="AB32" s="27"/>
      <c r="AC32" s="27"/>
      <c r="AD32" s="27"/>
      <c r="AE32" s="26">
        <v>8.0</v>
      </c>
      <c r="AF32" s="26" t="s">
        <v>256</v>
      </c>
      <c r="AG32" s="26"/>
      <c r="AH32" s="26">
        <v>7.0</v>
      </c>
      <c r="AI32" s="26"/>
      <c r="AJ32" s="26"/>
      <c r="AK32" s="26"/>
      <c r="AL32" s="26"/>
      <c r="AM32" s="26"/>
      <c r="AN32" s="26"/>
      <c r="AO32" s="26"/>
      <c r="AP32" s="26"/>
      <c r="AQ32" s="26">
        <v>4.0</v>
      </c>
      <c r="AR32" s="26">
        <v>10.0</v>
      </c>
      <c r="AS32" s="26"/>
      <c r="AT32" s="26"/>
      <c r="AU32" s="26">
        <v>7.0</v>
      </c>
      <c r="AV32" s="26">
        <v>6.0</v>
      </c>
      <c r="AW32" s="26"/>
      <c r="AX32" s="26"/>
      <c r="AY32" s="27"/>
      <c r="AZ32" s="26"/>
      <c r="BA32" s="26">
        <v>2.0</v>
      </c>
      <c r="BB32" s="26">
        <v>1.0</v>
      </c>
      <c r="BC32" s="26"/>
      <c r="BD32" s="26">
        <v>7.0</v>
      </c>
      <c r="BE32" s="26"/>
      <c r="BF32" s="26">
        <v>2.0</v>
      </c>
      <c r="BG32" s="26">
        <v>1.0</v>
      </c>
      <c r="BH32" s="26"/>
      <c r="BI32" s="26"/>
      <c r="BJ32" s="26"/>
    </row>
    <row r="33">
      <c r="A33" s="99">
        <f>COUNTIF(E33:CM33, "&gt;0")</f>
        <v>57</v>
      </c>
      <c r="E33" s="100">
        <f t="shared" ref="E33:BJ33" si="4">SUM(E5:E32)</f>
        <v>58</v>
      </c>
      <c r="F33" s="100">
        <f t="shared" si="4"/>
        <v>58</v>
      </c>
      <c r="G33" s="100">
        <f t="shared" si="4"/>
        <v>58</v>
      </c>
      <c r="H33" s="100">
        <f t="shared" si="4"/>
        <v>58</v>
      </c>
      <c r="I33" s="100">
        <f t="shared" si="4"/>
        <v>58</v>
      </c>
      <c r="J33" s="100">
        <f t="shared" si="4"/>
        <v>58</v>
      </c>
      <c r="K33" s="100">
        <f t="shared" si="4"/>
        <v>58</v>
      </c>
      <c r="L33" s="100">
        <f t="shared" si="4"/>
        <v>58</v>
      </c>
      <c r="M33" s="100">
        <f t="shared" si="4"/>
        <v>58</v>
      </c>
      <c r="N33" s="100">
        <f t="shared" si="4"/>
        <v>58</v>
      </c>
      <c r="O33" s="100">
        <f t="shared" si="4"/>
        <v>58</v>
      </c>
      <c r="P33" s="100">
        <f t="shared" si="4"/>
        <v>58</v>
      </c>
      <c r="Q33" s="100">
        <f t="shared" si="4"/>
        <v>58</v>
      </c>
      <c r="R33" s="100">
        <f t="shared" si="4"/>
        <v>58</v>
      </c>
      <c r="S33" s="100">
        <f t="shared" si="4"/>
        <v>58</v>
      </c>
      <c r="T33" s="100">
        <f t="shared" si="4"/>
        <v>58</v>
      </c>
      <c r="U33" s="100">
        <f t="shared" si="4"/>
        <v>58</v>
      </c>
      <c r="V33" s="100">
        <f t="shared" si="4"/>
        <v>58</v>
      </c>
      <c r="W33" s="100">
        <f t="shared" si="4"/>
        <v>58</v>
      </c>
      <c r="X33" s="100">
        <f t="shared" si="4"/>
        <v>58</v>
      </c>
      <c r="Y33" s="100">
        <f t="shared" si="4"/>
        <v>58</v>
      </c>
      <c r="Z33" s="100">
        <f t="shared" si="4"/>
        <v>58</v>
      </c>
      <c r="AA33" s="100">
        <f t="shared" si="4"/>
        <v>58</v>
      </c>
      <c r="AB33" s="100">
        <f t="shared" si="4"/>
        <v>58</v>
      </c>
      <c r="AC33" s="100">
        <f t="shared" si="4"/>
        <v>58</v>
      </c>
      <c r="AD33" s="100">
        <f t="shared" si="4"/>
        <v>58</v>
      </c>
      <c r="AE33" s="100">
        <f t="shared" si="4"/>
        <v>58</v>
      </c>
      <c r="AF33" s="100">
        <f t="shared" si="4"/>
        <v>58</v>
      </c>
      <c r="AG33" s="100">
        <f t="shared" si="4"/>
        <v>58</v>
      </c>
      <c r="AH33" s="100">
        <f t="shared" si="4"/>
        <v>58</v>
      </c>
      <c r="AI33" s="100">
        <f t="shared" si="4"/>
        <v>58</v>
      </c>
      <c r="AJ33" s="100">
        <f t="shared" si="4"/>
        <v>58</v>
      </c>
      <c r="AK33" s="100">
        <f t="shared" si="4"/>
        <v>58</v>
      </c>
      <c r="AL33" s="100">
        <f t="shared" si="4"/>
        <v>58</v>
      </c>
      <c r="AM33" s="100">
        <f t="shared" si="4"/>
        <v>58</v>
      </c>
      <c r="AN33" s="100">
        <f t="shared" si="4"/>
        <v>58</v>
      </c>
      <c r="AO33" s="100">
        <f t="shared" si="4"/>
        <v>58</v>
      </c>
      <c r="AP33" s="100">
        <f t="shared" si="4"/>
        <v>58</v>
      </c>
      <c r="AQ33" s="100">
        <f t="shared" si="4"/>
        <v>58</v>
      </c>
      <c r="AR33" s="100">
        <f t="shared" si="4"/>
        <v>58</v>
      </c>
      <c r="AS33" s="100">
        <f t="shared" si="4"/>
        <v>58</v>
      </c>
      <c r="AT33" s="100">
        <f t="shared" si="4"/>
        <v>58</v>
      </c>
      <c r="AU33" s="100">
        <f t="shared" si="4"/>
        <v>58</v>
      </c>
      <c r="AV33" s="100">
        <f t="shared" si="4"/>
        <v>58</v>
      </c>
      <c r="AW33" s="100">
        <f t="shared" si="4"/>
        <v>58</v>
      </c>
      <c r="AX33" s="100">
        <f t="shared" si="4"/>
        <v>58</v>
      </c>
      <c r="AY33" s="100">
        <f t="shared" si="4"/>
        <v>58</v>
      </c>
      <c r="AZ33" s="100">
        <f t="shared" si="4"/>
        <v>58</v>
      </c>
      <c r="BA33" s="100">
        <f t="shared" si="4"/>
        <v>58</v>
      </c>
      <c r="BB33" s="100">
        <f t="shared" si="4"/>
        <v>58</v>
      </c>
      <c r="BC33" s="100">
        <f t="shared" si="4"/>
        <v>58</v>
      </c>
      <c r="BD33" s="100">
        <f t="shared" si="4"/>
        <v>58</v>
      </c>
      <c r="BE33" s="100">
        <f t="shared" si="4"/>
        <v>58</v>
      </c>
      <c r="BF33" s="100">
        <f t="shared" si="4"/>
        <v>58</v>
      </c>
      <c r="BG33" s="100">
        <f t="shared" si="4"/>
        <v>58</v>
      </c>
      <c r="BH33" s="100">
        <f t="shared" si="4"/>
        <v>58</v>
      </c>
      <c r="BI33" s="100">
        <f t="shared" si="4"/>
        <v>0</v>
      </c>
      <c r="BJ33" s="100">
        <f t="shared" si="4"/>
        <v>58</v>
      </c>
    </row>
    <row r="34">
      <c r="K34" s="27"/>
      <c r="L34" s="27"/>
      <c r="M34" s="27"/>
      <c r="N34" s="27"/>
      <c r="O34" s="27"/>
      <c r="P34" s="27"/>
      <c r="Q34" s="27"/>
      <c r="R34" s="27"/>
      <c r="S34" s="27"/>
      <c r="AE34" s="27"/>
      <c r="AF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</row>
    <row r="35">
      <c r="K35" s="27"/>
      <c r="L35" s="27"/>
      <c r="M35" s="27"/>
      <c r="N35" s="27"/>
      <c r="O35" s="27"/>
      <c r="P35" s="27"/>
      <c r="Q35" s="27"/>
      <c r="R35" s="27"/>
      <c r="S35" s="27"/>
    </row>
  </sheetData>
  <mergeCells count="4">
    <mergeCell ref="A1:D3"/>
    <mergeCell ref="E1:AF3"/>
    <mergeCell ref="AG1:BJ3"/>
    <mergeCell ref="A33:D33"/>
  </mergeCells>
  <conditionalFormatting sqref="E5:BJ32 K34:S35 AE34:AF34 AQ34:BJ34">
    <cfRule type="cellIs" dxfId="7" priority="1" operator="equal">
      <formula>12</formula>
    </cfRule>
  </conditionalFormatting>
  <conditionalFormatting sqref="B5:V32 W5:Z29 AA5:AA30 AB5:AC29 AD5:AD30 AE5:AX29 AY5:AY32 AZ5:BJ29 AB31 AE31:AE32 AC32:AD32 AF32:AX32 AZ32:BJ32 K34:S35 AE34:AF34 AQ34:BJ34">
    <cfRule type="cellIs" dxfId="8" priority="2" operator="equal">
      <formula>"X"</formula>
    </cfRule>
  </conditionalFormatting>
  <conditionalFormatting sqref="E4:BJ4">
    <cfRule type="expression" dxfId="11" priority="3">
      <formula>E33=58</formula>
    </cfRule>
  </conditionalFormatting>
  <conditionalFormatting sqref="E4:BJ4">
    <cfRule type="expression" dxfId="10" priority="4">
      <formula>E33=0</formula>
    </cfRule>
  </conditionalFormatting>
  <conditionalFormatting sqref="A5:A32">
    <cfRule type="expression" dxfId="12" priority="5">
      <formula>C5&lt;=6</formula>
    </cfRule>
  </conditionalFormatting>
  <conditionalFormatting sqref="A5:A32">
    <cfRule type="expression" dxfId="13" priority="6">
      <formula>C5&lt;=10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4" width="4.0"/>
    <col customWidth="1" min="5" max="8" width="3.25"/>
    <col customWidth="1" min="9" max="9" width="4.25"/>
  </cols>
  <sheetData>
    <row r="1" ht="109.5" customHeight="1">
      <c r="A1" s="20" t="s">
        <v>319</v>
      </c>
      <c r="B1" s="91" t="s">
        <v>258</v>
      </c>
      <c r="C1" s="92" t="s">
        <v>254</v>
      </c>
      <c r="D1" s="93" t="s">
        <v>314</v>
      </c>
      <c r="E1" s="62" t="s">
        <v>320</v>
      </c>
      <c r="F1" s="62" t="s">
        <v>205</v>
      </c>
      <c r="G1" s="62"/>
      <c r="H1" s="62"/>
      <c r="I1" s="62" t="s">
        <v>321</v>
      </c>
    </row>
    <row r="2">
      <c r="A2" s="94" t="s">
        <v>263</v>
      </c>
      <c r="B2" s="95">
        <f t="shared" ref="B2:B29" si="1">SUM(E2:H2)</f>
        <v>3</v>
      </c>
      <c r="C2" s="96">
        <f t="shared" ref="C2:C29" si="2">_xlfn.RANK.EQ(B2, B$2:B$29, 0)</f>
        <v>15</v>
      </c>
      <c r="D2" s="97">
        <f t="shared" ref="D2:D29" si="3">COUNT(E2:H2)</f>
        <v>1</v>
      </c>
      <c r="E2" s="26">
        <v>3.0</v>
      </c>
      <c r="F2" s="98"/>
      <c r="G2" s="27"/>
      <c r="H2" s="27"/>
      <c r="I2" s="27"/>
    </row>
    <row r="3">
      <c r="A3" s="94" t="s">
        <v>265</v>
      </c>
      <c r="B3" s="95">
        <f t="shared" si="1"/>
        <v>8</v>
      </c>
      <c r="C3" s="96">
        <f t="shared" si="2"/>
        <v>5</v>
      </c>
      <c r="D3" s="97">
        <f t="shared" si="3"/>
        <v>1</v>
      </c>
      <c r="E3" s="26">
        <v>8.0</v>
      </c>
      <c r="F3" s="26"/>
      <c r="G3" s="26"/>
      <c r="H3" s="26"/>
      <c r="I3" s="26">
        <v>4.0</v>
      </c>
    </row>
    <row r="4">
      <c r="A4" s="94" t="s">
        <v>267</v>
      </c>
      <c r="B4" s="95">
        <f t="shared" si="1"/>
        <v>10</v>
      </c>
      <c r="C4" s="96">
        <f t="shared" si="2"/>
        <v>3</v>
      </c>
      <c r="D4" s="97">
        <f t="shared" si="3"/>
        <v>1</v>
      </c>
      <c r="E4" s="26"/>
      <c r="F4" s="26">
        <v>10.0</v>
      </c>
      <c r="G4" s="26"/>
      <c r="H4" s="27"/>
      <c r="I4" s="26">
        <v>7.0</v>
      </c>
    </row>
    <row r="5">
      <c r="A5" s="94" t="s">
        <v>269</v>
      </c>
      <c r="B5" s="95">
        <f t="shared" si="1"/>
        <v>3</v>
      </c>
      <c r="C5" s="96">
        <f t="shared" si="2"/>
        <v>15</v>
      </c>
      <c r="D5" s="97">
        <f t="shared" si="3"/>
        <v>1</v>
      </c>
      <c r="E5" s="26"/>
      <c r="F5" s="26">
        <v>3.0</v>
      </c>
      <c r="G5" s="27"/>
      <c r="H5" s="26"/>
      <c r="I5" s="27"/>
    </row>
    <row r="6">
      <c r="A6" s="94" t="s">
        <v>270</v>
      </c>
      <c r="B6" s="95">
        <f t="shared" si="1"/>
        <v>0</v>
      </c>
      <c r="C6" s="96">
        <f t="shared" si="2"/>
        <v>19</v>
      </c>
      <c r="D6" s="97">
        <f t="shared" si="3"/>
        <v>0</v>
      </c>
      <c r="E6" s="26"/>
      <c r="F6" s="27"/>
      <c r="G6" s="27"/>
      <c r="H6" s="27"/>
      <c r="I6" s="26"/>
    </row>
    <row r="7">
      <c r="A7" s="94" t="s">
        <v>271</v>
      </c>
      <c r="B7" s="95">
        <f t="shared" si="1"/>
        <v>1</v>
      </c>
      <c r="C7" s="96">
        <f t="shared" si="2"/>
        <v>18</v>
      </c>
      <c r="D7" s="97">
        <f t="shared" si="3"/>
        <v>1</v>
      </c>
      <c r="E7" s="26">
        <v>1.0</v>
      </c>
      <c r="F7" s="26"/>
      <c r="G7" s="26"/>
      <c r="H7" s="27"/>
      <c r="I7" s="26"/>
    </row>
    <row r="8">
      <c r="A8" s="94" t="s">
        <v>273</v>
      </c>
      <c r="B8" s="95">
        <f t="shared" si="1"/>
        <v>0</v>
      </c>
      <c r="C8" s="96">
        <f t="shared" si="2"/>
        <v>19</v>
      </c>
      <c r="D8" s="97">
        <f t="shared" si="3"/>
        <v>0</v>
      </c>
      <c r="E8" s="27"/>
      <c r="F8" s="27"/>
      <c r="G8" s="26"/>
      <c r="H8" s="27"/>
      <c r="I8" s="26"/>
    </row>
    <row r="9">
      <c r="A9" s="94" t="s">
        <v>275</v>
      </c>
      <c r="B9" s="95">
        <f t="shared" si="1"/>
        <v>12</v>
      </c>
      <c r="C9" s="96">
        <f t="shared" si="2"/>
        <v>1</v>
      </c>
      <c r="D9" s="97">
        <f t="shared" si="3"/>
        <v>1</v>
      </c>
      <c r="E9" s="26">
        <v>12.0</v>
      </c>
      <c r="F9" s="27"/>
      <c r="G9" s="27"/>
      <c r="H9" s="26"/>
      <c r="I9" s="26">
        <v>12.0</v>
      </c>
    </row>
    <row r="10">
      <c r="A10" s="94" t="s">
        <v>277</v>
      </c>
      <c r="B10" s="95">
        <f t="shared" si="1"/>
        <v>0</v>
      </c>
      <c r="C10" s="96">
        <f t="shared" si="2"/>
        <v>19</v>
      </c>
      <c r="D10" s="97">
        <f t="shared" si="3"/>
        <v>0</v>
      </c>
      <c r="E10" s="27"/>
      <c r="F10" s="26"/>
      <c r="G10" s="27"/>
      <c r="H10" s="27"/>
      <c r="I10" s="26"/>
    </row>
    <row r="11">
      <c r="A11" s="94" t="s">
        <v>280</v>
      </c>
      <c r="B11" s="95">
        <f t="shared" si="1"/>
        <v>0</v>
      </c>
      <c r="C11" s="96">
        <f t="shared" si="2"/>
        <v>19</v>
      </c>
      <c r="D11" s="97">
        <f t="shared" si="3"/>
        <v>0</v>
      </c>
      <c r="E11" s="27"/>
      <c r="F11" s="26"/>
      <c r="G11" s="27"/>
      <c r="H11" s="27"/>
      <c r="I11" s="27"/>
    </row>
    <row r="12">
      <c r="A12" s="94" t="s">
        <v>282</v>
      </c>
      <c r="B12" s="95">
        <f t="shared" si="1"/>
        <v>0</v>
      </c>
      <c r="C12" s="96">
        <f t="shared" si="2"/>
        <v>19</v>
      </c>
      <c r="D12" s="97">
        <f t="shared" si="3"/>
        <v>0</v>
      </c>
      <c r="E12" s="27"/>
      <c r="F12" s="55"/>
      <c r="G12" s="26"/>
      <c r="H12" s="27"/>
      <c r="I12" s="27"/>
    </row>
    <row r="13">
      <c r="A13" s="94" t="s">
        <v>284</v>
      </c>
      <c r="B13" s="95">
        <f t="shared" si="1"/>
        <v>0</v>
      </c>
      <c r="C13" s="96">
        <f t="shared" si="2"/>
        <v>19</v>
      </c>
      <c r="D13" s="97">
        <f t="shared" si="3"/>
        <v>0</v>
      </c>
      <c r="E13" s="27"/>
      <c r="F13" s="26"/>
      <c r="G13" s="26"/>
      <c r="H13" s="27"/>
      <c r="I13" s="26"/>
    </row>
    <row r="14">
      <c r="A14" s="94" t="s">
        <v>286</v>
      </c>
      <c r="B14" s="95">
        <f t="shared" si="1"/>
        <v>8</v>
      </c>
      <c r="C14" s="96">
        <f t="shared" si="2"/>
        <v>5</v>
      </c>
      <c r="D14" s="97">
        <f t="shared" si="3"/>
        <v>1</v>
      </c>
      <c r="E14" s="26"/>
      <c r="F14" s="26">
        <v>8.0</v>
      </c>
      <c r="G14" s="27"/>
      <c r="H14" s="27"/>
      <c r="I14" s="26">
        <v>3.0</v>
      </c>
    </row>
    <row r="15">
      <c r="A15" s="94" t="s">
        <v>288</v>
      </c>
      <c r="B15" s="95">
        <f t="shared" si="1"/>
        <v>4</v>
      </c>
      <c r="C15" s="96">
        <f t="shared" si="2"/>
        <v>13</v>
      </c>
      <c r="D15" s="97">
        <f t="shared" si="3"/>
        <v>1</v>
      </c>
      <c r="E15" s="26">
        <v>4.0</v>
      </c>
      <c r="F15" s="27"/>
      <c r="G15" s="27"/>
      <c r="H15" s="27"/>
      <c r="I15" s="27"/>
    </row>
    <row r="16">
      <c r="A16" s="94" t="s">
        <v>290</v>
      </c>
      <c r="B16" s="95">
        <f t="shared" si="1"/>
        <v>12</v>
      </c>
      <c r="C16" s="96">
        <f t="shared" si="2"/>
        <v>1</v>
      </c>
      <c r="D16" s="97">
        <f t="shared" si="3"/>
        <v>1</v>
      </c>
      <c r="E16" s="27"/>
      <c r="F16" s="26">
        <v>12.0</v>
      </c>
      <c r="G16" s="27"/>
      <c r="H16" s="27"/>
      <c r="I16" s="26">
        <v>10.0</v>
      </c>
    </row>
    <row r="17">
      <c r="A17" s="94" t="s">
        <v>291</v>
      </c>
      <c r="B17" s="95">
        <f t="shared" si="1"/>
        <v>8</v>
      </c>
      <c r="C17" s="96">
        <f t="shared" si="2"/>
        <v>5</v>
      </c>
      <c r="D17" s="97">
        <f t="shared" si="3"/>
        <v>2</v>
      </c>
      <c r="E17" s="26">
        <v>7.0</v>
      </c>
      <c r="F17" s="26">
        <v>1.0</v>
      </c>
      <c r="G17" s="27"/>
      <c r="H17" s="27"/>
      <c r="I17" s="26">
        <v>6.0</v>
      </c>
    </row>
    <row r="18">
      <c r="A18" s="94" t="s">
        <v>293</v>
      </c>
      <c r="B18" s="95">
        <f t="shared" si="1"/>
        <v>5</v>
      </c>
      <c r="C18" s="96">
        <f t="shared" si="2"/>
        <v>11</v>
      </c>
      <c r="D18" s="97">
        <f t="shared" si="3"/>
        <v>1</v>
      </c>
      <c r="E18" s="27"/>
      <c r="F18" s="26">
        <v>5.0</v>
      </c>
      <c r="G18" s="27"/>
      <c r="H18" s="27"/>
      <c r="I18" s="27"/>
    </row>
    <row r="19">
      <c r="A19" s="94" t="s">
        <v>294</v>
      </c>
      <c r="B19" s="95">
        <f t="shared" si="1"/>
        <v>8</v>
      </c>
      <c r="C19" s="96">
        <f t="shared" si="2"/>
        <v>5</v>
      </c>
      <c r="D19" s="97">
        <f t="shared" si="3"/>
        <v>2</v>
      </c>
      <c r="E19" s="26">
        <v>2.0</v>
      </c>
      <c r="F19" s="26">
        <v>6.0</v>
      </c>
      <c r="G19" s="27"/>
      <c r="H19" s="27"/>
      <c r="I19" s="26">
        <v>5.0</v>
      </c>
    </row>
    <row r="20">
      <c r="A20" s="94" t="s">
        <v>296</v>
      </c>
      <c r="B20" s="95">
        <f t="shared" si="1"/>
        <v>0</v>
      </c>
      <c r="C20" s="96">
        <f t="shared" si="2"/>
        <v>19</v>
      </c>
      <c r="D20" s="97">
        <f t="shared" si="3"/>
        <v>0</v>
      </c>
      <c r="E20" s="27"/>
      <c r="F20" s="27"/>
      <c r="G20" s="27"/>
      <c r="H20" s="27"/>
      <c r="I20" s="27"/>
    </row>
    <row r="21">
      <c r="A21" s="94" t="s">
        <v>298</v>
      </c>
      <c r="B21" s="95">
        <f t="shared" si="1"/>
        <v>6</v>
      </c>
      <c r="C21" s="96">
        <f t="shared" si="2"/>
        <v>10</v>
      </c>
      <c r="D21" s="97">
        <f t="shared" si="3"/>
        <v>1</v>
      </c>
      <c r="E21" s="26">
        <v>6.0</v>
      </c>
      <c r="F21" s="27"/>
      <c r="G21" s="27"/>
      <c r="H21" s="27"/>
      <c r="I21" s="26">
        <v>1.0</v>
      </c>
    </row>
    <row r="22">
      <c r="A22" s="94" t="s">
        <v>300</v>
      </c>
      <c r="B22" s="95">
        <f t="shared" si="1"/>
        <v>2</v>
      </c>
      <c r="C22" s="96">
        <f t="shared" si="2"/>
        <v>17</v>
      </c>
      <c r="D22" s="97">
        <f t="shared" si="3"/>
        <v>1</v>
      </c>
      <c r="E22" s="27"/>
      <c r="F22" s="26">
        <v>2.0</v>
      </c>
      <c r="G22" s="27"/>
      <c r="H22" s="27"/>
      <c r="I22" s="27"/>
    </row>
    <row r="23">
      <c r="A23" s="94" t="s">
        <v>302</v>
      </c>
      <c r="B23" s="95">
        <f t="shared" si="1"/>
        <v>5</v>
      </c>
      <c r="C23" s="96">
        <f t="shared" si="2"/>
        <v>11</v>
      </c>
      <c r="D23" s="97">
        <f t="shared" si="3"/>
        <v>1</v>
      </c>
      <c r="E23" s="26">
        <v>5.0</v>
      </c>
      <c r="F23" s="27"/>
      <c r="G23" s="27"/>
      <c r="H23" s="27"/>
      <c r="I23" s="27"/>
    </row>
    <row r="24">
      <c r="A24" s="94" t="s">
        <v>303</v>
      </c>
      <c r="B24" s="95">
        <f t="shared" si="1"/>
        <v>0</v>
      </c>
      <c r="C24" s="96">
        <f t="shared" si="2"/>
        <v>19</v>
      </c>
      <c r="D24" s="97">
        <f t="shared" si="3"/>
        <v>0</v>
      </c>
      <c r="E24" s="27"/>
      <c r="F24" s="27"/>
      <c r="G24" s="27"/>
      <c r="H24" s="27"/>
      <c r="I24" s="27"/>
    </row>
    <row r="25">
      <c r="A25" s="94" t="s">
        <v>305</v>
      </c>
      <c r="B25" s="95">
        <f t="shared" si="1"/>
        <v>4</v>
      </c>
      <c r="C25" s="96">
        <f t="shared" si="2"/>
        <v>13</v>
      </c>
      <c r="D25" s="97">
        <f t="shared" si="3"/>
        <v>1</v>
      </c>
      <c r="E25" s="27"/>
      <c r="F25" s="26">
        <v>4.0</v>
      </c>
      <c r="G25" s="27"/>
      <c r="H25" s="27"/>
      <c r="I25" s="27"/>
    </row>
    <row r="26">
      <c r="A26" s="94" t="s">
        <v>307</v>
      </c>
      <c r="B26" s="95">
        <f t="shared" si="1"/>
        <v>10</v>
      </c>
      <c r="C26" s="96">
        <f t="shared" si="2"/>
        <v>3</v>
      </c>
      <c r="D26" s="97">
        <f t="shared" si="3"/>
        <v>1</v>
      </c>
      <c r="E26" s="26">
        <v>10.0</v>
      </c>
      <c r="F26" s="27"/>
      <c r="G26" s="27"/>
      <c r="H26" s="27"/>
      <c r="I26" s="26">
        <v>8.0</v>
      </c>
    </row>
    <row r="27">
      <c r="A27" s="94" t="s">
        <v>309</v>
      </c>
      <c r="B27" s="95">
        <f t="shared" si="1"/>
        <v>0</v>
      </c>
      <c r="C27" s="96">
        <f t="shared" si="2"/>
        <v>19</v>
      </c>
      <c r="D27" s="97">
        <f t="shared" si="3"/>
        <v>0</v>
      </c>
      <c r="E27" s="27"/>
      <c r="F27" s="27"/>
      <c r="G27" s="27"/>
      <c r="H27" s="27"/>
      <c r="I27" s="27"/>
    </row>
    <row r="28">
      <c r="A28" s="94" t="s">
        <v>311</v>
      </c>
      <c r="B28" s="95">
        <f t="shared" si="1"/>
        <v>7</v>
      </c>
      <c r="C28" s="96">
        <f t="shared" si="2"/>
        <v>9</v>
      </c>
      <c r="D28" s="97">
        <f t="shared" si="3"/>
        <v>1</v>
      </c>
      <c r="E28" s="27"/>
      <c r="F28" s="26">
        <v>7.0</v>
      </c>
      <c r="G28" s="27"/>
      <c r="H28" s="27"/>
      <c r="I28" s="26">
        <v>2.0</v>
      </c>
    </row>
    <row r="29">
      <c r="A29" s="94" t="s">
        <v>313</v>
      </c>
      <c r="B29" s="95">
        <f t="shared" si="1"/>
        <v>0</v>
      </c>
      <c r="C29" s="96">
        <f t="shared" si="2"/>
        <v>19</v>
      </c>
      <c r="D29" s="97">
        <f t="shared" si="3"/>
        <v>0</v>
      </c>
      <c r="E29" s="27"/>
      <c r="F29" s="27"/>
      <c r="G29" s="27"/>
      <c r="H29" s="27"/>
      <c r="I29" s="27"/>
    </row>
    <row r="30">
      <c r="E30" s="100">
        <f t="shared" ref="E30:I30" si="4">SUM(E2:E29)</f>
        <v>58</v>
      </c>
      <c r="F30" s="100">
        <f t="shared" si="4"/>
        <v>58</v>
      </c>
      <c r="G30" s="100">
        <f t="shared" si="4"/>
        <v>0</v>
      </c>
      <c r="H30" s="100">
        <f t="shared" si="4"/>
        <v>0</v>
      </c>
      <c r="I30" s="100">
        <f t="shared" si="4"/>
        <v>58</v>
      </c>
    </row>
  </sheetData>
  <conditionalFormatting sqref="E2:I29">
    <cfRule type="cellIs" dxfId="7" priority="1" operator="equal">
      <formula>12</formula>
    </cfRule>
  </conditionalFormatting>
  <conditionalFormatting sqref="B2:I29">
    <cfRule type="cellIs" dxfId="8" priority="2" operator="equal">
      <formula>"X"</formula>
    </cfRule>
  </conditionalFormatting>
  <conditionalFormatting sqref="E1:I1">
    <cfRule type="expression" dxfId="11" priority="3">
      <formula>E30=58</formula>
    </cfRule>
  </conditionalFormatting>
  <conditionalFormatting sqref="E1:I1">
    <cfRule type="expression" dxfId="10" priority="4">
      <formula>E30=0</formula>
    </cfRule>
  </conditionalFormatting>
  <drawing r:id="rId1"/>
</worksheet>
</file>