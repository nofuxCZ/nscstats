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gar\OneDrive\Dators\Elgars Vitkovskis\"/>
    </mc:Choice>
  </mc:AlternateContent>
  <xr:revisionPtr revIDLastSave="0" documentId="13_ncr:1_{A30AE80C-633F-416A-8FA7-5F420F223F01}" xr6:coauthVersionLast="47" xr6:coauthVersionMax="47" xr10:uidLastSave="{00000000-0000-0000-0000-000000000000}"/>
  <bookViews>
    <workbookView xWindow="-108" yWindow="-108" windowWidth="23256" windowHeight="13896" xr2:uid="{176B426C-CFFE-4A0B-B64A-CB488EED6330}"/>
  </bookViews>
  <sheets>
    <sheet name="ENTRIES" sheetId="1" r:id="rId1"/>
    <sheet name="SF 1 REGULAR" sheetId="3" r:id="rId2"/>
    <sheet name="SF 1 REJU" sheetId="4" r:id="rId3"/>
    <sheet name="SF 2 REGULAR" sheetId="5" r:id="rId4"/>
    <sheet name="SF 2 REJU" sheetId="6" r:id="rId5"/>
    <sheet name="GRAND FINAL" sheetId="7" r:id="rId6"/>
    <sheet name="W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0" i="7" l="1"/>
  <c r="BA30" i="7"/>
  <c r="AZ30" i="7"/>
  <c r="AY30" i="7"/>
  <c r="AX30" i="7"/>
  <c r="AV30" i="7"/>
  <c r="AW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F30" i="7"/>
  <c r="AG30" i="7"/>
  <c r="AE30" i="7"/>
  <c r="AD30" i="7"/>
  <c r="AC30" i="7"/>
  <c r="BC3" i="7"/>
  <c r="AB30" i="7"/>
  <c r="AA30" i="7"/>
  <c r="Z30" i="7"/>
  <c r="Y30" i="7"/>
  <c r="X30" i="7"/>
  <c r="W30" i="7"/>
  <c r="V30" i="7"/>
  <c r="U30" i="7"/>
  <c r="T30" i="7"/>
  <c r="Q30" i="7"/>
  <c r="R30" i="7"/>
  <c r="S30" i="7"/>
  <c r="P30" i="7"/>
  <c r="O30" i="7"/>
  <c r="N30" i="7"/>
  <c r="M30" i="7"/>
  <c r="L30" i="7"/>
  <c r="K30" i="7"/>
  <c r="J30" i="7"/>
  <c r="I30" i="7"/>
  <c r="H30" i="7"/>
  <c r="F30" i="7"/>
  <c r="G30" i="7"/>
  <c r="D30" i="8"/>
  <c r="E30" i="8"/>
  <c r="F3" i="8"/>
  <c r="F11" i="8"/>
  <c r="F4" i="8"/>
  <c r="F8" i="8"/>
  <c r="F18" i="8"/>
  <c r="F7" i="8"/>
  <c r="F17" i="8"/>
  <c r="F21" i="8"/>
  <c r="F15" i="8"/>
  <c r="F14" i="8"/>
  <c r="F6" i="8"/>
  <c r="F23" i="8"/>
  <c r="F10" i="8"/>
  <c r="F16" i="8"/>
  <c r="F22" i="8"/>
  <c r="F2" i="8"/>
  <c r="F24" i="8"/>
  <c r="F25" i="8"/>
  <c r="F26" i="8"/>
  <c r="F13" i="8"/>
  <c r="F19" i="8"/>
  <c r="F12" i="8"/>
  <c r="F20" i="8"/>
  <c r="F27" i="8"/>
  <c r="F28" i="8"/>
  <c r="F29" i="8"/>
  <c r="F9" i="8"/>
  <c r="F5" i="8"/>
  <c r="C30" i="8"/>
  <c r="E30" i="7"/>
  <c r="D30" i="7"/>
  <c r="BC23" i="7"/>
  <c r="BC10" i="7"/>
  <c r="BC16" i="7"/>
  <c r="BC17" i="7"/>
  <c r="BC28" i="7"/>
  <c r="BC5" i="7"/>
  <c r="BC20" i="7"/>
  <c r="BC29" i="7"/>
  <c r="BC2" i="7"/>
  <c r="BC22" i="7"/>
  <c r="BC24" i="7"/>
  <c r="BC13" i="7"/>
  <c r="BC9" i="7"/>
  <c r="BC18" i="7"/>
  <c r="BC27" i="7"/>
  <c r="BC19" i="7"/>
  <c r="BC14" i="7"/>
  <c r="BC6" i="7"/>
  <c r="BC21" i="7"/>
  <c r="BC4" i="7"/>
  <c r="BC25" i="7"/>
  <c r="BC8" i="7"/>
  <c r="BC11" i="7"/>
  <c r="BC26" i="7"/>
  <c r="BC15" i="7"/>
  <c r="BC12" i="7"/>
  <c r="BC7" i="7"/>
  <c r="C30" i="7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C26" i="5"/>
  <c r="S3" i="6"/>
  <c r="S4" i="6"/>
  <c r="S5" i="6"/>
  <c r="S6" i="6"/>
  <c r="S7" i="6"/>
  <c r="S9" i="6"/>
  <c r="S10" i="6"/>
  <c r="S8" i="6"/>
  <c r="S11" i="6"/>
  <c r="S13" i="6"/>
  <c r="S14" i="6"/>
  <c r="S12" i="6"/>
  <c r="S15" i="6"/>
  <c r="S16" i="6"/>
  <c r="S18" i="6"/>
  <c r="S19" i="6"/>
  <c r="S20" i="6"/>
  <c r="S17" i="6"/>
  <c r="S21" i="6"/>
  <c r="S22" i="6"/>
  <c r="S23" i="6"/>
  <c r="S24" i="6"/>
  <c r="S25" i="6"/>
  <c r="S2" i="6"/>
  <c r="O25" i="4"/>
  <c r="O3" i="4"/>
  <c r="O4" i="4"/>
  <c r="O8" i="4"/>
  <c r="O9" i="4"/>
  <c r="O5" i="4"/>
  <c r="O6" i="4"/>
  <c r="O7" i="4"/>
  <c r="O14" i="4"/>
  <c r="O10" i="4"/>
  <c r="O15" i="4"/>
  <c r="O11" i="4"/>
  <c r="O12" i="4"/>
  <c r="O13" i="4"/>
  <c r="O19" i="4"/>
  <c r="O18" i="4"/>
  <c r="O16" i="4"/>
  <c r="O20" i="4"/>
  <c r="O21" i="4"/>
  <c r="O17" i="4"/>
  <c r="O23" i="4"/>
  <c r="O22" i="4"/>
  <c r="O24" i="4"/>
  <c r="O2" i="4"/>
  <c r="M26" i="4"/>
  <c r="P26" i="6"/>
  <c r="Q26" i="6"/>
  <c r="O26" i="6"/>
  <c r="M26" i="6"/>
  <c r="N26" i="6"/>
  <c r="AD2" i="3"/>
  <c r="L26" i="4"/>
  <c r="K26" i="4"/>
  <c r="J26" i="4"/>
  <c r="L26" i="6"/>
  <c r="I26" i="4"/>
  <c r="AD2" i="5"/>
  <c r="J26" i="6"/>
  <c r="K26" i="6"/>
  <c r="H26" i="6"/>
  <c r="I26" i="6"/>
  <c r="H26" i="4"/>
  <c r="G26" i="6"/>
  <c r="G26" i="4"/>
  <c r="F26" i="6"/>
  <c r="F26" i="4"/>
  <c r="E26" i="4"/>
  <c r="E26" i="6"/>
  <c r="D26" i="4"/>
  <c r="C26" i="4"/>
  <c r="D26" i="6"/>
  <c r="C26" i="6"/>
  <c r="AD12" i="5"/>
  <c r="AD13" i="5"/>
  <c r="AD14" i="5"/>
  <c r="AD22" i="5"/>
  <c r="AD10" i="5"/>
  <c r="AD21" i="5"/>
  <c r="AD3" i="5"/>
  <c r="AD6" i="5"/>
  <c r="AD5" i="5"/>
  <c r="AD9" i="5"/>
  <c r="AD25" i="5"/>
  <c r="AD11" i="5"/>
  <c r="AD18" i="5"/>
  <c r="AD16" i="5"/>
  <c r="AD17" i="5"/>
  <c r="AD7" i="5"/>
  <c r="AD8" i="5"/>
  <c r="AD4" i="5"/>
  <c r="AD20" i="5"/>
  <c r="AD24" i="5"/>
  <c r="AD23" i="5"/>
  <c r="AD15" i="5"/>
  <c r="AD19" i="5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C26" i="3"/>
  <c r="AD19" i="3"/>
  <c r="AD5" i="3"/>
  <c r="AD15" i="3"/>
  <c r="AD22" i="3"/>
  <c r="AD8" i="3"/>
  <c r="AD14" i="3"/>
  <c r="AD11" i="3"/>
  <c r="AD17" i="3"/>
  <c r="AD12" i="3"/>
  <c r="AD20" i="3"/>
  <c r="AD24" i="3"/>
  <c r="AD21" i="3"/>
  <c r="AD3" i="3"/>
  <c r="AD18" i="3"/>
  <c r="AD6" i="3"/>
  <c r="AD23" i="3"/>
  <c r="AD7" i="3"/>
  <c r="AD9" i="3"/>
  <c r="AD4" i="3"/>
  <c r="AD25" i="3"/>
  <c r="AD13" i="3"/>
  <c r="AD10" i="3"/>
  <c r="AD16" i="3"/>
</calcChain>
</file>

<file path=xl/sharedStrings.xml><?xml version="1.0" encoding="utf-8"?>
<sst xmlns="http://schemas.openxmlformats.org/spreadsheetml/2006/main" count="541" uniqueCount="191">
  <si>
    <t>Nation</t>
  </si>
  <si>
    <t>Gregory Dillon, frutiger dillon – Windows98</t>
  </si>
  <si>
    <t>Svobodnia</t>
  </si>
  <si>
    <t>No.</t>
  </si>
  <si>
    <t>01</t>
  </si>
  <si>
    <t>Video link</t>
  </si>
  <si>
    <t>Klangschmiede – Kråkevisa</t>
  </si>
  <si>
    <t>https://youtu.be/W_3gJvRcO9w</t>
  </si>
  <si>
    <t>Kimmystan</t>
  </si>
  <si>
    <t>02</t>
  </si>
  <si>
    <t>https://youtu.be/6c6IsD84Jls</t>
  </si>
  <si>
    <t>03</t>
  </si>
  <si>
    <t>Emsfrynt</t>
  </si>
  <si>
    <t>TOMORA – Ring the Alarm</t>
  </si>
  <si>
    <t>https://youtu.be/JL-b1cfFwLU</t>
  </si>
  <si>
    <t>Roseland</t>
  </si>
  <si>
    <t>04</t>
  </si>
  <si>
    <t>Shkodra Elektronike – Fosforon</t>
  </si>
  <si>
    <t>https://youtu.be/N1LQZHiPZ7g</t>
  </si>
  <si>
    <t>05</t>
  </si>
  <si>
    <t>Ugaly</t>
  </si>
  <si>
    <t>Lash – Take Me Away</t>
  </si>
  <si>
    <t>https://youtu.be/LZdoN6HHcaE</t>
  </si>
  <si>
    <t>06</t>
  </si>
  <si>
    <t>https://youtu.be/PqrYjMl4Ogs</t>
  </si>
  <si>
    <t>Eolika – Karavāna</t>
  </si>
  <si>
    <t xml:space="preserve">Öösingimäed </t>
  </si>
  <si>
    <t>07</t>
  </si>
  <si>
    <t>Dalisska</t>
  </si>
  <si>
    <t>https://youtu.be/E_q8eyjJ4Sc</t>
  </si>
  <si>
    <t>Veri – Častuškat</t>
  </si>
  <si>
    <t>08</t>
  </si>
  <si>
    <t>Coucheron, Stig Brenner, Arif Murakami &amp; May – Galopp</t>
  </si>
  <si>
    <t>Balearica Island</t>
  </si>
  <si>
    <t>https://youtu.be/qJauz81G5Ns</t>
  </si>
  <si>
    <t>09</t>
  </si>
  <si>
    <t>Loreen – Feels Like Heaven</t>
  </si>
  <si>
    <t>https://youtu.be/BQc97moyQBg</t>
  </si>
  <si>
    <t>Dež Republic</t>
  </si>
  <si>
    <t> 10</t>
  </si>
  <si>
    <t>Adamsburg</t>
  </si>
  <si>
    <t>Gina Dirawi – Genesis</t>
  </si>
  <si>
    <t>https://youtu.be/Pb6dsswSTc0</t>
  </si>
  <si>
    <t>Tamausia &amp; Deltannor</t>
  </si>
  <si>
    <t>Ida-Lova – Svagare än jag</t>
  </si>
  <si>
    <t>https://youtu.be/NYG8Trirj6c</t>
  </si>
  <si>
    <t>Holly Humberstone – To Love Somebody</t>
  </si>
  <si>
    <t>Cydoni-Gibberia</t>
  </si>
  <si>
    <t>https://youtu.be/9hWa9w0njxE</t>
  </si>
  <si>
    <t>Begonia</t>
  </si>
  <si>
    <t>Ulyana Del Rey – Sekond-hend</t>
  </si>
  <si>
    <t>https://youtu.be/nRqapMkWWK0</t>
  </si>
  <si>
    <t>Afnia</t>
  </si>
  <si>
    <t>https://youtu.be/EWJXuutc4Mw</t>
  </si>
  <si>
    <t>King Tree – Afterlife</t>
  </si>
  <si>
    <t>Sakuralia</t>
  </si>
  <si>
    <t>Veronica Fusaro – Better With You</t>
  </si>
  <si>
    <t>https://youtu.be/NLbpVt1CccQ</t>
  </si>
  <si>
    <t>Dwyforland</t>
  </si>
  <si>
    <t>Jeck &amp; Carla – La Recette</t>
  </si>
  <si>
    <t>https://youtu.be/9kBpbQDZdbQ</t>
  </si>
  <si>
    <t>https://youtu.be/SWyE6l_uQ60</t>
  </si>
  <si>
    <t>Whispering Isles</t>
  </si>
  <si>
    <t>Apashe x Alina Pash – Kyiv</t>
  </si>
  <si>
    <t>https://youtu.be/uIfqSTBTJXQ</t>
  </si>
  <si>
    <t>Ÿ</t>
  </si>
  <si>
    <t>Grand Duchy of Strenci</t>
  </si>
  <si>
    <t>https://youtu.be/hLob10JpibM</t>
  </si>
  <si>
    <t>Secret Garden – Adagio</t>
  </si>
  <si>
    <t>Papendink</t>
  </si>
  <si>
    <t>Halito</t>
  </si>
  <si>
    <t>https://youtu.be/d6Olcb-Tl58</t>
  </si>
  <si>
    <t>PALLETT – Ain't My Home</t>
  </si>
  <si>
    <t>Finnegan Tui – Old One</t>
  </si>
  <si>
    <t>https://youtu.be/52pa7rj5zrs</t>
  </si>
  <si>
    <t>The Family Crest – Beneath the Brine</t>
  </si>
  <si>
    <t>New Bander State</t>
  </si>
  <si>
    <t>Artist – Song</t>
  </si>
  <si>
    <t>Kamandé</t>
  </si>
  <si>
    <t>Within Temptation &amp; Lord of the Lost – Light Can Only Shine in the Darkness</t>
  </si>
  <si>
    <t>Mili – world.execute(me);</t>
  </si>
  <si>
    <t>https://youtu.be/WRLmbULWDhY</t>
  </si>
  <si>
    <t>Chiemi Eri – Okosa-Bushi</t>
  </si>
  <si>
    <t>Redwood Republic</t>
  </si>
  <si>
    <t>https://youtu.be/7CmOyZqZ8gI</t>
  </si>
  <si>
    <t>Meridia</t>
  </si>
  <si>
    <t>ILINCA – Femme Fatale</t>
  </si>
  <si>
    <t>https://youtu.be/Xl4J5W9RsW0</t>
  </si>
  <si>
    <t>https://youtu.be/yZ8HG7W7rlQ</t>
  </si>
  <si>
    <t>Aimūlli</t>
  </si>
  <si>
    <t>YAGODY – Ne lamai kalynu</t>
  </si>
  <si>
    <t>Szimbaya Kingdom</t>
  </si>
  <si>
    <t>Modern Talking – Brother Louie</t>
  </si>
  <si>
    <t>https://youtu.be/Lp2qcCrdBLA</t>
  </si>
  <si>
    <t>Niimre</t>
  </si>
  <si>
    <t>RS</t>
  </si>
  <si>
    <t>ZETAK – HILETA KANTU NAFARRA</t>
  </si>
  <si>
    <t>https://youtu.be/C9lyKkFV4BQ</t>
  </si>
  <si>
    <t>Orsa</t>
  </si>
  <si>
    <t>Valkyrien Allstars – Kongler</t>
  </si>
  <si>
    <t>https://youtu.be/VZZ7lb9AM1Y</t>
  </si>
  <si>
    <t>Oussou Empire</t>
  </si>
  <si>
    <t>https://youtu.be/-SmQbkLqZZU</t>
  </si>
  <si>
    <t>Malaka – Malaka Maï</t>
  </si>
  <si>
    <t>Vera Bila, Kale – Pas o panori</t>
  </si>
  <si>
    <t>Endórë</t>
  </si>
  <si>
    <t>https://youtu.be/R-L477kx8LA</t>
  </si>
  <si>
    <t>Reym-L-Dneurb</t>
  </si>
  <si>
    <t>Velina – Baš Ti</t>
  </si>
  <si>
    <t>https://youtu.be/yxEa7p_8TL0</t>
  </si>
  <si>
    <t>Evisplendine</t>
  </si>
  <si>
    <t>Airlock – Awakening</t>
  </si>
  <si>
    <t>Trollheimr</t>
  </si>
  <si>
    <t>Waiting Iist of Shelley &amp; Nici</t>
  </si>
  <si>
    <t>Luar na Lubre – Camariñas</t>
  </si>
  <si>
    <t>https://youtu.be/zvhD798bas8</t>
  </si>
  <si>
    <t>Fervorosia</t>
  </si>
  <si>
    <t>https://youtu.be/-cI21KKPBT8</t>
  </si>
  <si>
    <t>AHTI x Behm – Tähdet</t>
  </si>
  <si>
    <t>https://youtu.be/lA9ARVRuSlM</t>
  </si>
  <si>
    <t>Comino</t>
  </si>
  <si>
    <t>https://youtu.be/h2kUX_Fmj7k</t>
  </si>
  <si>
    <t>Inzinimirit</t>
  </si>
  <si>
    <t>The Beaches – Blame Brett</t>
  </si>
  <si>
    <t>Mathilde Fernandez – À L'infini</t>
  </si>
  <si>
    <t>https://youtu.be/1IK_SoJ2ejc</t>
  </si>
  <si>
    <t>https://youtu.be/Ijyx_wFnWWg</t>
  </si>
  <si>
    <t>New Acadia</t>
  </si>
  <si>
    <t>John Michael Howell – Missing Piece</t>
  </si>
  <si>
    <t>Balthazard &amp; Dyana – Fade</t>
  </si>
  <si>
    <t>Tcher-Racoi</t>
  </si>
  <si>
    <t>https://youtu.be/WaFBtmhxnK0</t>
  </si>
  <si>
    <t>https://youtu.be/nHF6YGfGRM8</t>
  </si>
  <si>
    <t>Belvist</t>
  </si>
  <si>
    <t>MatiMati</t>
  </si>
  <si>
    <t>Bellaire – Brasil</t>
  </si>
  <si>
    <t>THE PRETTY WILD – living ded</t>
  </si>
  <si>
    <t>https://youtu.be/Ol2HX_8U2i0</t>
  </si>
  <si>
    <t>Dee Monk - Samo Želim Da Znam</t>
  </si>
  <si>
    <t>Rahasia-Diati</t>
  </si>
  <si>
    <t>The Slow Readers Club – Everything I Own</t>
  </si>
  <si>
    <t>https://youtu.be/d6nk4QhgoQ8</t>
  </si>
  <si>
    <t>Rumia</t>
  </si>
  <si>
    <t>https://vimeo.com/1162896077?</t>
  </si>
  <si>
    <t>Carpentaria</t>
  </si>
  <si>
    <t>Gabrielle – 5 Fine Frøkner</t>
  </si>
  <si>
    <t>https://youtu.be/LyeSIOFHwf8</t>
  </si>
  <si>
    <t>Laibach – War</t>
  </si>
  <si>
    <t>Rehi Kaita</t>
  </si>
  <si>
    <t>https://youtu.be/jOFzTjjZcZw</t>
  </si>
  <si>
    <t>Doire</t>
  </si>
  <si>
    <t>Ciara Ní É feat. Dearg – Grá Mo Bhrionglóidí</t>
  </si>
  <si>
    <t>https://youtu.be/WQI3STcF78E</t>
  </si>
  <si>
    <t>Runes of the North – Skaði (Skadi) Fjallgyðja í Snjó</t>
  </si>
  <si>
    <t>Kordavian Islands</t>
  </si>
  <si>
    <t>https://youtu.be/vf1PcXfObZ0</t>
  </si>
  <si>
    <t>https://youtu.be/V-s9_efKjrI</t>
  </si>
  <si>
    <t>Yaponesia</t>
  </si>
  <si>
    <t>Cindy Dong – Yi Xiao Jiang Hu</t>
  </si>
  <si>
    <t>Vylkuzeme</t>
  </si>
  <si>
    <t>Jon Henrik Fjällgren – Old Paths</t>
  </si>
  <si>
    <t>https://youtu.be/KQXlH-mDVN0</t>
  </si>
  <si>
    <t>https://youtu.be/Qyl9aqujM3A</t>
  </si>
  <si>
    <t>Södermalm</t>
  </si>
  <si>
    <t>Felsmann + Tiley (feat. The Kite String Tangle) – Open Fields</t>
  </si>
  <si>
    <t>https://youtu.be/sE8-A16m_Q8</t>
  </si>
  <si>
    <t>Roxma Nova</t>
  </si>
  <si>
    <t>Sandra Afrika – Neko će mi noćas napraviti sina</t>
  </si>
  <si>
    <t>https://youtu.be/Y_TWlqBsqGs</t>
  </si>
  <si>
    <t>https://youtu.be/EDKwCvD56kw</t>
  </si>
  <si>
    <t>P.O.D. – Youth of the Nation</t>
  </si>
  <si>
    <t>Zombira</t>
  </si>
  <si>
    <t>Insomnéa</t>
  </si>
  <si>
    <t>Calypso</t>
  </si>
  <si>
    <t>https://youtu.be/UwfJx9GAx0M</t>
  </si>
  <si>
    <t>https://youtu.be/UV6oJl-7x-g</t>
  </si>
  <si>
    <t>The Haunted Youth – Emo Song</t>
  </si>
  <si>
    <t>The Butcher Sisters – White Monster</t>
  </si>
  <si>
    <t>SHĀHERI - DOKHTAR SHEKAR</t>
  </si>
  <si>
    <t>https://youtu.be/Ld6AF8RltkE</t>
  </si>
  <si>
    <t>Öösingimäed</t>
  </si>
  <si>
    <t>Grand Duchy Of Strenci</t>
  </si>
  <si>
    <t>SF 1</t>
  </si>
  <si>
    <t>SF 2</t>
  </si>
  <si>
    <t>Total</t>
  </si>
  <si>
    <t>Place</t>
  </si>
  <si>
    <t>BONUS</t>
  </si>
  <si>
    <t>FINAL</t>
  </si>
  <si>
    <t>WL</t>
  </si>
  <si>
    <t>Illumia</t>
  </si>
  <si>
    <t>Tír an Abhainn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</si>
</sst>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86"/>
      <scheme val="minor"/>
    </font>
    <font>
      <u/>
      <sz val="11"/>
      <color theme="10"/>
      <name val="Aptos Narrow"/>
      <family val="2"/>
      <charset val="186"/>
      <scheme val="minor"/>
    </font>
    <font>
      <sz val="48"/>
      <color rgb="FF00B050"/>
      <name val="Montserrat Medium"/>
      <charset val="186"/>
    </font>
    <font>
      <sz val="8"/>
      <color theme="0"/>
      <name val="Montserrat Medium"/>
      <charset val="186"/>
    </font>
    <font>
      <sz val="8"/>
      <color theme="1"/>
      <name val="Montserrat Medium"/>
      <charset val="186"/>
    </font>
    <font>
      <sz val="8"/>
      <color rgb="FFFF0000"/>
      <name val="Montserrat Medium"/>
      <charset val="186"/>
    </font>
    <font>
      <u/>
      <sz val="8"/>
      <color theme="0"/>
      <name val="Montserrat Medium"/>
      <charset val="186"/>
    </font>
    <font>
      <sz val="26"/>
      <color rgb="FF00B050"/>
      <name val="Montserrat Medium"/>
      <charset val="186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/>
    <xf numFmtId="0" fontId="3" fillId="5" borderId="0" xfId="0" applyFont="1" applyFill="1"/>
    <xf numFmtId="0" fontId="3" fillId="3" borderId="2" xfId="0" applyFont="1" applyFill="1" applyBorder="1" applyAlignment="1">
      <alignment textRotation="90"/>
    </xf>
    <xf numFmtId="0" fontId="3" fillId="3" borderId="0" xfId="0" applyFont="1" applyFill="1" applyAlignment="1">
      <alignment textRotation="90"/>
    </xf>
    <xf numFmtId="0" fontId="3" fillId="3" borderId="0" xfId="0" applyFont="1" applyFill="1" applyAlignment="1">
      <alignment horizontal="center" textRotation="90"/>
    </xf>
    <xf numFmtId="0" fontId="4" fillId="0" borderId="0" xfId="0" applyFont="1"/>
    <xf numFmtId="0" fontId="3" fillId="4" borderId="0" xfId="0" applyFont="1" applyFill="1"/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textRotation="90"/>
    </xf>
    <xf numFmtId="0" fontId="4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/>
    </xf>
    <xf numFmtId="0" fontId="3" fillId="2" borderId="0" xfId="0" applyFont="1" applyFill="1"/>
    <xf numFmtId="0" fontId="3" fillId="7" borderId="0" xfId="0" quotePrefix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" xfId="0" quotePrefix="1" applyFont="1" applyFill="1" applyBorder="1" applyAlignment="1">
      <alignment horizontal="center"/>
    </xf>
    <xf numFmtId="0" fontId="3" fillId="2" borderId="1" xfId="0" applyFont="1" applyFill="1" applyBorder="1"/>
    <xf numFmtId="0" fontId="3" fillId="7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3" fillId="3" borderId="1" xfId="0" applyFont="1" applyFill="1" applyBorder="1"/>
    <xf numFmtId="0" fontId="6" fillId="4" borderId="0" xfId="1" applyFont="1" applyFill="1"/>
    <xf numFmtId="0" fontId="6" fillId="4" borderId="1" xfId="1" applyFont="1" applyFill="1" applyBorder="1"/>
    <xf numFmtId="0" fontId="2" fillId="3" borderId="4" xfId="0" applyFont="1" applyFill="1" applyBorder="1"/>
    <xf numFmtId="0" fontId="3" fillId="4" borderId="4" xfId="0" applyFont="1" applyFill="1" applyBorder="1"/>
    <xf numFmtId="0" fontId="3" fillId="2" borderId="4" xfId="0" applyFont="1" applyFill="1" applyBorder="1"/>
    <xf numFmtId="0" fontId="3" fillId="7" borderId="5" xfId="0" quotePrefix="1" applyFont="1" applyFill="1" applyBorder="1" applyAlignment="1">
      <alignment horizontal="center"/>
    </xf>
    <xf numFmtId="0" fontId="3" fillId="2" borderId="6" xfId="0" applyFont="1" applyFill="1" applyBorder="1"/>
    <xf numFmtId="0" fontId="3" fillId="7" borderId="7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4" borderId="8" xfId="0" applyFont="1" applyFill="1" applyBorder="1"/>
    <xf numFmtId="0" fontId="7" fillId="3" borderId="4" xfId="0" applyFont="1" applyFill="1" applyBorder="1"/>
    <xf numFmtId="0" fontId="3" fillId="2" borderId="8" xfId="0" applyFont="1" applyFill="1" applyBorder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</cellXfs>
  <cellStyles count="2">
    <cellStyle name="Hipersaite" xfId="1" builtinId="8"/>
    <cellStyle name="Parasts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5FDF71"/>
      <color rgb="FF33CCCC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nRqapMkWWK0" TargetMode="External"/><Relationship Id="rId18" Type="http://schemas.openxmlformats.org/officeDocument/2006/relationships/hyperlink" Target="https://youtu.be/uIfqSTBTJXQ" TargetMode="External"/><Relationship Id="rId26" Type="http://schemas.openxmlformats.org/officeDocument/2006/relationships/hyperlink" Target="https://youtu.be/Lp2qcCrdBLA" TargetMode="External"/><Relationship Id="rId39" Type="http://schemas.openxmlformats.org/officeDocument/2006/relationships/hyperlink" Target="https://youtu.be/nHF6YGfGRM8" TargetMode="External"/><Relationship Id="rId21" Type="http://schemas.openxmlformats.org/officeDocument/2006/relationships/hyperlink" Target="https://youtu.be/52pa7rj5zrs" TargetMode="External"/><Relationship Id="rId34" Type="http://schemas.openxmlformats.org/officeDocument/2006/relationships/hyperlink" Target="https://youtu.be/lA9ARVRuSlM" TargetMode="External"/><Relationship Id="rId42" Type="http://schemas.openxmlformats.org/officeDocument/2006/relationships/hyperlink" Target="https://youtu.be/EDKwCvD56kw" TargetMode="External"/><Relationship Id="rId47" Type="http://schemas.openxmlformats.org/officeDocument/2006/relationships/hyperlink" Target="https://youtu.be/vf1PcXfObZ0" TargetMode="External"/><Relationship Id="rId50" Type="http://schemas.openxmlformats.org/officeDocument/2006/relationships/hyperlink" Target="https://youtu.be/Qyl9aqujM3A" TargetMode="External"/><Relationship Id="rId55" Type="http://schemas.openxmlformats.org/officeDocument/2006/relationships/hyperlink" Target="https://youtu.be/Ld6AF8RltkE" TargetMode="External"/><Relationship Id="rId7" Type="http://schemas.openxmlformats.org/officeDocument/2006/relationships/hyperlink" Target="https://youtu.be/E_q8eyjJ4Sc" TargetMode="External"/><Relationship Id="rId2" Type="http://schemas.openxmlformats.org/officeDocument/2006/relationships/hyperlink" Target="https://youtu.be/W_3gJvRcO9w" TargetMode="External"/><Relationship Id="rId16" Type="http://schemas.openxmlformats.org/officeDocument/2006/relationships/hyperlink" Target="https://youtu.be/9kBpbQDZdbQ" TargetMode="External"/><Relationship Id="rId29" Type="http://schemas.openxmlformats.org/officeDocument/2006/relationships/hyperlink" Target="https://youtu.be/-SmQbkLqZZU" TargetMode="External"/><Relationship Id="rId11" Type="http://schemas.openxmlformats.org/officeDocument/2006/relationships/hyperlink" Target="https://youtu.be/NYG8Trirj6c" TargetMode="External"/><Relationship Id="rId24" Type="http://schemas.openxmlformats.org/officeDocument/2006/relationships/hyperlink" Target="https://youtu.be/Xl4J5W9RsW0" TargetMode="External"/><Relationship Id="rId32" Type="http://schemas.openxmlformats.org/officeDocument/2006/relationships/hyperlink" Target="https://youtu.be/zvhD798bas8" TargetMode="External"/><Relationship Id="rId37" Type="http://schemas.openxmlformats.org/officeDocument/2006/relationships/hyperlink" Target="https://youtu.be/Ijyx_wFnWWg" TargetMode="External"/><Relationship Id="rId40" Type="http://schemas.openxmlformats.org/officeDocument/2006/relationships/hyperlink" Target="https://youtu.be/Ol2HX_8U2i0" TargetMode="External"/><Relationship Id="rId45" Type="http://schemas.openxmlformats.org/officeDocument/2006/relationships/hyperlink" Target="https://youtu.be/jOFzTjjZcZw" TargetMode="External"/><Relationship Id="rId53" Type="http://schemas.openxmlformats.org/officeDocument/2006/relationships/hyperlink" Target="https://youtu.be/UwfJx9GAx0M" TargetMode="External"/><Relationship Id="rId5" Type="http://schemas.openxmlformats.org/officeDocument/2006/relationships/hyperlink" Target="https://youtu.be/LZdoN6HHcaE" TargetMode="External"/><Relationship Id="rId10" Type="http://schemas.openxmlformats.org/officeDocument/2006/relationships/hyperlink" Target="https://youtu.be/Pb6dsswSTc0" TargetMode="External"/><Relationship Id="rId19" Type="http://schemas.openxmlformats.org/officeDocument/2006/relationships/hyperlink" Target="https://youtu.be/hLob10JpibM" TargetMode="External"/><Relationship Id="rId31" Type="http://schemas.openxmlformats.org/officeDocument/2006/relationships/hyperlink" Target="https://youtu.be/yxEa7p_8TL0" TargetMode="External"/><Relationship Id="rId44" Type="http://schemas.openxmlformats.org/officeDocument/2006/relationships/hyperlink" Target="https://youtu.be/LyeSIOFHwf8" TargetMode="External"/><Relationship Id="rId52" Type="http://schemas.openxmlformats.org/officeDocument/2006/relationships/hyperlink" Target="https://youtu.be/Y_TWlqBsqGs" TargetMode="External"/><Relationship Id="rId4" Type="http://schemas.openxmlformats.org/officeDocument/2006/relationships/hyperlink" Target="https://youtu.be/N1LQZHiPZ7g" TargetMode="External"/><Relationship Id="rId9" Type="http://schemas.openxmlformats.org/officeDocument/2006/relationships/hyperlink" Target="https://youtu.be/BQc97moyQBg" TargetMode="External"/><Relationship Id="rId14" Type="http://schemas.openxmlformats.org/officeDocument/2006/relationships/hyperlink" Target="https://youtu.be/EWJXuutc4Mw" TargetMode="External"/><Relationship Id="rId22" Type="http://schemas.openxmlformats.org/officeDocument/2006/relationships/hyperlink" Target="https://youtu.be/WRLmbULWDhY" TargetMode="External"/><Relationship Id="rId27" Type="http://schemas.openxmlformats.org/officeDocument/2006/relationships/hyperlink" Target="https://youtu.be/C9lyKkFV4BQ" TargetMode="External"/><Relationship Id="rId30" Type="http://schemas.openxmlformats.org/officeDocument/2006/relationships/hyperlink" Target="https://youtu.be/R-L477kx8LA" TargetMode="External"/><Relationship Id="rId35" Type="http://schemas.openxmlformats.org/officeDocument/2006/relationships/hyperlink" Target="https://youtu.be/h2kUX_Fmj7k" TargetMode="External"/><Relationship Id="rId43" Type="http://schemas.openxmlformats.org/officeDocument/2006/relationships/hyperlink" Target="https://vimeo.com/1162896077?" TargetMode="External"/><Relationship Id="rId48" Type="http://schemas.openxmlformats.org/officeDocument/2006/relationships/hyperlink" Target="https://youtu.be/V-s9_efKjrI" TargetMode="External"/><Relationship Id="rId8" Type="http://schemas.openxmlformats.org/officeDocument/2006/relationships/hyperlink" Target="https://youtu.be/qJauz81G5Ns" TargetMode="External"/><Relationship Id="rId51" Type="http://schemas.openxmlformats.org/officeDocument/2006/relationships/hyperlink" Target="https://youtu.be/sE8-A16m_Q8" TargetMode="External"/><Relationship Id="rId3" Type="http://schemas.openxmlformats.org/officeDocument/2006/relationships/hyperlink" Target="https://youtu.be/JL-b1cfFwLU" TargetMode="External"/><Relationship Id="rId12" Type="http://schemas.openxmlformats.org/officeDocument/2006/relationships/hyperlink" Target="https://youtu.be/9hWa9w0njxE" TargetMode="External"/><Relationship Id="rId17" Type="http://schemas.openxmlformats.org/officeDocument/2006/relationships/hyperlink" Target="https://youtu.be/SWyE6l_uQ60" TargetMode="External"/><Relationship Id="rId25" Type="http://schemas.openxmlformats.org/officeDocument/2006/relationships/hyperlink" Target="https://youtu.be/yZ8HG7W7rlQ" TargetMode="External"/><Relationship Id="rId33" Type="http://schemas.openxmlformats.org/officeDocument/2006/relationships/hyperlink" Target="https://youtu.be/-cI21KKPBT8" TargetMode="External"/><Relationship Id="rId38" Type="http://schemas.openxmlformats.org/officeDocument/2006/relationships/hyperlink" Target="https://youtu.be/WaFBtmhxnK0" TargetMode="External"/><Relationship Id="rId46" Type="http://schemas.openxmlformats.org/officeDocument/2006/relationships/hyperlink" Target="https://youtu.be/WQI3STcF78E" TargetMode="External"/><Relationship Id="rId20" Type="http://schemas.openxmlformats.org/officeDocument/2006/relationships/hyperlink" Target="https://youtu.be/d6Olcb-Tl58" TargetMode="External"/><Relationship Id="rId41" Type="http://schemas.openxmlformats.org/officeDocument/2006/relationships/hyperlink" Target="https://youtu.be/d6nk4QhgoQ8" TargetMode="External"/><Relationship Id="rId54" Type="http://schemas.openxmlformats.org/officeDocument/2006/relationships/hyperlink" Target="https://youtu.be/UV6oJl-7x-g" TargetMode="External"/><Relationship Id="rId1" Type="http://schemas.openxmlformats.org/officeDocument/2006/relationships/hyperlink" Target="https://youtu.be/6c6IsD84Jls" TargetMode="External"/><Relationship Id="rId6" Type="http://schemas.openxmlformats.org/officeDocument/2006/relationships/hyperlink" Target="https://youtu.be/PqrYjMl4Ogs" TargetMode="External"/><Relationship Id="rId15" Type="http://schemas.openxmlformats.org/officeDocument/2006/relationships/hyperlink" Target="https://youtu.be/NLbpVt1CccQ" TargetMode="External"/><Relationship Id="rId23" Type="http://schemas.openxmlformats.org/officeDocument/2006/relationships/hyperlink" Target="https://youtu.be/7CmOyZqZ8gI" TargetMode="External"/><Relationship Id="rId28" Type="http://schemas.openxmlformats.org/officeDocument/2006/relationships/hyperlink" Target="https://youtu.be/VZZ7lb9AM1Y" TargetMode="External"/><Relationship Id="rId36" Type="http://schemas.openxmlformats.org/officeDocument/2006/relationships/hyperlink" Target="https://youtu.be/1IK_SoJ2ejc" TargetMode="External"/><Relationship Id="rId49" Type="http://schemas.openxmlformats.org/officeDocument/2006/relationships/hyperlink" Target="https://youtu.be/KQXlH-mDVN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60D7-A15E-4138-82C8-120475948A57}">
  <sheetPr>
    <tabColor rgb="FF5FDF71"/>
  </sheetPr>
  <dimension ref="A1:D56"/>
  <sheetViews>
    <sheetView tabSelected="1" workbookViewId="0"/>
  </sheetViews>
  <sheetFormatPr defaultRowHeight="14.4" x14ac:dyDescent="0.3"/>
  <cols>
    <col min="1" max="1" width="3.44140625" style="1" bestFit="1" customWidth="1"/>
    <col min="2" max="2" width="21.88671875" bestFit="1" customWidth="1"/>
    <col min="3" max="3" width="58.109375" bestFit="1" customWidth="1"/>
    <col min="4" max="4" width="26.6640625" bestFit="1" customWidth="1"/>
    <col min="10" max="10" width="8.88671875" customWidth="1"/>
  </cols>
  <sheetData>
    <row r="1" spans="1:4" ht="13.2" customHeight="1" x14ac:dyDescent="0.4">
      <c r="A1" s="26" t="s">
        <v>3</v>
      </c>
      <c r="B1" s="35" t="s">
        <v>0</v>
      </c>
      <c r="C1" s="35" t="s">
        <v>77</v>
      </c>
      <c r="D1" s="35" t="s">
        <v>5</v>
      </c>
    </row>
    <row r="2" spans="1:4" ht="13.2" customHeight="1" x14ac:dyDescent="0.4">
      <c r="A2" s="29" t="s">
        <v>4</v>
      </c>
      <c r="B2" s="8" t="s">
        <v>2</v>
      </c>
      <c r="C2" s="8" t="s">
        <v>1</v>
      </c>
      <c r="D2" s="36" t="s">
        <v>10</v>
      </c>
    </row>
    <row r="3" spans="1:4" ht="13.2" customHeight="1" x14ac:dyDescent="0.4">
      <c r="A3" s="29" t="s">
        <v>9</v>
      </c>
      <c r="B3" s="8" t="s">
        <v>8</v>
      </c>
      <c r="C3" s="8" t="s">
        <v>6</v>
      </c>
      <c r="D3" s="36" t="s">
        <v>7</v>
      </c>
    </row>
    <row r="4" spans="1:4" ht="13.2" customHeight="1" x14ac:dyDescent="0.4">
      <c r="A4" s="29" t="s">
        <v>11</v>
      </c>
      <c r="B4" s="8" t="s">
        <v>12</v>
      </c>
      <c r="C4" s="8" t="s">
        <v>13</v>
      </c>
      <c r="D4" s="36" t="s">
        <v>14</v>
      </c>
    </row>
    <row r="5" spans="1:4" ht="13.2" customHeight="1" x14ac:dyDescent="0.4">
      <c r="A5" s="29" t="s">
        <v>16</v>
      </c>
      <c r="B5" s="8" t="s">
        <v>15</v>
      </c>
      <c r="C5" s="8" t="s">
        <v>17</v>
      </c>
      <c r="D5" s="36" t="s">
        <v>18</v>
      </c>
    </row>
    <row r="6" spans="1:4" ht="13.2" customHeight="1" x14ac:dyDescent="0.4">
      <c r="A6" s="29" t="s">
        <v>19</v>
      </c>
      <c r="B6" s="8" t="s">
        <v>20</v>
      </c>
      <c r="C6" s="8" t="s">
        <v>21</v>
      </c>
      <c r="D6" s="36" t="s">
        <v>22</v>
      </c>
    </row>
    <row r="7" spans="1:4" ht="13.2" customHeight="1" x14ac:dyDescent="0.4">
      <c r="A7" s="29" t="s">
        <v>23</v>
      </c>
      <c r="B7" s="8" t="s">
        <v>26</v>
      </c>
      <c r="C7" s="8" t="s">
        <v>25</v>
      </c>
      <c r="D7" s="36" t="s">
        <v>24</v>
      </c>
    </row>
    <row r="8" spans="1:4" ht="13.2" customHeight="1" x14ac:dyDescent="0.4">
      <c r="A8" s="29" t="s">
        <v>27</v>
      </c>
      <c r="B8" s="8" t="s">
        <v>28</v>
      </c>
      <c r="C8" s="8" t="s">
        <v>30</v>
      </c>
      <c r="D8" s="36" t="s">
        <v>29</v>
      </c>
    </row>
    <row r="9" spans="1:4" ht="13.2" customHeight="1" x14ac:dyDescent="0.4">
      <c r="A9" s="29" t="s">
        <v>31</v>
      </c>
      <c r="B9" s="8" t="s">
        <v>33</v>
      </c>
      <c r="C9" s="8" t="s">
        <v>32</v>
      </c>
      <c r="D9" s="36" t="s">
        <v>34</v>
      </c>
    </row>
    <row r="10" spans="1:4" ht="13.2" customHeight="1" x14ac:dyDescent="0.4">
      <c r="A10" s="29" t="s">
        <v>35</v>
      </c>
      <c r="B10" s="8" t="s">
        <v>38</v>
      </c>
      <c r="C10" s="8" t="s">
        <v>36</v>
      </c>
      <c r="D10" s="36" t="s">
        <v>37</v>
      </c>
    </row>
    <row r="11" spans="1:4" ht="13.2" customHeight="1" x14ac:dyDescent="0.4">
      <c r="A11" s="30" t="s">
        <v>39</v>
      </c>
      <c r="B11" s="8" t="s">
        <v>40</v>
      </c>
      <c r="C11" s="8" t="s">
        <v>41</v>
      </c>
      <c r="D11" s="36" t="s">
        <v>42</v>
      </c>
    </row>
    <row r="12" spans="1:4" ht="13.2" customHeight="1" x14ac:dyDescent="0.4">
      <c r="A12" s="30">
        <v>11</v>
      </c>
      <c r="B12" s="8" t="s">
        <v>43</v>
      </c>
      <c r="C12" s="8" t="s">
        <v>44</v>
      </c>
      <c r="D12" s="36" t="s">
        <v>45</v>
      </c>
    </row>
    <row r="13" spans="1:4" ht="13.2" customHeight="1" x14ac:dyDescent="0.4">
      <c r="A13" s="30">
        <v>12</v>
      </c>
      <c r="B13" s="8" t="s">
        <v>47</v>
      </c>
      <c r="C13" s="8" t="s">
        <v>46</v>
      </c>
      <c r="D13" s="36" t="s">
        <v>48</v>
      </c>
    </row>
    <row r="14" spans="1:4" ht="13.2" customHeight="1" x14ac:dyDescent="0.4">
      <c r="A14" s="30">
        <v>13</v>
      </c>
      <c r="B14" s="8" t="s">
        <v>49</v>
      </c>
      <c r="C14" s="8" t="s">
        <v>50</v>
      </c>
      <c r="D14" s="36" t="s">
        <v>51</v>
      </c>
    </row>
    <row r="15" spans="1:4" ht="13.2" customHeight="1" x14ac:dyDescent="0.4">
      <c r="A15" s="30">
        <v>14</v>
      </c>
      <c r="B15" s="8" t="s">
        <v>52</v>
      </c>
      <c r="C15" s="8" t="s">
        <v>54</v>
      </c>
      <c r="D15" s="36" t="s">
        <v>53</v>
      </c>
    </row>
    <row r="16" spans="1:4" ht="13.2" customHeight="1" x14ac:dyDescent="0.4">
      <c r="A16" s="30">
        <v>15</v>
      </c>
      <c r="B16" s="8" t="s">
        <v>55</v>
      </c>
      <c r="C16" s="8" t="s">
        <v>56</v>
      </c>
      <c r="D16" s="36" t="s">
        <v>57</v>
      </c>
    </row>
    <row r="17" spans="1:4" ht="13.2" customHeight="1" x14ac:dyDescent="0.4">
      <c r="A17" s="30">
        <v>16</v>
      </c>
      <c r="B17" s="8" t="s">
        <v>58</v>
      </c>
      <c r="C17" s="8" t="s">
        <v>59</v>
      </c>
      <c r="D17" s="36" t="s">
        <v>60</v>
      </c>
    </row>
    <row r="18" spans="1:4" ht="13.2" customHeight="1" x14ac:dyDescent="0.4">
      <c r="A18" s="30">
        <v>17</v>
      </c>
      <c r="B18" s="8" t="s">
        <v>62</v>
      </c>
      <c r="C18" s="8" t="s">
        <v>73</v>
      </c>
      <c r="D18" s="36" t="s">
        <v>61</v>
      </c>
    </row>
    <row r="19" spans="1:4" ht="13.2" customHeight="1" x14ac:dyDescent="0.4">
      <c r="A19" s="30">
        <v>18</v>
      </c>
      <c r="B19" s="8" t="s">
        <v>65</v>
      </c>
      <c r="C19" s="8" t="s">
        <v>63</v>
      </c>
      <c r="D19" s="36" t="s">
        <v>64</v>
      </c>
    </row>
    <row r="20" spans="1:4" ht="13.2" customHeight="1" x14ac:dyDescent="0.4">
      <c r="A20" s="30">
        <v>19</v>
      </c>
      <c r="B20" s="8" t="s">
        <v>66</v>
      </c>
      <c r="C20" s="8" t="s">
        <v>68</v>
      </c>
      <c r="D20" s="36" t="s">
        <v>67</v>
      </c>
    </row>
    <row r="21" spans="1:4" ht="13.2" customHeight="1" x14ac:dyDescent="0.4">
      <c r="A21" s="30">
        <v>20</v>
      </c>
      <c r="B21" s="8" t="s">
        <v>69</v>
      </c>
      <c r="C21" s="8" t="s">
        <v>72</v>
      </c>
      <c r="D21" s="36" t="s">
        <v>71</v>
      </c>
    </row>
    <row r="22" spans="1:4" ht="13.2" customHeight="1" x14ac:dyDescent="0.4">
      <c r="A22" s="30">
        <v>21</v>
      </c>
      <c r="B22" s="8" t="s">
        <v>70</v>
      </c>
      <c r="C22" s="8" t="s">
        <v>80</v>
      </c>
      <c r="D22" s="36" t="s">
        <v>74</v>
      </c>
    </row>
    <row r="23" spans="1:4" ht="13.2" customHeight="1" x14ac:dyDescent="0.4">
      <c r="A23" s="30">
        <v>22</v>
      </c>
      <c r="B23" s="8" t="s">
        <v>76</v>
      </c>
      <c r="C23" s="8" t="s">
        <v>75</v>
      </c>
      <c r="D23" s="36" t="s">
        <v>143</v>
      </c>
    </row>
    <row r="24" spans="1:4" ht="13.2" customHeight="1" x14ac:dyDescent="0.4">
      <c r="A24" s="30">
        <v>23</v>
      </c>
      <c r="B24" s="8" t="s">
        <v>78</v>
      </c>
      <c r="C24" s="8" t="s">
        <v>79</v>
      </c>
      <c r="D24" s="36" t="s">
        <v>81</v>
      </c>
    </row>
    <row r="25" spans="1:4" ht="13.2" customHeight="1" x14ac:dyDescent="0.4">
      <c r="A25" s="30">
        <v>24</v>
      </c>
      <c r="B25" s="8" t="s">
        <v>83</v>
      </c>
      <c r="C25" s="8" t="s">
        <v>82</v>
      </c>
      <c r="D25" s="36" t="s">
        <v>84</v>
      </c>
    </row>
    <row r="26" spans="1:4" ht="13.2" customHeight="1" x14ac:dyDescent="0.4">
      <c r="A26" s="30">
        <v>25</v>
      </c>
      <c r="B26" s="8" t="s">
        <v>85</v>
      </c>
      <c r="C26" s="8" t="s">
        <v>86</v>
      </c>
      <c r="D26" s="36" t="s">
        <v>87</v>
      </c>
    </row>
    <row r="27" spans="1:4" ht="13.2" customHeight="1" x14ac:dyDescent="0.4">
      <c r="A27" s="30">
        <v>26</v>
      </c>
      <c r="B27" s="8" t="s">
        <v>89</v>
      </c>
      <c r="C27" s="8" t="s">
        <v>90</v>
      </c>
      <c r="D27" s="36" t="s">
        <v>88</v>
      </c>
    </row>
    <row r="28" spans="1:4" ht="13.2" customHeight="1" x14ac:dyDescent="0.4">
      <c r="A28" s="30">
        <v>27</v>
      </c>
      <c r="B28" s="8" t="s">
        <v>91</v>
      </c>
      <c r="C28" s="8" t="s">
        <v>92</v>
      </c>
      <c r="D28" s="36" t="s">
        <v>93</v>
      </c>
    </row>
    <row r="29" spans="1:4" ht="13.2" customHeight="1" x14ac:dyDescent="0.4">
      <c r="A29" s="30">
        <v>28</v>
      </c>
      <c r="B29" s="8" t="s">
        <v>98</v>
      </c>
      <c r="C29" s="8" t="s">
        <v>99</v>
      </c>
      <c r="D29" s="36" t="s">
        <v>100</v>
      </c>
    </row>
    <row r="30" spans="1:4" ht="13.2" customHeight="1" x14ac:dyDescent="0.4">
      <c r="A30" s="30">
        <v>29</v>
      </c>
      <c r="B30" s="8" t="s">
        <v>101</v>
      </c>
      <c r="C30" s="8" t="s">
        <v>103</v>
      </c>
      <c r="D30" s="36" t="s">
        <v>102</v>
      </c>
    </row>
    <row r="31" spans="1:4" ht="13.2" customHeight="1" x14ac:dyDescent="0.4">
      <c r="A31" s="30">
        <v>30</v>
      </c>
      <c r="B31" s="8" t="s">
        <v>105</v>
      </c>
      <c r="C31" s="8" t="s">
        <v>104</v>
      </c>
      <c r="D31" s="36" t="s">
        <v>106</v>
      </c>
    </row>
    <row r="32" spans="1:4" ht="13.2" customHeight="1" x14ac:dyDescent="0.4">
      <c r="A32" s="30">
        <v>31</v>
      </c>
      <c r="B32" s="8" t="s">
        <v>107</v>
      </c>
      <c r="C32" s="8" t="s">
        <v>108</v>
      </c>
      <c r="D32" s="36" t="s">
        <v>109</v>
      </c>
    </row>
    <row r="33" spans="1:4" ht="13.2" customHeight="1" x14ac:dyDescent="0.4">
      <c r="A33" s="30">
        <v>32</v>
      </c>
      <c r="B33" s="8" t="s">
        <v>110</v>
      </c>
      <c r="C33" s="8" t="s">
        <v>111</v>
      </c>
      <c r="D33" s="36" t="s">
        <v>117</v>
      </c>
    </row>
    <row r="34" spans="1:4" ht="13.2" customHeight="1" x14ac:dyDescent="0.4">
      <c r="A34" s="30">
        <v>33</v>
      </c>
      <c r="B34" s="8" t="s">
        <v>112</v>
      </c>
      <c r="C34" s="8" t="s">
        <v>114</v>
      </c>
      <c r="D34" s="36" t="s">
        <v>115</v>
      </c>
    </row>
    <row r="35" spans="1:4" ht="13.2" customHeight="1" x14ac:dyDescent="0.4">
      <c r="A35" s="30">
        <v>34</v>
      </c>
      <c r="B35" s="8" t="s">
        <v>113</v>
      </c>
      <c r="C35" s="8" t="s">
        <v>138</v>
      </c>
      <c r="D35" s="36" t="s">
        <v>165</v>
      </c>
    </row>
    <row r="36" spans="1:4" ht="13.2" customHeight="1" x14ac:dyDescent="0.4">
      <c r="A36" s="30">
        <v>35</v>
      </c>
      <c r="B36" s="8" t="s">
        <v>116</v>
      </c>
      <c r="C36" s="8" t="s">
        <v>118</v>
      </c>
      <c r="D36" s="36" t="s">
        <v>119</v>
      </c>
    </row>
    <row r="37" spans="1:4" ht="13.2" customHeight="1" x14ac:dyDescent="0.4">
      <c r="A37" s="30">
        <v>36</v>
      </c>
      <c r="B37" s="8" t="s">
        <v>120</v>
      </c>
      <c r="C37" s="8" t="s">
        <v>123</v>
      </c>
      <c r="D37" s="36" t="s">
        <v>121</v>
      </c>
    </row>
    <row r="38" spans="1:4" ht="13.2" customHeight="1" x14ac:dyDescent="0.4">
      <c r="A38" s="30">
        <v>37</v>
      </c>
      <c r="B38" s="8" t="s">
        <v>122</v>
      </c>
      <c r="C38" s="8" t="s">
        <v>124</v>
      </c>
      <c r="D38" s="36" t="s">
        <v>125</v>
      </c>
    </row>
    <row r="39" spans="1:4" ht="13.2" customHeight="1" x14ac:dyDescent="0.4">
      <c r="A39" s="30">
        <v>38</v>
      </c>
      <c r="B39" s="8" t="s">
        <v>127</v>
      </c>
      <c r="C39" s="8" t="s">
        <v>128</v>
      </c>
      <c r="D39" s="36" t="s">
        <v>126</v>
      </c>
    </row>
    <row r="40" spans="1:4" ht="13.2" customHeight="1" x14ac:dyDescent="0.4">
      <c r="A40" s="30">
        <v>39</v>
      </c>
      <c r="B40" s="8" t="s">
        <v>130</v>
      </c>
      <c r="C40" s="8" t="s">
        <v>129</v>
      </c>
      <c r="D40" s="36" t="s">
        <v>131</v>
      </c>
    </row>
    <row r="41" spans="1:4" ht="13.2" customHeight="1" x14ac:dyDescent="0.4">
      <c r="A41" s="30">
        <v>40</v>
      </c>
      <c r="B41" s="8" t="s">
        <v>133</v>
      </c>
      <c r="C41" s="8" t="s">
        <v>136</v>
      </c>
      <c r="D41" s="36" t="s">
        <v>132</v>
      </c>
    </row>
    <row r="42" spans="1:4" ht="13.2" customHeight="1" x14ac:dyDescent="0.4">
      <c r="A42" s="30">
        <v>41</v>
      </c>
      <c r="B42" s="8" t="s">
        <v>134</v>
      </c>
      <c r="C42" s="8" t="s">
        <v>135</v>
      </c>
      <c r="D42" s="36" t="s">
        <v>137</v>
      </c>
    </row>
    <row r="43" spans="1:4" ht="13.2" customHeight="1" x14ac:dyDescent="0.4">
      <c r="A43" s="30">
        <v>42</v>
      </c>
      <c r="B43" s="8" t="s">
        <v>139</v>
      </c>
      <c r="C43" s="8" t="s">
        <v>140</v>
      </c>
      <c r="D43" s="36" t="s">
        <v>141</v>
      </c>
    </row>
    <row r="44" spans="1:4" ht="13.2" customHeight="1" x14ac:dyDescent="0.4">
      <c r="A44" s="30">
        <v>43</v>
      </c>
      <c r="B44" s="8" t="s">
        <v>142</v>
      </c>
      <c r="C44" s="8" t="s">
        <v>170</v>
      </c>
      <c r="D44" s="36" t="s">
        <v>169</v>
      </c>
    </row>
    <row r="45" spans="1:4" ht="13.2" customHeight="1" x14ac:dyDescent="0.4">
      <c r="A45" s="30">
        <v>44</v>
      </c>
      <c r="B45" s="8" t="s">
        <v>144</v>
      </c>
      <c r="C45" s="8" t="s">
        <v>145</v>
      </c>
      <c r="D45" s="36" t="s">
        <v>146</v>
      </c>
    </row>
    <row r="46" spans="1:4" ht="13.2" customHeight="1" x14ac:dyDescent="0.4">
      <c r="A46" s="30">
        <v>45</v>
      </c>
      <c r="B46" s="8" t="s">
        <v>148</v>
      </c>
      <c r="C46" s="8" t="s">
        <v>147</v>
      </c>
      <c r="D46" s="36" t="s">
        <v>149</v>
      </c>
    </row>
    <row r="47" spans="1:4" ht="13.2" customHeight="1" x14ac:dyDescent="0.4">
      <c r="A47" s="30">
        <v>46</v>
      </c>
      <c r="B47" s="8" t="s">
        <v>150</v>
      </c>
      <c r="C47" s="8" t="s">
        <v>151</v>
      </c>
      <c r="D47" s="36" t="s">
        <v>152</v>
      </c>
    </row>
    <row r="48" spans="1:4" ht="13.2" customHeight="1" x14ac:dyDescent="0.4">
      <c r="A48" s="30">
        <v>47</v>
      </c>
      <c r="B48" s="8" t="s">
        <v>154</v>
      </c>
      <c r="C48" s="8" t="s">
        <v>153</v>
      </c>
      <c r="D48" s="36" t="s">
        <v>155</v>
      </c>
    </row>
    <row r="49" spans="1:4" ht="13.2" customHeight="1" x14ac:dyDescent="0.4">
      <c r="A49" s="30">
        <v>48</v>
      </c>
      <c r="B49" s="8" t="s">
        <v>157</v>
      </c>
      <c r="C49" s="8" t="s">
        <v>158</v>
      </c>
      <c r="D49" s="36" t="s">
        <v>156</v>
      </c>
    </row>
    <row r="50" spans="1:4" ht="13.2" customHeight="1" x14ac:dyDescent="0.4">
      <c r="A50" s="30">
        <v>49</v>
      </c>
      <c r="B50" s="8" t="s">
        <v>159</v>
      </c>
      <c r="C50" s="8" t="s">
        <v>160</v>
      </c>
      <c r="D50" s="36" t="s">
        <v>161</v>
      </c>
    </row>
    <row r="51" spans="1:4" ht="13.2" customHeight="1" x14ac:dyDescent="0.4">
      <c r="A51" s="30">
        <v>50</v>
      </c>
      <c r="B51" s="8" t="s">
        <v>163</v>
      </c>
      <c r="C51" s="8" t="s">
        <v>164</v>
      </c>
      <c r="D51" s="36" t="s">
        <v>162</v>
      </c>
    </row>
    <row r="52" spans="1:4" ht="13.2" customHeight="1" x14ac:dyDescent="0.4">
      <c r="A52" s="30">
        <v>51</v>
      </c>
      <c r="B52" s="8" t="s">
        <v>171</v>
      </c>
      <c r="C52" s="8" t="s">
        <v>177</v>
      </c>
      <c r="D52" s="36" t="s">
        <v>174</v>
      </c>
    </row>
    <row r="53" spans="1:4" ht="13.2" customHeight="1" x14ac:dyDescent="0.4">
      <c r="A53" s="30">
        <v>52</v>
      </c>
      <c r="B53" s="8" t="s">
        <v>172</v>
      </c>
      <c r="C53" s="8" t="s">
        <v>176</v>
      </c>
      <c r="D53" s="36" t="s">
        <v>175</v>
      </c>
    </row>
    <row r="54" spans="1:4" ht="13.2" customHeight="1" x14ac:dyDescent="0.4">
      <c r="A54" s="30">
        <v>53</v>
      </c>
      <c r="B54" s="8" t="s">
        <v>173</v>
      </c>
      <c r="C54" s="8" t="s">
        <v>178</v>
      </c>
      <c r="D54" s="36" t="s">
        <v>179</v>
      </c>
    </row>
    <row r="55" spans="1:4" ht="13.2" customHeight="1" x14ac:dyDescent="0.4">
      <c r="A55" s="33">
        <v>54</v>
      </c>
      <c r="B55" s="14" t="s">
        <v>166</v>
      </c>
      <c r="C55" s="14" t="s">
        <v>167</v>
      </c>
      <c r="D55" s="37" t="s">
        <v>168</v>
      </c>
    </row>
    <row r="56" spans="1:4" ht="13.2" customHeight="1" x14ac:dyDescent="0.4">
      <c r="A56" s="30" t="s">
        <v>95</v>
      </c>
      <c r="B56" s="8" t="s">
        <v>94</v>
      </c>
      <c r="C56" s="8" t="s">
        <v>96</v>
      </c>
      <c r="D56" s="36" t="s">
        <v>97</v>
      </c>
    </row>
  </sheetData>
  <sortState xmlns:xlrd2="http://schemas.microsoft.com/office/spreadsheetml/2017/richdata2" ref="J2:J31">
    <sortCondition ref="J2:J31"/>
  </sortState>
  <hyperlinks>
    <hyperlink ref="D2" r:id="rId1" xr:uid="{67F3CEAD-B7E8-4F10-8D44-40B17AABB21B}"/>
    <hyperlink ref="D3" r:id="rId2" xr:uid="{393E2ACC-400E-466C-85AA-EE5955D634AF}"/>
    <hyperlink ref="D4" r:id="rId3" xr:uid="{C999779F-2E96-4506-91B3-1DC97A305665}"/>
    <hyperlink ref="D5" r:id="rId4" xr:uid="{EC8B294A-8CDE-4D52-ADCA-616BF4104E6F}"/>
    <hyperlink ref="D6" r:id="rId5" xr:uid="{61D5BE06-0B65-4CC0-B798-B0D3E5441C5A}"/>
    <hyperlink ref="D7" r:id="rId6" xr:uid="{0940F3B4-10E7-45B9-89D8-390EFD75E736}"/>
    <hyperlink ref="D8" r:id="rId7" xr:uid="{20ECDC40-D6EE-4284-9F28-E43F2D81546A}"/>
    <hyperlink ref="D9" r:id="rId8" xr:uid="{23458A03-1D22-4BE6-BC46-A6964ECAF760}"/>
    <hyperlink ref="D10" r:id="rId9" xr:uid="{802BF01E-89A9-4916-8619-5150124A914D}"/>
    <hyperlink ref="D11" r:id="rId10" xr:uid="{011B4B5A-6B08-4921-909B-D76EC2F170DB}"/>
    <hyperlink ref="D12" r:id="rId11" xr:uid="{4DFA8631-4578-4DC2-99E3-2B2AB9A43807}"/>
    <hyperlink ref="D13" r:id="rId12" xr:uid="{9655B889-B231-43C6-94AA-9D4A4064ECDC}"/>
    <hyperlink ref="D14" r:id="rId13" xr:uid="{1FDC2D14-6CEE-4235-9468-B3EAE5F23F12}"/>
    <hyperlink ref="D15" r:id="rId14" xr:uid="{3AB3C2D1-DCE8-4446-9C6E-5E415BE0DAA9}"/>
    <hyperlink ref="D16" r:id="rId15" xr:uid="{1055A9B2-C4F6-46DD-818D-B1376B607C2D}"/>
    <hyperlink ref="D17" r:id="rId16" xr:uid="{2DCB7990-B1C5-4808-A365-405A2D6DA763}"/>
    <hyperlink ref="D18" r:id="rId17" xr:uid="{8CB3645C-6798-40C8-8062-6A00DC3597EC}"/>
    <hyperlink ref="D19" r:id="rId18" xr:uid="{A2876B75-E6CA-4755-BC2E-B46E65DC06A4}"/>
    <hyperlink ref="D20" r:id="rId19" xr:uid="{BD9B1F25-63F3-4904-989E-098892007F22}"/>
    <hyperlink ref="D21" r:id="rId20" xr:uid="{9266BECE-446F-4310-8F4B-639D738CEAFA}"/>
    <hyperlink ref="D22" r:id="rId21" xr:uid="{7C33F19D-D035-47AE-AB43-9FD78EFE169E}"/>
    <hyperlink ref="D24" r:id="rId22" xr:uid="{DC89F6A4-6AB0-4C31-ACB4-3E47BEB6C7C3}"/>
    <hyperlink ref="D25" r:id="rId23" xr:uid="{4D81796F-E4F5-4846-B566-2AB333B2ADE6}"/>
    <hyperlink ref="D26" r:id="rId24" xr:uid="{DED5E4FD-3C6B-4671-A820-D950CCD77159}"/>
    <hyperlink ref="D27" r:id="rId25" xr:uid="{001AF9FA-98BF-4EA5-BA63-DE3E80CFE6F0}"/>
    <hyperlink ref="D28" r:id="rId26" xr:uid="{50C3CEAE-3F88-4BDE-8B1D-478D9362A4AC}"/>
    <hyperlink ref="D56" r:id="rId27" xr:uid="{21037568-8153-476C-B640-B0E20C0E9F33}"/>
    <hyperlink ref="D29" r:id="rId28" xr:uid="{E92C308E-FD9C-4B69-8B1F-46B25468E397}"/>
    <hyperlink ref="D30" r:id="rId29" xr:uid="{D6D15616-0DEC-4D5D-91E2-9F0F16E2EC1F}"/>
    <hyperlink ref="D31" r:id="rId30" xr:uid="{B570C2EA-3AC4-416F-91DA-FA33356B2031}"/>
    <hyperlink ref="D32" r:id="rId31" xr:uid="{1F10033A-CE73-469E-900A-FBEB7C75F1F9}"/>
    <hyperlink ref="D34" r:id="rId32" xr:uid="{57A69874-E1AF-43C8-87B3-349AD4AD4224}"/>
    <hyperlink ref="D33" r:id="rId33" xr:uid="{5429036B-B81D-4C2C-8BAD-2B9AF2AB4ADB}"/>
    <hyperlink ref="D36" r:id="rId34" xr:uid="{642E929D-5A45-424C-A14D-02EAD3964D82}"/>
    <hyperlink ref="D37" r:id="rId35" xr:uid="{63ABDB60-F6DD-4D7B-8E87-BCB1816A11A2}"/>
    <hyperlink ref="D38" r:id="rId36" xr:uid="{A8AEB1C6-6CA0-486D-BD2D-4CD50FB7F6B7}"/>
    <hyperlink ref="D39" r:id="rId37" xr:uid="{8B5ED076-E6D6-460B-AA36-8659CF554BBA}"/>
    <hyperlink ref="D40" r:id="rId38" xr:uid="{65CF28F4-B22A-43C7-9923-66616742DF42}"/>
    <hyperlink ref="D41" r:id="rId39" xr:uid="{4DD5EB19-C3F0-44AC-BF16-4E0A9A547310}"/>
    <hyperlink ref="D42" r:id="rId40" xr:uid="{56DC806D-6C69-4522-B6A7-E7DA80ADCD26}"/>
    <hyperlink ref="D43" r:id="rId41" xr:uid="{A863B5F3-5753-415F-9C4D-824E489FE4B7}"/>
    <hyperlink ref="D44" r:id="rId42" xr:uid="{783D6565-FAF0-4389-8642-1EBDF2021A1E}"/>
    <hyperlink ref="D23" r:id="rId43" xr:uid="{3C283B9C-2FA3-4E9F-8548-67BFC6837793}"/>
    <hyperlink ref="D45" r:id="rId44" xr:uid="{30782FAB-0610-4A46-9F94-4B757DCF4876}"/>
    <hyperlink ref="D46" r:id="rId45" xr:uid="{8671905E-39C3-4A5D-B8F1-DA5C4E315BC9}"/>
    <hyperlink ref="D47" r:id="rId46" xr:uid="{AFBE90BD-61F7-4513-9E25-389B2A4D3EC7}"/>
    <hyperlink ref="D48" r:id="rId47" xr:uid="{5705A8A5-971F-41EF-8A43-B7BE303EFEE3}"/>
    <hyperlink ref="D49" r:id="rId48" xr:uid="{E5DCE9C9-BB98-4784-9F5C-6743866C9C8C}"/>
    <hyperlink ref="D50" r:id="rId49" xr:uid="{47736BD9-1469-42BD-8E09-BC40F909C177}"/>
    <hyperlink ref="D51" r:id="rId50" xr:uid="{A6FBF8B8-E65D-4E8D-BE0C-F3A97EEEAABF}"/>
    <hyperlink ref="D35" r:id="rId51" xr:uid="{083BD2CF-D681-4B7D-864C-AD07E398E70F}"/>
    <hyperlink ref="D55" r:id="rId52" xr:uid="{6316AF87-719B-4E9A-94DB-E9265158084A}"/>
    <hyperlink ref="D52" r:id="rId53" xr:uid="{53D776BA-F69C-41BB-95DA-1415C71B5B67}"/>
    <hyperlink ref="D53" r:id="rId54" xr:uid="{1637A492-EF6E-42D6-B29B-901062D15F5E}"/>
    <hyperlink ref="D54" r:id="rId55" xr:uid="{E68F70A3-51F3-41D7-8697-16C4602D6943}"/>
  </hyperlinks>
  <pageMargins left="0.7" right="0.7" top="0.75" bottom="0.75" header="0.3" footer="0.3"/>
  <ignoredErrors>
    <ignoredError sqref="A2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34AF-65D1-491E-AA5B-C8CB7EE146C5}">
  <sheetPr>
    <tabColor rgb="FF5FDF71"/>
  </sheetPr>
  <dimension ref="A1:AE26"/>
  <sheetViews>
    <sheetView workbookViewId="0">
      <selection activeCell="B1" sqref="B1"/>
    </sheetView>
  </sheetViews>
  <sheetFormatPr defaultRowHeight="13.2" x14ac:dyDescent="0.4"/>
  <cols>
    <col min="1" max="1" width="3" style="22" bestFit="1" customWidth="1"/>
    <col min="2" max="2" width="19.77734375" style="7" bestFit="1" customWidth="1"/>
    <col min="3" max="26" width="3.6640625" style="7" bestFit="1" customWidth="1"/>
    <col min="27" max="29" width="3.6640625" style="21" bestFit="1" customWidth="1"/>
    <col min="30" max="31" width="3.5546875" style="22" customWidth="1"/>
    <col min="32" max="33" width="8.88671875" style="7"/>
    <col min="34" max="34" width="8.88671875" style="7" customWidth="1"/>
    <col min="35" max="16384" width="8.88671875" style="7"/>
  </cols>
  <sheetData>
    <row r="1" spans="1:31" ht="99.6" x14ac:dyDescent="2.2999999999999998">
      <c r="A1" s="23"/>
      <c r="B1" s="2" t="s">
        <v>182</v>
      </c>
      <c r="C1" s="4" t="s">
        <v>2</v>
      </c>
      <c r="D1" s="5" t="s">
        <v>83</v>
      </c>
      <c r="E1" s="5" t="s">
        <v>91</v>
      </c>
      <c r="F1" s="5" t="s">
        <v>89</v>
      </c>
      <c r="G1" s="5" t="s">
        <v>55</v>
      </c>
      <c r="H1" s="5" t="s">
        <v>163</v>
      </c>
      <c r="I1" s="5" t="s">
        <v>180</v>
      </c>
      <c r="J1" s="5" t="s">
        <v>173</v>
      </c>
      <c r="K1" s="5" t="s">
        <v>38</v>
      </c>
      <c r="L1" s="5" t="s">
        <v>181</v>
      </c>
      <c r="M1" s="5" t="s">
        <v>52</v>
      </c>
      <c r="N1" s="5" t="s">
        <v>154</v>
      </c>
      <c r="O1" s="5" t="s">
        <v>107</v>
      </c>
      <c r="P1" s="5" t="s">
        <v>116</v>
      </c>
      <c r="Q1" s="5" t="s">
        <v>76</v>
      </c>
      <c r="R1" s="5" t="s">
        <v>105</v>
      </c>
      <c r="S1" s="5" t="s">
        <v>58</v>
      </c>
      <c r="T1" s="5" t="s">
        <v>98</v>
      </c>
      <c r="U1" s="5" t="s">
        <v>20</v>
      </c>
      <c r="V1" s="5" t="s">
        <v>172</v>
      </c>
      <c r="W1" s="5" t="s">
        <v>78</v>
      </c>
      <c r="X1" s="5" t="s">
        <v>43</v>
      </c>
      <c r="Y1" s="5" t="s">
        <v>62</v>
      </c>
      <c r="Z1" s="5" t="s">
        <v>15</v>
      </c>
      <c r="AA1" s="5" t="s">
        <v>112</v>
      </c>
      <c r="AB1" s="5" t="s">
        <v>150</v>
      </c>
      <c r="AC1" s="5" t="s">
        <v>139</v>
      </c>
      <c r="AD1" s="6" t="s">
        <v>184</v>
      </c>
      <c r="AE1" s="6" t="s">
        <v>185</v>
      </c>
    </row>
    <row r="2" spans="1:31" x14ac:dyDescent="0.4">
      <c r="A2" s="30">
        <v>12</v>
      </c>
      <c r="B2" s="28" t="s">
        <v>154</v>
      </c>
      <c r="C2" s="9"/>
      <c r="D2" s="10">
        <v>7</v>
      </c>
      <c r="E2" s="10">
        <v>12</v>
      </c>
      <c r="F2" s="10">
        <v>12</v>
      </c>
      <c r="G2" s="10">
        <v>6</v>
      </c>
      <c r="H2" s="10">
        <v>10</v>
      </c>
      <c r="I2" s="10"/>
      <c r="J2" s="10"/>
      <c r="K2" s="10">
        <v>12</v>
      </c>
      <c r="L2" s="10">
        <v>10</v>
      </c>
      <c r="M2" s="10"/>
      <c r="N2" s="11"/>
      <c r="O2" s="10"/>
      <c r="P2" s="10"/>
      <c r="Q2" s="10">
        <v>5</v>
      </c>
      <c r="R2" s="10">
        <v>12</v>
      </c>
      <c r="S2" s="10">
        <v>4</v>
      </c>
      <c r="T2" s="10"/>
      <c r="U2" s="10"/>
      <c r="V2" s="10"/>
      <c r="W2" s="10">
        <v>7</v>
      </c>
      <c r="X2" s="10"/>
      <c r="Y2" s="10">
        <v>7</v>
      </c>
      <c r="Z2" s="10"/>
      <c r="AA2" s="10">
        <v>12</v>
      </c>
      <c r="AB2" s="10"/>
      <c r="AC2" s="10">
        <v>2</v>
      </c>
      <c r="AD2" s="30">
        <f t="shared" ref="AD2:AD25" si="0">SUM(C2:AC2)</f>
        <v>118</v>
      </c>
      <c r="AE2" s="30">
        <v>1</v>
      </c>
    </row>
    <row r="3" spans="1:31" x14ac:dyDescent="0.4">
      <c r="A3" s="30">
        <v>15</v>
      </c>
      <c r="B3" s="28" t="s">
        <v>76</v>
      </c>
      <c r="C3" s="9"/>
      <c r="D3" s="10"/>
      <c r="E3" s="10"/>
      <c r="F3" s="10">
        <v>10</v>
      </c>
      <c r="G3" s="10"/>
      <c r="H3" s="10">
        <v>6</v>
      </c>
      <c r="I3" s="10">
        <v>3</v>
      </c>
      <c r="J3" s="10">
        <v>12</v>
      </c>
      <c r="K3" s="10"/>
      <c r="L3" s="10">
        <v>12</v>
      </c>
      <c r="M3" s="10">
        <v>7</v>
      </c>
      <c r="N3" s="10">
        <v>7</v>
      </c>
      <c r="O3" s="10">
        <v>2</v>
      </c>
      <c r="P3" s="10"/>
      <c r="Q3" s="11"/>
      <c r="R3" s="10">
        <v>2</v>
      </c>
      <c r="S3" s="10">
        <v>5</v>
      </c>
      <c r="T3" s="10">
        <v>3</v>
      </c>
      <c r="U3" s="10"/>
      <c r="V3" s="10">
        <v>1</v>
      </c>
      <c r="W3" s="10">
        <v>10</v>
      </c>
      <c r="X3" s="10"/>
      <c r="Y3" s="10">
        <v>10</v>
      </c>
      <c r="Z3" s="10">
        <v>2</v>
      </c>
      <c r="AA3" s="10">
        <v>1</v>
      </c>
      <c r="AB3" s="10">
        <v>12</v>
      </c>
      <c r="AC3" s="10">
        <v>12</v>
      </c>
      <c r="AD3" s="30">
        <f t="shared" si="0"/>
        <v>117</v>
      </c>
      <c r="AE3" s="30">
        <v>2</v>
      </c>
    </row>
    <row r="4" spans="1:31" x14ac:dyDescent="0.4">
      <c r="A4" s="30">
        <v>21</v>
      </c>
      <c r="B4" s="28" t="s">
        <v>78</v>
      </c>
      <c r="C4" s="9"/>
      <c r="D4" s="10"/>
      <c r="E4" s="10">
        <v>7</v>
      </c>
      <c r="F4" s="10">
        <v>3</v>
      </c>
      <c r="G4" s="10"/>
      <c r="H4" s="10">
        <v>4</v>
      </c>
      <c r="I4" s="10"/>
      <c r="J4" s="10"/>
      <c r="K4" s="10">
        <v>8</v>
      </c>
      <c r="L4" s="10">
        <v>6</v>
      </c>
      <c r="M4" s="10"/>
      <c r="N4" s="10">
        <v>10</v>
      </c>
      <c r="O4" s="10"/>
      <c r="P4" s="10">
        <v>10</v>
      </c>
      <c r="Q4" s="10"/>
      <c r="R4" s="10">
        <v>7</v>
      </c>
      <c r="S4" s="10">
        <v>2</v>
      </c>
      <c r="T4" s="10"/>
      <c r="U4" s="10">
        <v>5</v>
      </c>
      <c r="V4" s="10">
        <v>4</v>
      </c>
      <c r="W4" s="11"/>
      <c r="X4" s="10"/>
      <c r="Y4" s="10">
        <v>5</v>
      </c>
      <c r="Z4" s="10">
        <v>8</v>
      </c>
      <c r="AA4" s="10">
        <v>10</v>
      </c>
      <c r="AB4" s="10"/>
      <c r="AC4" s="10">
        <v>8</v>
      </c>
      <c r="AD4" s="30">
        <f t="shared" si="0"/>
        <v>97</v>
      </c>
      <c r="AE4" s="30">
        <v>3</v>
      </c>
    </row>
    <row r="5" spans="1:31" x14ac:dyDescent="0.4">
      <c r="A5" s="29" t="s">
        <v>11</v>
      </c>
      <c r="B5" s="28" t="s">
        <v>91</v>
      </c>
      <c r="C5" s="9"/>
      <c r="D5" s="10">
        <v>2</v>
      </c>
      <c r="E5" s="11"/>
      <c r="F5" s="10"/>
      <c r="G5" s="10">
        <v>8</v>
      </c>
      <c r="H5" s="10"/>
      <c r="I5" s="10">
        <v>10</v>
      </c>
      <c r="J5" s="10"/>
      <c r="K5" s="10"/>
      <c r="L5" s="10"/>
      <c r="M5" s="10">
        <v>12</v>
      </c>
      <c r="N5" s="10">
        <v>8</v>
      </c>
      <c r="O5" s="10"/>
      <c r="P5" s="10">
        <v>4</v>
      </c>
      <c r="Q5" s="10"/>
      <c r="R5" s="10"/>
      <c r="S5" s="10"/>
      <c r="T5" s="10"/>
      <c r="U5" s="10"/>
      <c r="V5" s="10">
        <v>8</v>
      </c>
      <c r="W5" s="10">
        <v>12</v>
      </c>
      <c r="X5" s="10">
        <v>2</v>
      </c>
      <c r="Y5" s="10"/>
      <c r="Z5" s="10">
        <v>10</v>
      </c>
      <c r="AA5" s="10">
        <v>6</v>
      </c>
      <c r="AB5" s="10">
        <v>10</v>
      </c>
      <c r="AC5" s="10">
        <v>3</v>
      </c>
      <c r="AD5" s="30">
        <f t="shared" si="0"/>
        <v>95</v>
      </c>
      <c r="AE5" s="30">
        <v>4</v>
      </c>
    </row>
    <row r="6" spans="1:31" x14ac:dyDescent="0.4">
      <c r="A6" s="30">
        <v>17</v>
      </c>
      <c r="B6" s="28" t="s">
        <v>58</v>
      </c>
      <c r="C6" s="9"/>
      <c r="D6" s="10">
        <v>12</v>
      </c>
      <c r="E6" s="10">
        <v>6</v>
      </c>
      <c r="F6" s="10"/>
      <c r="G6" s="10">
        <v>7</v>
      </c>
      <c r="H6" s="10">
        <v>2</v>
      </c>
      <c r="I6" s="10"/>
      <c r="J6" s="10"/>
      <c r="K6" s="10">
        <v>10</v>
      </c>
      <c r="L6" s="10"/>
      <c r="M6" s="10">
        <v>10</v>
      </c>
      <c r="N6" s="10"/>
      <c r="O6" s="10"/>
      <c r="P6" s="10">
        <v>6</v>
      </c>
      <c r="Q6" s="10"/>
      <c r="R6" s="10">
        <v>10</v>
      </c>
      <c r="S6" s="11"/>
      <c r="T6" s="10"/>
      <c r="U6" s="10">
        <v>1</v>
      </c>
      <c r="V6" s="10"/>
      <c r="W6" s="10">
        <v>5</v>
      </c>
      <c r="X6" s="10">
        <v>12</v>
      </c>
      <c r="Y6" s="10"/>
      <c r="Z6" s="10">
        <v>6</v>
      </c>
      <c r="AA6" s="10"/>
      <c r="AB6" s="10"/>
      <c r="AC6" s="10"/>
      <c r="AD6" s="30">
        <f t="shared" si="0"/>
        <v>87</v>
      </c>
      <c r="AE6" s="30">
        <v>5</v>
      </c>
    </row>
    <row r="7" spans="1:31" x14ac:dyDescent="0.4">
      <c r="A7" s="30">
        <v>19</v>
      </c>
      <c r="B7" s="28" t="s">
        <v>20</v>
      </c>
      <c r="C7" s="9">
        <v>12</v>
      </c>
      <c r="D7" s="10"/>
      <c r="E7" s="10">
        <v>2</v>
      </c>
      <c r="F7" s="10"/>
      <c r="G7" s="10"/>
      <c r="H7" s="10">
        <v>5</v>
      </c>
      <c r="I7" s="10">
        <v>2</v>
      </c>
      <c r="J7" s="10">
        <v>4</v>
      </c>
      <c r="K7" s="10"/>
      <c r="L7" s="10"/>
      <c r="M7" s="10">
        <v>2</v>
      </c>
      <c r="N7" s="10"/>
      <c r="O7" s="10">
        <v>6</v>
      </c>
      <c r="P7" s="10">
        <v>12</v>
      </c>
      <c r="Q7" s="10">
        <v>3</v>
      </c>
      <c r="R7" s="10"/>
      <c r="S7" s="10">
        <v>8</v>
      </c>
      <c r="T7" s="10"/>
      <c r="U7" s="11"/>
      <c r="V7" s="10"/>
      <c r="W7" s="10">
        <v>6</v>
      </c>
      <c r="X7" s="10"/>
      <c r="Y7" s="10"/>
      <c r="Z7" s="10">
        <v>12</v>
      </c>
      <c r="AA7" s="10"/>
      <c r="AB7" s="10">
        <v>5</v>
      </c>
      <c r="AC7" s="10">
        <v>4</v>
      </c>
      <c r="AD7" s="30">
        <f t="shared" si="0"/>
        <v>83</v>
      </c>
      <c r="AE7" s="30">
        <v>6</v>
      </c>
    </row>
    <row r="8" spans="1:31" x14ac:dyDescent="0.4">
      <c r="A8" s="29" t="s">
        <v>23</v>
      </c>
      <c r="B8" s="28" t="s">
        <v>163</v>
      </c>
      <c r="C8" s="9">
        <v>5</v>
      </c>
      <c r="D8" s="10"/>
      <c r="E8" s="10">
        <v>5</v>
      </c>
      <c r="F8" s="10"/>
      <c r="G8" s="10"/>
      <c r="H8" s="11"/>
      <c r="I8" s="10"/>
      <c r="J8" s="10">
        <v>3</v>
      </c>
      <c r="K8" s="10">
        <v>6</v>
      </c>
      <c r="L8" s="10">
        <v>5</v>
      </c>
      <c r="M8" s="10">
        <v>3</v>
      </c>
      <c r="N8" s="10">
        <v>1</v>
      </c>
      <c r="O8" s="10"/>
      <c r="P8" s="10"/>
      <c r="Q8" s="10">
        <v>8</v>
      </c>
      <c r="R8" s="10"/>
      <c r="S8" s="10">
        <v>7</v>
      </c>
      <c r="T8" s="10"/>
      <c r="U8" s="10">
        <v>12</v>
      </c>
      <c r="V8" s="10">
        <v>12</v>
      </c>
      <c r="W8" s="10"/>
      <c r="X8" s="10">
        <v>4</v>
      </c>
      <c r="Y8" s="10">
        <v>8</v>
      </c>
      <c r="Z8" s="10">
        <v>1</v>
      </c>
      <c r="AA8" s="10"/>
      <c r="AB8" s="10"/>
      <c r="AC8" s="10"/>
      <c r="AD8" s="30">
        <f t="shared" si="0"/>
        <v>80</v>
      </c>
      <c r="AE8" s="30">
        <v>7</v>
      </c>
    </row>
    <row r="9" spans="1:31" x14ac:dyDescent="0.4">
      <c r="A9" s="30">
        <v>20</v>
      </c>
      <c r="B9" s="28" t="s">
        <v>172</v>
      </c>
      <c r="C9" s="9"/>
      <c r="D9" s="10"/>
      <c r="E9" s="10"/>
      <c r="F9" s="10"/>
      <c r="G9" s="10">
        <v>2</v>
      </c>
      <c r="H9" s="10">
        <v>8</v>
      </c>
      <c r="I9" s="10">
        <v>12</v>
      </c>
      <c r="J9" s="10">
        <v>10</v>
      </c>
      <c r="K9" s="10"/>
      <c r="L9" s="10">
        <v>8</v>
      </c>
      <c r="M9" s="10"/>
      <c r="N9" s="10"/>
      <c r="O9" s="10">
        <v>1</v>
      </c>
      <c r="P9" s="10">
        <v>2</v>
      </c>
      <c r="Q9" s="10">
        <v>12</v>
      </c>
      <c r="R9" s="10"/>
      <c r="S9" s="10">
        <v>3</v>
      </c>
      <c r="T9" s="10"/>
      <c r="U9" s="10"/>
      <c r="V9" s="11"/>
      <c r="W9" s="10"/>
      <c r="X9" s="10"/>
      <c r="Y9" s="10">
        <v>6</v>
      </c>
      <c r="Z9" s="10"/>
      <c r="AA9" s="10">
        <v>2</v>
      </c>
      <c r="AB9" s="10">
        <v>7</v>
      </c>
      <c r="AC9" s="10">
        <v>6</v>
      </c>
      <c r="AD9" s="30">
        <f t="shared" si="0"/>
        <v>79</v>
      </c>
      <c r="AE9" s="30">
        <v>8</v>
      </c>
    </row>
    <row r="10" spans="1:31" x14ac:dyDescent="0.4">
      <c r="A10" s="30">
        <v>24</v>
      </c>
      <c r="B10" s="28" t="s">
        <v>15</v>
      </c>
      <c r="C10" s="9">
        <v>7</v>
      </c>
      <c r="D10" s="10">
        <v>5</v>
      </c>
      <c r="E10" s="10">
        <v>8</v>
      </c>
      <c r="F10" s="10">
        <v>6</v>
      </c>
      <c r="G10" s="10"/>
      <c r="H10" s="10">
        <v>3</v>
      </c>
      <c r="I10" s="10">
        <v>1</v>
      </c>
      <c r="J10" s="10"/>
      <c r="K10" s="10">
        <v>1</v>
      </c>
      <c r="L10" s="10">
        <v>2</v>
      </c>
      <c r="M10" s="10"/>
      <c r="N10" s="10"/>
      <c r="O10" s="10">
        <v>8</v>
      </c>
      <c r="P10" s="10"/>
      <c r="Q10" s="10">
        <v>4</v>
      </c>
      <c r="R10" s="10"/>
      <c r="S10" s="10"/>
      <c r="T10" s="10">
        <v>7</v>
      </c>
      <c r="U10" s="10"/>
      <c r="V10" s="10"/>
      <c r="W10" s="10">
        <v>4</v>
      </c>
      <c r="X10" s="10">
        <v>6</v>
      </c>
      <c r="Y10" s="10">
        <v>4</v>
      </c>
      <c r="Z10" s="11"/>
      <c r="AA10" s="10"/>
      <c r="AB10" s="10">
        <v>6</v>
      </c>
      <c r="AC10" s="10">
        <v>1</v>
      </c>
      <c r="AD10" s="30">
        <f t="shared" si="0"/>
        <v>73</v>
      </c>
      <c r="AE10" s="30">
        <v>9</v>
      </c>
    </row>
    <row r="11" spans="1:31" x14ac:dyDescent="0.4">
      <c r="A11" s="31" t="s">
        <v>31</v>
      </c>
      <c r="B11" s="32" t="s">
        <v>173</v>
      </c>
      <c r="C11" s="15">
        <v>1</v>
      </c>
      <c r="D11" s="16">
        <v>10</v>
      </c>
      <c r="E11" s="16"/>
      <c r="F11" s="16"/>
      <c r="G11" s="16"/>
      <c r="H11" s="16"/>
      <c r="I11" s="16">
        <v>4</v>
      </c>
      <c r="J11" s="17"/>
      <c r="K11" s="16"/>
      <c r="L11" s="16">
        <v>1</v>
      </c>
      <c r="M11" s="16"/>
      <c r="N11" s="16">
        <v>2</v>
      </c>
      <c r="O11" s="16">
        <v>4</v>
      </c>
      <c r="P11" s="16"/>
      <c r="Q11" s="16">
        <v>10</v>
      </c>
      <c r="R11" s="16">
        <v>8</v>
      </c>
      <c r="S11" s="16"/>
      <c r="T11" s="16">
        <v>4</v>
      </c>
      <c r="U11" s="16"/>
      <c r="V11" s="16">
        <v>5</v>
      </c>
      <c r="W11" s="16"/>
      <c r="X11" s="16"/>
      <c r="Y11" s="16"/>
      <c r="Z11" s="16">
        <v>5</v>
      </c>
      <c r="AA11" s="16"/>
      <c r="AB11" s="16">
        <v>8</v>
      </c>
      <c r="AC11" s="16">
        <v>10</v>
      </c>
      <c r="AD11" s="33">
        <f t="shared" si="0"/>
        <v>72</v>
      </c>
      <c r="AE11" s="33">
        <v>10</v>
      </c>
    </row>
    <row r="12" spans="1:31" x14ac:dyDescent="0.4">
      <c r="A12" s="24">
        <v>10</v>
      </c>
      <c r="B12" s="8" t="s">
        <v>181</v>
      </c>
      <c r="C12" s="9"/>
      <c r="D12" s="10"/>
      <c r="E12" s="10">
        <v>10</v>
      </c>
      <c r="F12" s="10">
        <v>2</v>
      </c>
      <c r="G12" s="10">
        <v>5</v>
      </c>
      <c r="H12" s="10"/>
      <c r="I12" s="10"/>
      <c r="J12" s="10"/>
      <c r="K12" s="10"/>
      <c r="L12" s="11"/>
      <c r="M12" s="10">
        <v>8</v>
      </c>
      <c r="N12" s="10">
        <v>12</v>
      </c>
      <c r="O12" s="10"/>
      <c r="P12" s="10"/>
      <c r="Q12" s="10">
        <v>1</v>
      </c>
      <c r="R12" s="10">
        <v>5</v>
      </c>
      <c r="S12" s="10">
        <v>10</v>
      </c>
      <c r="T12" s="10"/>
      <c r="U12" s="10"/>
      <c r="V12" s="10"/>
      <c r="W12" s="10"/>
      <c r="X12" s="10"/>
      <c r="Y12" s="10"/>
      <c r="Z12" s="10"/>
      <c r="AA12" s="10">
        <v>7</v>
      </c>
      <c r="AB12" s="10"/>
      <c r="AC12" s="10">
        <v>7</v>
      </c>
      <c r="AD12" s="12">
        <f t="shared" si="0"/>
        <v>67</v>
      </c>
      <c r="AE12" s="12">
        <v>11</v>
      </c>
    </row>
    <row r="13" spans="1:31" x14ac:dyDescent="0.4">
      <c r="A13" s="24">
        <v>23</v>
      </c>
      <c r="B13" s="8" t="s">
        <v>62</v>
      </c>
      <c r="C13" s="9">
        <v>6</v>
      </c>
      <c r="D13" s="10"/>
      <c r="E13" s="10"/>
      <c r="F13" s="10">
        <v>7</v>
      </c>
      <c r="G13" s="10">
        <v>10</v>
      </c>
      <c r="H13" s="10">
        <v>7</v>
      </c>
      <c r="I13" s="10"/>
      <c r="J13" s="10">
        <v>7</v>
      </c>
      <c r="K13" s="10">
        <v>5</v>
      </c>
      <c r="L13" s="10"/>
      <c r="M13" s="10"/>
      <c r="N13" s="10"/>
      <c r="O13" s="10">
        <v>5</v>
      </c>
      <c r="P13" s="10"/>
      <c r="Q13" s="10"/>
      <c r="R13" s="10"/>
      <c r="S13" s="10"/>
      <c r="T13" s="10">
        <v>1</v>
      </c>
      <c r="U13" s="10">
        <v>6</v>
      </c>
      <c r="V13" s="10">
        <v>10</v>
      </c>
      <c r="W13" s="10"/>
      <c r="X13" s="10">
        <v>1</v>
      </c>
      <c r="Y13" s="11"/>
      <c r="Z13" s="10"/>
      <c r="AA13" s="10"/>
      <c r="AB13" s="10"/>
      <c r="AC13" s="10"/>
      <c r="AD13" s="12">
        <f t="shared" si="0"/>
        <v>65</v>
      </c>
      <c r="AE13" s="12">
        <v>12</v>
      </c>
    </row>
    <row r="14" spans="1:31" x14ac:dyDescent="0.4">
      <c r="A14" s="25" t="s">
        <v>27</v>
      </c>
      <c r="B14" s="8" t="s">
        <v>180</v>
      </c>
      <c r="C14" s="9">
        <v>2</v>
      </c>
      <c r="D14" s="10"/>
      <c r="E14" s="10"/>
      <c r="F14" s="10">
        <v>5</v>
      </c>
      <c r="G14" s="10"/>
      <c r="H14" s="10"/>
      <c r="I14" s="11"/>
      <c r="J14" s="10">
        <v>2</v>
      </c>
      <c r="K14" s="10"/>
      <c r="L14" s="10"/>
      <c r="M14" s="10"/>
      <c r="N14" s="10">
        <v>3</v>
      </c>
      <c r="O14" s="10">
        <v>12</v>
      </c>
      <c r="P14" s="10">
        <v>7</v>
      </c>
      <c r="Q14" s="10">
        <v>2</v>
      </c>
      <c r="R14" s="10"/>
      <c r="S14" s="10"/>
      <c r="T14" s="10">
        <v>10</v>
      </c>
      <c r="U14" s="10">
        <v>8</v>
      </c>
      <c r="V14" s="10"/>
      <c r="W14" s="10">
        <v>1</v>
      </c>
      <c r="X14" s="10"/>
      <c r="Y14" s="10"/>
      <c r="Z14" s="10"/>
      <c r="AA14" s="10"/>
      <c r="AB14" s="10">
        <v>2</v>
      </c>
      <c r="AC14" s="10"/>
      <c r="AD14" s="12">
        <f t="shared" si="0"/>
        <v>54</v>
      </c>
      <c r="AE14" s="12">
        <v>13</v>
      </c>
    </row>
    <row r="15" spans="1:31" x14ac:dyDescent="0.4">
      <c r="A15" s="25" t="s">
        <v>16</v>
      </c>
      <c r="B15" s="8" t="s">
        <v>89</v>
      </c>
      <c r="C15" s="9"/>
      <c r="D15" s="10">
        <v>3</v>
      </c>
      <c r="E15" s="10"/>
      <c r="F15" s="11"/>
      <c r="G15" s="10">
        <v>4</v>
      </c>
      <c r="H15" s="10"/>
      <c r="I15" s="10">
        <v>8</v>
      </c>
      <c r="J15" s="10">
        <v>1</v>
      </c>
      <c r="K15" s="10">
        <v>3</v>
      </c>
      <c r="L15" s="10"/>
      <c r="M15" s="10"/>
      <c r="N15" s="10">
        <v>6</v>
      </c>
      <c r="O15" s="10"/>
      <c r="P15" s="10"/>
      <c r="Q15" s="10">
        <v>7</v>
      </c>
      <c r="R15" s="10">
        <v>4</v>
      </c>
      <c r="S15" s="10"/>
      <c r="T15" s="10">
        <v>2</v>
      </c>
      <c r="U15" s="10"/>
      <c r="V15" s="10"/>
      <c r="W15" s="10">
        <v>8</v>
      </c>
      <c r="X15" s="10"/>
      <c r="Y15" s="10"/>
      <c r="Z15" s="10"/>
      <c r="AA15" s="10">
        <v>8</v>
      </c>
      <c r="AB15" s="10"/>
      <c r="AC15" s="10"/>
      <c r="AD15" s="12">
        <f t="shared" si="0"/>
        <v>54</v>
      </c>
      <c r="AE15" s="12">
        <v>14</v>
      </c>
    </row>
    <row r="16" spans="1:31" x14ac:dyDescent="0.4">
      <c r="A16" s="29" t="s">
        <v>4</v>
      </c>
      <c r="B16" s="28" t="s">
        <v>2</v>
      </c>
      <c r="C16" s="13"/>
      <c r="D16" s="10">
        <v>4</v>
      </c>
      <c r="E16" s="10">
        <v>3</v>
      </c>
      <c r="F16" s="10"/>
      <c r="G16" s="10"/>
      <c r="H16" s="10"/>
      <c r="I16" s="10">
        <v>6</v>
      </c>
      <c r="J16" s="10"/>
      <c r="K16" s="10"/>
      <c r="L16" s="10"/>
      <c r="M16" s="10">
        <v>5</v>
      </c>
      <c r="N16" s="10"/>
      <c r="O16" s="10"/>
      <c r="P16" s="10">
        <v>5</v>
      </c>
      <c r="Q16" s="10"/>
      <c r="R16" s="10"/>
      <c r="S16" s="10"/>
      <c r="T16" s="10">
        <v>8</v>
      </c>
      <c r="U16" s="10"/>
      <c r="V16" s="10">
        <v>6</v>
      </c>
      <c r="W16" s="10"/>
      <c r="X16" s="10">
        <v>7</v>
      </c>
      <c r="Y16" s="10"/>
      <c r="Z16" s="10">
        <v>7</v>
      </c>
      <c r="AA16" s="10"/>
      <c r="AB16" s="10">
        <v>3</v>
      </c>
      <c r="AC16" s="10"/>
      <c r="AD16" s="30">
        <f t="shared" si="0"/>
        <v>54</v>
      </c>
      <c r="AE16" s="30">
        <v>15</v>
      </c>
    </row>
    <row r="17" spans="1:31" x14ac:dyDescent="0.4">
      <c r="A17" s="25" t="s">
        <v>35</v>
      </c>
      <c r="B17" s="8" t="s">
        <v>38</v>
      </c>
      <c r="C17" s="9"/>
      <c r="D17" s="10">
        <v>8</v>
      </c>
      <c r="E17" s="10">
        <v>4</v>
      </c>
      <c r="F17" s="10">
        <v>1</v>
      </c>
      <c r="G17" s="10"/>
      <c r="H17" s="10">
        <v>12</v>
      </c>
      <c r="I17" s="10"/>
      <c r="J17" s="10"/>
      <c r="K17" s="11"/>
      <c r="L17" s="10"/>
      <c r="M17" s="10">
        <v>6</v>
      </c>
      <c r="N17" s="10">
        <v>5</v>
      </c>
      <c r="O17" s="10"/>
      <c r="P17" s="10">
        <v>3</v>
      </c>
      <c r="Q17" s="10"/>
      <c r="R17" s="10"/>
      <c r="S17" s="10"/>
      <c r="T17" s="10"/>
      <c r="U17" s="10"/>
      <c r="V17" s="10"/>
      <c r="W17" s="10">
        <v>2</v>
      </c>
      <c r="X17" s="10">
        <v>8</v>
      </c>
      <c r="Y17" s="10">
        <v>1</v>
      </c>
      <c r="Z17" s="10">
        <v>3</v>
      </c>
      <c r="AA17" s="10"/>
      <c r="AB17" s="10"/>
      <c r="AC17" s="10"/>
      <c r="AD17" s="12">
        <f t="shared" si="0"/>
        <v>53</v>
      </c>
      <c r="AE17" s="12">
        <v>16</v>
      </c>
    </row>
    <row r="18" spans="1:31" x14ac:dyDescent="0.4">
      <c r="A18" s="24">
        <v>16</v>
      </c>
      <c r="B18" s="8" t="s">
        <v>105</v>
      </c>
      <c r="C18" s="9">
        <v>4</v>
      </c>
      <c r="D18" s="10">
        <v>6</v>
      </c>
      <c r="E18" s="10"/>
      <c r="F18" s="10"/>
      <c r="G18" s="10"/>
      <c r="H18" s="10"/>
      <c r="I18" s="10">
        <v>5</v>
      </c>
      <c r="J18" s="10">
        <v>5</v>
      </c>
      <c r="K18" s="10"/>
      <c r="L18" s="10">
        <v>7</v>
      </c>
      <c r="M18" s="10"/>
      <c r="N18" s="10">
        <v>4</v>
      </c>
      <c r="O18" s="10">
        <v>10</v>
      </c>
      <c r="P18" s="10"/>
      <c r="Q18" s="10"/>
      <c r="R18" s="11"/>
      <c r="S18" s="10"/>
      <c r="T18" s="10">
        <v>5</v>
      </c>
      <c r="U18" s="10">
        <v>4</v>
      </c>
      <c r="V18" s="10"/>
      <c r="W18" s="10"/>
      <c r="X18" s="10"/>
      <c r="Y18" s="10"/>
      <c r="Z18" s="10"/>
      <c r="AA18" s="10"/>
      <c r="AB18" s="10"/>
      <c r="AC18" s="10"/>
      <c r="AD18" s="12">
        <f t="shared" si="0"/>
        <v>50</v>
      </c>
      <c r="AE18" s="12">
        <v>17</v>
      </c>
    </row>
    <row r="19" spans="1:31" x14ac:dyDescent="0.4">
      <c r="A19" s="25" t="s">
        <v>9</v>
      </c>
      <c r="B19" s="8" t="s">
        <v>83</v>
      </c>
      <c r="C19" s="9">
        <v>3</v>
      </c>
      <c r="D19" s="11"/>
      <c r="E19" s="10"/>
      <c r="F19" s="10">
        <v>4</v>
      </c>
      <c r="G19" s="10">
        <v>12</v>
      </c>
      <c r="H19" s="10"/>
      <c r="I19" s="10"/>
      <c r="J19" s="10"/>
      <c r="K19" s="10"/>
      <c r="L19" s="10">
        <v>3</v>
      </c>
      <c r="M19" s="10"/>
      <c r="N19" s="10"/>
      <c r="O19" s="10">
        <v>7</v>
      </c>
      <c r="P19" s="10"/>
      <c r="Q19" s="10"/>
      <c r="R19" s="10"/>
      <c r="S19" s="10"/>
      <c r="T19" s="10">
        <v>12</v>
      </c>
      <c r="U19" s="10"/>
      <c r="V19" s="10"/>
      <c r="W19" s="10"/>
      <c r="X19" s="10"/>
      <c r="Y19" s="10"/>
      <c r="Z19" s="10"/>
      <c r="AA19" s="10">
        <v>5</v>
      </c>
      <c r="AB19" s="10">
        <v>4</v>
      </c>
      <c r="AC19" s="10"/>
      <c r="AD19" s="12">
        <f t="shared" si="0"/>
        <v>50</v>
      </c>
      <c r="AE19" s="12">
        <v>18</v>
      </c>
    </row>
    <row r="20" spans="1:31" x14ac:dyDescent="0.4">
      <c r="A20" s="24">
        <v>11</v>
      </c>
      <c r="B20" s="8" t="s">
        <v>52</v>
      </c>
      <c r="C20" s="9">
        <v>10</v>
      </c>
      <c r="D20" s="10"/>
      <c r="E20" s="10"/>
      <c r="F20" s="10"/>
      <c r="G20" s="10">
        <v>1</v>
      </c>
      <c r="H20" s="10"/>
      <c r="I20" s="10"/>
      <c r="J20" s="10">
        <v>8</v>
      </c>
      <c r="K20" s="10"/>
      <c r="L20" s="10"/>
      <c r="M20" s="11"/>
      <c r="N20" s="10"/>
      <c r="O20" s="10"/>
      <c r="P20" s="10">
        <v>1</v>
      </c>
      <c r="Q20" s="10"/>
      <c r="R20" s="10">
        <v>6</v>
      </c>
      <c r="S20" s="10">
        <v>12</v>
      </c>
      <c r="T20" s="10"/>
      <c r="U20" s="10">
        <v>7</v>
      </c>
      <c r="V20" s="10"/>
      <c r="W20" s="10"/>
      <c r="X20" s="10"/>
      <c r="Y20" s="10"/>
      <c r="Z20" s="10"/>
      <c r="AA20" s="10">
        <v>4</v>
      </c>
      <c r="AB20" s="10"/>
      <c r="AC20" s="10"/>
      <c r="AD20" s="12">
        <f t="shared" si="0"/>
        <v>49</v>
      </c>
      <c r="AE20" s="12">
        <v>19</v>
      </c>
    </row>
    <row r="21" spans="1:31" x14ac:dyDescent="0.4">
      <c r="A21" s="24">
        <v>14</v>
      </c>
      <c r="B21" s="8" t="s">
        <v>116</v>
      </c>
      <c r="C21" s="9">
        <v>8</v>
      </c>
      <c r="D21" s="10"/>
      <c r="E21" s="10"/>
      <c r="F21" s="10"/>
      <c r="G21" s="10">
        <v>3</v>
      </c>
      <c r="H21" s="10"/>
      <c r="I21" s="10"/>
      <c r="J21" s="10"/>
      <c r="K21" s="10">
        <v>7</v>
      </c>
      <c r="L21" s="10"/>
      <c r="M21" s="10"/>
      <c r="N21" s="10"/>
      <c r="O21" s="10"/>
      <c r="P21" s="11"/>
      <c r="Q21" s="10"/>
      <c r="R21" s="10"/>
      <c r="S21" s="10"/>
      <c r="T21" s="10"/>
      <c r="U21" s="10">
        <v>3</v>
      </c>
      <c r="V21" s="10">
        <v>2</v>
      </c>
      <c r="W21" s="10"/>
      <c r="X21" s="10">
        <v>10</v>
      </c>
      <c r="Y21" s="10">
        <v>3</v>
      </c>
      <c r="Z21" s="10"/>
      <c r="AA21" s="10"/>
      <c r="AB21" s="10"/>
      <c r="AC21" s="10">
        <v>5</v>
      </c>
      <c r="AD21" s="12">
        <f t="shared" si="0"/>
        <v>41</v>
      </c>
      <c r="AE21" s="12">
        <v>20</v>
      </c>
    </row>
    <row r="22" spans="1:31" x14ac:dyDescent="0.4">
      <c r="A22" s="25" t="s">
        <v>19</v>
      </c>
      <c r="B22" s="8" t="s">
        <v>55</v>
      </c>
      <c r="C22" s="9"/>
      <c r="D22" s="10">
        <v>1</v>
      </c>
      <c r="E22" s="10"/>
      <c r="F22" s="10"/>
      <c r="G22" s="11"/>
      <c r="H22" s="10"/>
      <c r="I22" s="10"/>
      <c r="J22" s="10"/>
      <c r="K22" s="10">
        <v>2</v>
      </c>
      <c r="L22" s="10"/>
      <c r="M22" s="10">
        <v>4</v>
      </c>
      <c r="N22" s="10"/>
      <c r="O22" s="10"/>
      <c r="P22" s="10"/>
      <c r="Q22" s="10"/>
      <c r="R22" s="10">
        <v>1</v>
      </c>
      <c r="S22" s="10">
        <v>1</v>
      </c>
      <c r="T22" s="10"/>
      <c r="U22" s="10">
        <v>10</v>
      </c>
      <c r="V22" s="10">
        <v>3</v>
      </c>
      <c r="W22" s="10"/>
      <c r="X22" s="10">
        <v>5</v>
      </c>
      <c r="Y22" s="10">
        <v>12</v>
      </c>
      <c r="Z22" s="10"/>
      <c r="AA22" s="10"/>
      <c r="AB22" s="10"/>
      <c r="AC22" s="10"/>
      <c r="AD22" s="12">
        <f t="shared" si="0"/>
        <v>39</v>
      </c>
      <c r="AE22" s="12">
        <v>21</v>
      </c>
    </row>
    <row r="23" spans="1:31" x14ac:dyDescent="0.4">
      <c r="A23" s="24">
        <v>18</v>
      </c>
      <c r="B23" s="8" t="s">
        <v>98</v>
      </c>
      <c r="C23" s="9"/>
      <c r="D23" s="10"/>
      <c r="E23" s="10"/>
      <c r="F23" s="10">
        <v>8</v>
      </c>
      <c r="G23" s="10"/>
      <c r="H23" s="10"/>
      <c r="I23" s="10"/>
      <c r="J23" s="10">
        <v>6</v>
      </c>
      <c r="K23" s="10"/>
      <c r="L23" s="10">
        <v>4</v>
      </c>
      <c r="M23" s="10">
        <v>1</v>
      </c>
      <c r="N23" s="10"/>
      <c r="O23" s="10">
        <v>3</v>
      </c>
      <c r="P23" s="10"/>
      <c r="Q23" s="10">
        <v>6</v>
      </c>
      <c r="R23" s="10"/>
      <c r="S23" s="10"/>
      <c r="T23" s="11"/>
      <c r="U23" s="10"/>
      <c r="V23" s="10">
        <v>7</v>
      </c>
      <c r="W23" s="10"/>
      <c r="X23" s="10"/>
      <c r="Y23" s="10"/>
      <c r="Z23" s="10"/>
      <c r="AA23" s="10">
        <v>3</v>
      </c>
      <c r="AB23" s="10"/>
      <c r="AC23" s="10"/>
      <c r="AD23" s="12">
        <f t="shared" si="0"/>
        <v>38</v>
      </c>
      <c r="AE23" s="12">
        <v>22</v>
      </c>
    </row>
    <row r="24" spans="1:31" x14ac:dyDescent="0.4">
      <c r="A24" s="24">
        <v>13</v>
      </c>
      <c r="B24" s="8" t="s">
        <v>107</v>
      </c>
      <c r="C24" s="9"/>
      <c r="D24" s="10"/>
      <c r="E24" s="10"/>
      <c r="F24" s="10"/>
      <c r="G24" s="10"/>
      <c r="H24" s="10"/>
      <c r="I24" s="10">
        <v>7</v>
      </c>
      <c r="J24" s="10"/>
      <c r="K24" s="10"/>
      <c r="L24" s="10"/>
      <c r="M24" s="10"/>
      <c r="N24" s="10"/>
      <c r="O24" s="11"/>
      <c r="P24" s="10">
        <v>8</v>
      </c>
      <c r="Q24" s="10"/>
      <c r="R24" s="10"/>
      <c r="S24" s="10"/>
      <c r="T24" s="10">
        <v>6</v>
      </c>
      <c r="U24" s="10">
        <v>2</v>
      </c>
      <c r="V24" s="10"/>
      <c r="W24" s="10"/>
      <c r="X24" s="10">
        <v>3</v>
      </c>
      <c r="Y24" s="10"/>
      <c r="Z24" s="10">
        <v>4</v>
      </c>
      <c r="AA24" s="10"/>
      <c r="AB24" s="10"/>
      <c r="AC24" s="10"/>
      <c r="AD24" s="12">
        <f t="shared" si="0"/>
        <v>30</v>
      </c>
      <c r="AE24" s="12">
        <v>23</v>
      </c>
    </row>
    <row r="25" spans="1:31" x14ac:dyDescent="0.4">
      <c r="A25" s="26">
        <v>22</v>
      </c>
      <c r="B25" s="14" t="s">
        <v>43</v>
      </c>
      <c r="C25" s="15"/>
      <c r="D25" s="16"/>
      <c r="E25" s="16">
        <v>1</v>
      </c>
      <c r="F25" s="16"/>
      <c r="G25" s="16"/>
      <c r="H25" s="16">
        <v>1</v>
      </c>
      <c r="I25" s="16"/>
      <c r="J25" s="16"/>
      <c r="K25" s="16">
        <v>4</v>
      </c>
      <c r="L25" s="16"/>
      <c r="M25" s="16"/>
      <c r="N25" s="16"/>
      <c r="O25" s="16"/>
      <c r="P25" s="16"/>
      <c r="Q25" s="16"/>
      <c r="R25" s="16">
        <v>3</v>
      </c>
      <c r="S25" s="16">
        <v>6</v>
      </c>
      <c r="T25" s="16"/>
      <c r="U25" s="16"/>
      <c r="V25" s="16"/>
      <c r="W25" s="16">
        <v>3</v>
      </c>
      <c r="X25" s="17"/>
      <c r="Y25" s="16">
        <v>2</v>
      </c>
      <c r="Z25" s="16"/>
      <c r="AA25" s="16"/>
      <c r="AB25" s="16">
        <v>1</v>
      </c>
      <c r="AC25" s="16"/>
      <c r="AD25" s="18">
        <f t="shared" si="0"/>
        <v>21</v>
      </c>
      <c r="AE25" s="18">
        <v>24</v>
      </c>
    </row>
    <row r="26" spans="1:31" x14ac:dyDescent="0.4">
      <c r="A26" s="20"/>
      <c r="B26" s="19"/>
      <c r="C26" s="20">
        <f>SUM(C2:C25)</f>
        <v>58</v>
      </c>
      <c r="D26" s="20">
        <f t="shared" ref="D26:AC26" si="1">SUM(D2:D25)</f>
        <v>58</v>
      </c>
      <c r="E26" s="20">
        <f t="shared" si="1"/>
        <v>58</v>
      </c>
      <c r="F26" s="20">
        <f t="shared" si="1"/>
        <v>58</v>
      </c>
      <c r="G26" s="20">
        <f t="shared" si="1"/>
        <v>58</v>
      </c>
      <c r="H26" s="20">
        <f t="shared" si="1"/>
        <v>58</v>
      </c>
      <c r="I26" s="20">
        <f t="shared" si="1"/>
        <v>58</v>
      </c>
      <c r="J26" s="20">
        <f t="shared" si="1"/>
        <v>58</v>
      </c>
      <c r="K26" s="20">
        <f t="shared" si="1"/>
        <v>58</v>
      </c>
      <c r="L26" s="20">
        <f t="shared" si="1"/>
        <v>58</v>
      </c>
      <c r="M26" s="20">
        <f t="shared" si="1"/>
        <v>58</v>
      </c>
      <c r="N26" s="20">
        <f t="shared" si="1"/>
        <v>58</v>
      </c>
      <c r="O26" s="20">
        <f t="shared" si="1"/>
        <v>58</v>
      </c>
      <c r="P26" s="20">
        <f t="shared" si="1"/>
        <v>58</v>
      </c>
      <c r="Q26" s="20">
        <f t="shared" si="1"/>
        <v>58</v>
      </c>
      <c r="R26" s="20">
        <f t="shared" si="1"/>
        <v>58</v>
      </c>
      <c r="S26" s="20">
        <f t="shared" si="1"/>
        <v>58</v>
      </c>
      <c r="T26" s="20">
        <f t="shared" si="1"/>
        <v>58</v>
      </c>
      <c r="U26" s="20">
        <f t="shared" si="1"/>
        <v>58</v>
      </c>
      <c r="V26" s="20">
        <f t="shared" si="1"/>
        <v>58</v>
      </c>
      <c r="W26" s="20">
        <f t="shared" si="1"/>
        <v>58</v>
      </c>
      <c r="X26" s="20">
        <f t="shared" si="1"/>
        <v>58</v>
      </c>
      <c r="Y26" s="20">
        <f t="shared" si="1"/>
        <v>58</v>
      </c>
      <c r="Z26" s="20">
        <f t="shared" si="1"/>
        <v>58</v>
      </c>
      <c r="AA26" s="20">
        <f t="shared" si="1"/>
        <v>58</v>
      </c>
      <c r="AB26" s="20">
        <f t="shared" si="1"/>
        <v>58</v>
      </c>
      <c r="AC26" s="20">
        <f t="shared" si="1"/>
        <v>58</v>
      </c>
      <c r="AD26" s="20"/>
      <c r="AE26" s="20"/>
    </row>
  </sheetData>
  <sortState xmlns:xlrd2="http://schemas.microsoft.com/office/spreadsheetml/2017/richdata2" ref="A14:AF16">
    <sortCondition descending="1" ref="AF14:AF16"/>
  </sortState>
  <conditionalFormatting sqref="AF3">
    <cfRule type="cellIs" dxfId="0" priority="1" operator="equal">
      <formula>12</formula>
    </cfRule>
  </conditionalFormatting>
  <pageMargins left="0.7" right="0.7" top="0.75" bottom="0.75" header="0.3" footer="0.3"/>
  <pageSetup paperSize="9" orientation="portrait" r:id="rId1"/>
  <ignoredErrors>
    <ignoredError sqref="A5:A13 A17:A22 A14:A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68E8-2622-4001-9308-18CDCB413746}">
  <sheetPr>
    <tabColor rgb="FF5FDF71"/>
  </sheetPr>
  <dimension ref="A1:P26"/>
  <sheetViews>
    <sheetView zoomScaleNormal="100" workbookViewId="0">
      <selection activeCell="B1" sqref="B1"/>
    </sheetView>
  </sheetViews>
  <sheetFormatPr defaultRowHeight="13.2" x14ac:dyDescent="0.4"/>
  <cols>
    <col min="1" max="1" width="3.6640625" style="22" bestFit="1" customWidth="1"/>
    <col min="2" max="2" width="19.77734375" style="7" bestFit="1" customWidth="1"/>
    <col min="3" max="3" width="3.5546875" style="7" bestFit="1" customWidth="1"/>
    <col min="4" max="4" width="3.33203125" style="7" bestFit="1" customWidth="1"/>
    <col min="5" max="14" width="3.33203125" style="7" customWidth="1"/>
    <col min="15" max="16" width="3.33203125" style="7" bestFit="1" customWidth="1"/>
    <col min="17" max="20" width="8.88671875" style="7"/>
    <col min="21" max="21" width="9" style="7" customWidth="1"/>
    <col min="22" max="16384" width="8.88671875" style="7"/>
  </cols>
  <sheetData>
    <row r="1" spans="1:16" ht="118.2" x14ac:dyDescent="2.2999999999999998">
      <c r="A1" s="23"/>
      <c r="B1" s="38" t="s">
        <v>182</v>
      </c>
      <c r="C1" s="5" t="s">
        <v>166</v>
      </c>
      <c r="D1" s="5" t="s">
        <v>8</v>
      </c>
      <c r="E1" s="5" t="s">
        <v>33</v>
      </c>
      <c r="F1" s="5" t="s">
        <v>28</v>
      </c>
      <c r="G1" s="5" t="s">
        <v>69</v>
      </c>
      <c r="H1" s="5" t="s">
        <v>113</v>
      </c>
      <c r="I1" s="5" t="s">
        <v>47</v>
      </c>
      <c r="J1" s="5" t="s">
        <v>142</v>
      </c>
      <c r="K1" s="5" t="s">
        <v>159</v>
      </c>
      <c r="L1" s="5" t="s">
        <v>157</v>
      </c>
      <c r="M1" s="5" t="s">
        <v>133</v>
      </c>
      <c r="N1" s="5" t="s">
        <v>186</v>
      </c>
      <c r="O1" s="5" t="s">
        <v>184</v>
      </c>
      <c r="P1" s="5" t="s">
        <v>185</v>
      </c>
    </row>
    <row r="2" spans="1:16" x14ac:dyDescent="0.4">
      <c r="A2" s="24">
        <v>24</v>
      </c>
      <c r="B2" s="39" t="s">
        <v>15</v>
      </c>
      <c r="C2" s="10">
        <v>5</v>
      </c>
      <c r="D2" s="10">
        <v>1</v>
      </c>
      <c r="E2" s="10">
        <v>12</v>
      </c>
      <c r="F2" s="10">
        <v>10</v>
      </c>
      <c r="G2" s="10">
        <v>2</v>
      </c>
      <c r="H2" s="10">
        <v>7</v>
      </c>
      <c r="I2" s="10">
        <v>8</v>
      </c>
      <c r="J2" s="10"/>
      <c r="K2" s="10"/>
      <c r="L2" s="10">
        <v>12</v>
      </c>
      <c r="M2" s="10">
        <v>6</v>
      </c>
      <c r="N2" s="10">
        <v>6</v>
      </c>
      <c r="O2" s="10">
        <f t="shared" ref="O2:O25" si="0">SUM(C2:N2)</f>
        <v>69</v>
      </c>
      <c r="P2" s="10">
        <v>1</v>
      </c>
    </row>
    <row r="3" spans="1:16" x14ac:dyDescent="0.4">
      <c r="A3" s="41" t="s">
        <v>4</v>
      </c>
      <c r="B3" s="42" t="s">
        <v>2</v>
      </c>
      <c r="C3" s="54">
        <v>7</v>
      </c>
      <c r="D3" s="54">
        <v>2</v>
      </c>
      <c r="E3" s="54">
        <v>4</v>
      </c>
      <c r="F3" s="54">
        <v>12</v>
      </c>
      <c r="G3" s="54"/>
      <c r="H3" s="54"/>
      <c r="I3" s="54">
        <v>12</v>
      </c>
      <c r="J3" s="54"/>
      <c r="K3" s="54"/>
      <c r="L3" s="54">
        <v>5</v>
      </c>
      <c r="M3" s="54"/>
      <c r="N3" s="54">
        <v>6</v>
      </c>
      <c r="O3" s="43">
        <f t="shared" si="0"/>
        <v>48</v>
      </c>
      <c r="P3" s="44">
        <v>2</v>
      </c>
    </row>
    <row r="4" spans="1:16" x14ac:dyDescent="0.4">
      <c r="A4" s="25" t="s">
        <v>27</v>
      </c>
      <c r="B4" s="39" t="s">
        <v>180</v>
      </c>
      <c r="C4" s="10">
        <v>1</v>
      </c>
      <c r="D4" s="10"/>
      <c r="E4" s="10"/>
      <c r="F4" s="10"/>
      <c r="G4" s="10">
        <v>10</v>
      </c>
      <c r="H4" s="10">
        <v>8</v>
      </c>
      <c r="I4" s="10">
        <v>5</v>
      </c>
      <c r="J4" s="10">
        <v>2</v>
      </c>
      <c r="K4" s="10">
        <v>6</v>
      </c>
      <c r="L4" s="10">
        <v>8</v>
      </c>
      <c r="M4" s="10"/>
      <c r="N4" s="10">
        <v>6</v>
      </c>
      <c r="O4" s="10">
        <f t="shared" si="0"/>
        <v>46</v>
      </c>
      <c r="P4" s="10">
        <v>3</v>
      </c>
    </row>
    <row r="5" spans="1:16" x14ac:dyDescent="0.4">
      <c r="A5" s="24">
        <v>13</v>
      </c>
      <c r="B5" s="39" t="s">
        <v>107</v>
      </c>
      <c r="C5" s="10">
        <v>2</v>
      </c>
      <c r="D5" s="10">
        <v>6</v>
      </c>
      <c r="E5" s="10">
        <v>6</v>
      </c>
      <c r="F5" s="10"/>
      <c r="G5" s="10"/>
      <c r="H5" s="10">
        <v>5</v>
      </c>
      <c r="I5" s="10"/>
      <c r="J5" s="10"/>
      <c r="K5" s="10">
        <v>1</v>
      </c>
      <c r="L5" s="10">
        <v>10</v>
      </c>
      <c r="M5" s="10">
        <v>2</v>
      </c>
      <c r="N5" s="10">
        <v>6</v>
      </c>
      <c r="O5" s="10">
        <f t="shared" si="0"/>
        <v>38</v>
      </c>
      <c r="P5" s="10">
        <v>4</v>
      </c>
    </row>
    <row r="6" spans="1:16" x14ac:dyDescent="0.4">
      <c r="A6" s="25" t="s">
        <v>31</v>
      </c>
      <c r="B6" s="39" t="s">
        <v>173</v>
      </c>
      <c r="C6" s="10">
        <v>8</v>
      </c>
      <c r="D6" s="10"/>
      <c r="E6" s="10">
        <v>1</v>
      </c>
      <c r="F6" s="10"/>
      <c r="G6" s="10"/>
      <c r="H6" s="10">
        <v>10</v>
      </c>
      <c r="I6" s="10">
        <v>7</v>
      </c>
      <c r="J6" s="10">
        <v>3</v>
      </c>
      <c r="K6" s="10">
        <v>2</v>
      </c>
      <c r="L6" s="10"/>
      <c r="M6" s="10"/>
      <c r="N6" s="10">
        <v>6</v>
      </c>
      <c r="O6" s="10">
        <f>SUM(C6:N6)</f>
        <v>37</v>
      </c>
      <c r="P6" s="10">
        <v>5</v>
      </c>
    </row>
    <row r="7" spans="1:16" x14ac:dyDescent="0.4">
      <c r="A7" s="25" t="s">
        <v>11</v>
      </c>
      <c r="B7" s="39" t="s">
        <v>91</v>
      </c>
      <c r="C7" s="10"/>
      <c r="D7" s="10"/>
      <c r="E7" s="10"/>
      <c r="F7" s="10"/>
      <c r="G7" s="10">
        <v>6</v>
      </c>
      <c r="H7" s="10">
        <v>3</v>
      </c>
      <c r="I7" s="10">
        <v>4</v>
      </c>
      <c r="J7" s="10">
        <v>10</v>
      </c>
      <c r="K7" s="10">
        <v>5</v>
      </c>
      <c r="L7" s="10"/>
      <c r="M7" s="10">
        <v>3</v>
      </c>
      <c r="N7" s="10">
        <v>6</v>
      </c>
      <c r="O7" s="10">
        <f>SUM(C7:N7)</f>
        <v>37</v>
      </c>
      <c r="P7" s="10">
        <v>6</v>
      </c>
    </row>
    <row r="8" spans="1:16" x14ac:dyDescent="0.4">
      <c r="A8" s="24">
        <v>14</v>
      </c>
      <c r="B8" s="39" t="s">
        <v>116</v>
      </c>
      <c r="C8" s="10"/>
      <c r="D8" s="10"/>
      <c r="E8" s="10">
        <v>10</v>
      </c>
      <c r="F8" s="10"/>
      <c r="G8" s="10">
        <v>4</v>
      </c>
      <c r="H8" s="10">
        <v>12</v>
      </c>
      <c r="I8" s="10">
        <v>10</v>
      </c>
      <c r="J8" s="10"/>
      <c r="K8" s="10"/>
      <c r="L8" s="10"/>
      <c r="M8" s="10">
        <v>1</v>
      </c>
      <c r="N8" s="10"/>
      <c r="O8" s="10">
        <f>SUM(C8:N8)</f>
        <v>37</v>
      </c>
      <c r="P8" s="10">
        <v>7</v>
      </c>
    </row>
    <row r="9" spans="1:16" x14ac:dyDescent="0.4">
      <c r="A9" s="24">
        <v>21</v>
      </c>
      <c r="B9" s="39" t="s">
        <v>78</v>
      </c>
      <c r="C9" s="10"/>
      <c r="D9" s="10">
        <v>7</v>
      </c>
      <c r="E9" s="10">
        <v>8</v>
      </c>
      <c r="F9" s="10"/>
      <c r="G9" s="10"/>
      <c r="H9" s="10"/>
      <c r="I9" s="10"/>
      <c r="J9" s="10"/>
      <c r="K9" s="10">
        <v>10</v>
      </c>
      <c r="L9" s="10"/>
      <c r="M9" s="10">
        <v>12</v>
      </c>
      <c r="N9" s="10"/>
      <c r="O9" s="10">
        <f>SUM(C9:N9)</f>
        <v>37</v>
      </c>
      <c r="P9" s="10">
        <v>8</v>
      </c>
    </row>
    <row r="10" spans="1:16" x14ac:dyDescent="0.4">
      <c r="A10" s="24">
        <v>12</v>
      </c>
      <c r="B10" s="39" t="s">
        <v>154</v>
      </c>
      <c r="C10" s="10">
        <v>3</v>
      </c>
      <c r="D10" s="10"/>
      <c r="E10" s="10"/>
      <c r="F10" s="10"/>
      <c r="G10" s="10"/>
      <c r="H10" s="10">
        <v>1</v>
      </c>
      <c r="I10" s="10"/>
      <c r="J10" s="10">
        <v>4</v>
      </c>
      <c r="K10" s="10">
        <v>12</v>
      </c>
      <c r="L10" s="10"/>
      <c r="M10" s="10">
        <v>8</v>
      </c>
      <c r="N10" s="10">
        <v>6</v>
      </c>
      <c r="O10" s="10">
        <f t="shared" si="0"/>
        <v>34</v>
      </c>
      <c r="P10" s="10">
        <v>9</v>
      </c>
    </row>
    <row r="11" spans="1:16" x14ac:dyDescent="0.4">
      <c r="A11" s="24">
        <v>19</v>
      </c>
      <c r="B11" s="39" t="s">
        <v>20</v>
      </c>
      <c r="C11" s="10"/>
      <c r="D11" s="10">
        <v>5</v>
      </c>
      <c r="E11" s="10">
        <v>7</v>
      </c>
      <c r="F11" s="10">
        <v>4</v>
      </c>
      <c r="G11" s="10"/>
      <c r="H11" s="10">
        <v>4</v>
      </c>
      <c r="I11" s="10"/>
      <c r="J11" s="10"/>
      <c r="K11" s="10"/>
      <c r="L11" s="10">
        <v>6</v>
      </c>
      <c r="M11" s="10"/>
      <c r="N11" s="10">
        <v>6</v>
      </c>
      <c r="O11" s="10">
        <f t="shared" si="0"/>
        <v>32</v>
      </c>
      <c r="P11" s="10">
        <v>10</v>
      </c>
    </row>
    <row r="12" spans="1:16" x14ac:dyDescent="0.4">
      <c r="A12" s="24">
        <v>15</v>
      </c>
      <c r="B12" s="39" t="s">
        <v>76</v>
      </c>
      <c r="C12" s="10"/>
      <c r="D12" s="10"/>
      <c r="E12" s="10"/>
      <c r="F12" s="10">
        <v>7</v>
      </c>
      <c r="G12" s="10"/>
      <c r="H12" s="10"/>
      <c r="I12" s="10"/>
      <c r="J12" s="10">
        <v>5</v>
      </c>
      <c r="K12" s="10"/>
      <c r="L12" s="10">
        <v>4</v>
      </c>
      <c r="M12" s="10">
        <v>10</v>
      </c>
      <c r="N12" s="10">
        <v>6</v>
      </c>
      <c r="O12" s="10">
        <f t="shared" si="0"/>
        <v>32</v>
      </c>
      <c r="P12" s="10">
        <v>11</v>
      </c>
    </row>
    <row r="13" spans="1:16" x14ac:dyDescent="0.4">
      <c r="A13" s="24">
        <v>18</v>
      </c>
      <c r="B13" s="39" t="s">
        <v>98</v>
      </c>
      <c r="C13" s="10">
        <v>4</v>
      </c>
      <c r="D13" s="10">
        <v>8</v>
      </c>
      <c r="E13" s="10"/>
      <c r="F13" s="10">
        <v>1</v>
      </c>
      <c r="G13" s="10">
        <v>7</v>
      </c>
      <c r="H13" s="10"/>
      <c r="I13" s="10"/>
      <c r="J13" s="10">
        <v>1</v>
      </c>
      <c r="K13" s="10">
        <v>4</v>
      </c>
      <c r="L13" s="10"/>
      <c r="M13" s="10"/>
      <c r="N13" s="10">
        <v>6</v>
      </c>
      <c r="O13" s="10">
        <f t="shared" si="0"/>
        <v>31</v>
      </c>
      <c r="P13" s="10">
        <v>12</v>
      </c>
    </row>
    <row r="14" spans="1:16" x14ac:dyDescent="0.4">
      <c r="A14" s="25" t="s">
        <v>16</v>
      </c>
      <c r="B14" s="39" t="s">
        <v>89</v>
      </c>
      <c r="C14" s="10"/>
      <c r="D14" s="10"/>
      <c r="E14" s="10">
        <v>3</v>
      </c>
      <c r="F14" s="10"/>
      <c r="G14" s="10">
        <v>1</v>
      </c>
      <c r="H14" s="10">
        <v>6</v>
      </c>
      <c r="I14" s="10"/>
      <c r="J14" s="10">
        <v>7</v>
      </c>
      <c r="K14" s="10">
        <v>7</v>
      </c>
      <c r="L14" s="10"/>
      <c r="M14" s="10">
        <v>4</v>
      </c>
      <c r="N14" s="10"/>
      <c r="O14" s="10">
        <f t="shared" si="0"/>
        <v>28</v>
      </c>
      <c r="P14" s="10">
        <v>13</v>
      </c>
    </row>
    <row r="15" spans="1:16" x14ac:dyDescent="0.4">
      <c r="A15" s="24">
        <v>20</v>
      </c>
      <c r="B15" s="39" t="s">
        <v>172</v>
      </c>
      <c r="C15" s="10">
        <v>12</v>
      </c>
      <c r="D15" s="10"/>
      <c r="E15" s="10"/>
      <c r="F15" s="10">
        <v>6</v>
      </c>
      <c r="G15" s="10">
        <v>8</v>
      </c>
      <c r="H15" s="10"/>
      <c r="I15" s="10"/>
      <c r="J15" s="10"/>
      <c r="K15" s="10"/>
      <c r="L15" s="10"/>
      <c r="M15" s="10"/>
      <c r="N15" s="10"/>
      <c r="O15" s="10">
        <f t="shared" si="0"/>
        <v>26</v>
      </c>
      <c r="P15" s="10">
        <v>14</v>
      </c>
    </row>
    <row r="16" spans="1:16" x14ac:dyDescent="0.4">
      <c r="A16" s="24">
        <v>17</v>
      </c>
      <c r="B16" s="39" t="s">
        <v>58</v>
      </c>
      <c r="C16" s="10"/>
      <c r="D16" s="10">
        <v>12</v>
      </c>
      <c r="E16" s="10">
        <v>5</v>
      </c>
      <c r="F16" s="10"/>
      <c r="G16" s="10"/>
      <c r="H16" s="10">
        <v>2</v>
      </c>
      <c r="I16" s="10"/>
      <c r="J16" s="10"/>
      <c r="K16" s="10"/>
      <c r="L16" s="10"/>
      <c r="M16" s="10"/>
      <c r="N16" s="10">
        <v>6</v>
      </c>
      <c r="O16" s="10">
        <f t="shared" si="0"/>
        <v>25</v>
      </c>
      <c r="P16" s="10">
        <v>15</v>
      </c>
    </row>
    <row r="17" spans="1:16" x14ac:dyDescent="0.4">
      <c r="A17" s="24">
        <v>23</v>
      </c>
      <c r="B17" s="39" t="s">
        <v>62</v>
      </c>
      <c r="C17" s="10">
        <v>10</v>
      </c>
      <c r="D17" s="10"/>
      <c r="E17" s="10"/>
      <c r="F17" s="10">
        <v>5</v>
      </c>
      <c r="G17" s="10"/>
      <c r="H17" s="10"/>
      <c r="I17" s="10"/>
      <c r="J17" s="10"/>
      <c r="K17" s="10"/>
      <c r="L17" s="10">
        <v>2</v>
      </c>
      <c r="M17" s="10"/>
      <c r="N17" s="10">
        <v>6</v>
      </c>
      <c r="O17" s="10">
        <f t="shared" si="0"/>
        <v>23</v>
      </c>
      <c r="P17" s="10">
        <v>16</v>
      </c>
    </row>
    <row r="18" spans="1:16" x14ac:dyDescent="0.4">
      <c r="A18" s="24">
        <v>11</v>
      </c>
      <c r="B18" s="39" t="s">
        <v>52</v>
      </c>
      <c r="C18" s="10"/>
      <c r="D18" s="10"/>
      <c r="E18" s="10"/>
      <c r="F18" s="10">
        <v>3</v>
      </c>
      <c r="G18" s="10"/>
      <c r="H18" s="10"/>
      <c r="I18" s="10"/>
      <c r="J18" s="10">
        <v>12</v>
      </c>
      <c r="K18" s="10">
        <v>3</v>
      </c>
      <c r="L18" s="10">
        <v>3</v>
      </c>
      <c r="M18" s="10"/>
      <c r="N18" s="10"/>
      <c r="O18" s="10">
        <f>SUM(C18:N18)</f>
        <v>21</v>
      </c>
      <c r="P18" s="10">
        <v>18</v>
      </c>
    </row>
    <row r="19" spans="1:16" x14ac:dyDescent="0.4">
      <c r="A19" s="24">
        <v>16</v>
      </c>
      <c r="B19" s="39" t="s">
        <v>105</v>
      </c>
      <c r="C19" s="10"/>
      <c r="D19" s="10"/>
      <c r="E19" s="10"/>
      <c r="F19" s="10"/>
      <c r="G19" s="10">
        <v>12</v>
      </c>
      <c r="H19" s="10"/>
      <c r="I19" s="10"/>
      <c r="J19" s="10">
        <v>8</v>
      </c>
      <c r="K19" s="10"/>
      <c r="L19" s="10">
        <v>1</v>
      </c>
      <c r="M19" s="10"/>
      <c r="N19" s="10"/>
      <c r="O19" s="10">
        <f>SUM(C19:N19)</f>
        <v>21</v>
      </c>
      <c r="P19" s="10">
        <v>17</v>
      </c>
    </row>
    <row r="20" spans="1:16" x14ac:dyDescent="0.4">
      <c r="A20" s="25" t="s">
        <v>23</v>
      </c>
      <c r="B20" s="39" t="s">
        <v>163</v>
      </c>
      <c r="C20" s="10">
        <v>6</v>
      </c>
      <c r="D20" s="10"/>
      <c r="E20" s="10"/>
      <c r="F20" s="10">
        <v>8</v>
      </c>
      <c r="G20" s="10">
        <v>3</v>
      </c>
      <c r="H20" s="10"/>
      <c r="I20" s="10">
        <v>2</v>
      </c>
      <c r="J20" s="10"/>
      <c r="K20" s="10"/>
      <c r="L20" s="10"/>
      <c r="M20" s="10"/>
      <c r="N20" s="10"/>
      <c r="O20" s="10">
        <f t="shared" si="0"/>
        <v>19</v>
      </c>
      <c r="P20" s="10">
        <v>19</v>
      </c>
    </row>
    <row r="21" spans="1:16" x14ac:dyDescent="0.4">
      <c r="A21" s="24">
        <v>10</v>
      </c>
      <c r="B21" s="39" t="s">
        <v>181</v>
      </c>
      <c r="C21" s="10"/>
      <c r="D21" s="10"/>
      <c r="E21" s="10"/>
      <c r="F21" s="10"/>
      <c r="G21" s="10"/>
      <c r="H21" s="10"/>
      <c r="I21" s="10"/>
      <c r="J21" s="10">
        <v>6</v>
      </c>
      <c r="K21" s="10">
        <v>8</v>
      </c>
      <c r="L21" s="10"/>
      <c r="M21" s="10">
        <v>5</v>
      </c>
      <c r="N21" s="10"/>
      <c r="O21" s="10">
        <f t="shared" si="0"/>
        <v>19</v>
      </c>
      <c r="P21" s="10">
        <v>20</v>
      </c>
    </row>
    <row r="22" spans="1:16" x14ac:dyDescent="0.4">
      <c r="A22" s="25" t="s">
        <v>35</v>
      </c>
      <c r="B22" s="39" t="s">
        <v>38</v>
      </c>
      <c r="C22" s="10"/>
      <c r="D22" s="10">
        <v>3</v>
      </c>
      <c r="E22" s="10">
        <v>2</v>
      </c>
      <c r="F22" s="10"/>
      <c r="G22" s="10"/>
      <c r="H22" s="10"/>
      <c r="I22" s="10"/>
      <c r="J22" s="10"/>
      <c r="K22" s="10"/>
      <c r="L22" s="10"/>
      <c r="M22" s="10">
        <v>7</v>
      </c>
      <c r="N22" s="10">
        <v>6</v>
      </c>
      <c r="O22" s="10">
        <f t="shared" si="0"/>
        <v>18</v>
      </c>
      <c r="P22" s="10">
        <v>21</v>
      </c>
    </row>
    <row r="23" spans="1:16" x14ac:dyDescent="0.4">
      <c r="A23" s="25" t="s">
        <v>9</v>
      </c>
      <c r="B23" s="39" t="s">
        <v>83</v>
      </c>
      <c r="C23" s="10"/>
      <c r="D23" s="10"/>
      <c r="E23" s="10"/>
      <c r="F23" s="10">
        <v>2</v>
      </c>
      <c r="G23" s="10">
        <v>5</v>
      </c>
      <c r="H23" s="10"/>
      <c r="I23" s="10">
        <v>3</v>
      </c>
      <c r="J23" s="10"/>
      <c r="K23" s="10"/>
      <c r="L23" s="10">
        <v>7</v>
      </c>
      <c r="M23" s="10"/>
      <c r="N23" s="10"/>
      <c r="O23" s="10">
        <f t="shared" si="0"/>
        <v>17</v>
      </c>
      <c r="P23" s="10">
        <v>22</v>
      </c>
    </row>
    <row r="24" spans="1:16" x14ac:dyDescent="0.4">
      <c r="A24" s="24">
        <v>22</v>
      </c>
      <c r="B24" s="39" t="s">
        <v>43</v>
      </c>
      <c r="C24" s="10"/>
      <c r="D24" s="10">
        <v>10</v>
      </c>
      <c r="E24" s="10"/>
      <c r="F24" s="10"/>
      <c r="G24" s="10"/>
      <c r="H24" s="10"/>
      <c r="I24" s="10">
        <v>1</v>
      </c>
      <c r="J24" s="10"/>
      <c r="K24" s="10"/>
      <c r="L24" s="10"/>
      <c r="M24" s="10"/>
      <c r="N24" s="10"/>
      <c r="O24" s="10">
        <f t="shared" si="0"/>
        <v>11</v>
      </c>
      <c r="P24" s="10">
        <v>23</v>
      </c>
    </row>
    <row r="25" spans="1:16" x14ac:dyDescent="0.4">
      <c r="A25" s="27" t="s">
        <v>19</v>
      </c>
      <c r="B25" s="45" t="s">
        <v>55</v>
      </c>
      <c r="C25" s="16"/>
      <c r="D25" s="16">
        <v>4</v>
      </c>
      <c r="E25" s="16"/>
      <c r="F25" s="16"/>
      <c r="G25" s="16"/>
      <c r="H25" s="16"/>
      <c r="I25" s="16">
        <v>6</v>
      </c>
      <c r="J25" s="16"/>
      <c r="K25" s="16"/>
      <c r="L25" s="16"/>
      <c r="M25" s="16"/>
      <c r="N25" s="16"/>
      <c r="O25" s="16">
        <f t="shared" si="0"/>
        <v>10</v>
      </c>
      <c r="P25" s="16">
        <v>24</v>
      </c>
    </row>
    <row r="26" spans="1:16" x14ac:dyDescent="0.4">
      <c r="A26" s="20"/>
      <c r="B26" s="19"/>
      <c r="C26" s="20">
        <f t="shared" ref="C26:M26" si="1">SUM(C2:C25)</f>
        <v>58</v>
      </c>
      <c r="D26" s="20">
        <f t="shared" si="1"/>
        <v>58</v>
      </c>
      <c r="E26" s="20">
        <f t="shared" si="1"/>
        <v>58</v>
      </c>
      <c r="F26" s="20">
        <f t="shared" si="1"/>
        <v>58</v>
      </c>
      <c r="G26" s="20">
        <f t="shared" si="1"/>
        <v>58</v>
      </c>
      <c r="H26" s="20">
        <f t="shared" si="1"/>
        <v>58</v>
      </c>
      <c r="I26" s="20">
        <f t="shared" si="1"/>
        <v>58</v>
      </c>
      <c r="J26" s="20">
        <f t="shared" si="1"/>
        <v>58</v>
      </c>
      <c r="K26" s="20">
        <f t="shared" si="1"/>
        <v>58</v>
      </c>
      <c r="L26" s="20">
        <f t="shared" si="1"/>
        <v>58</v>
      </c>
      <c r="M26" s="20">
        <f t="shared" si="1"/>
        <v>58</v>
      </c>
      <c r="N26" s="20"/>
      <c r="O26" s="20"/>
      <c r="P26" s="20"/>
    </row>
  </sheetData>
  <sortState xmlns:xlrd2="http://schemas.microsoft.com/office/spreadsheetml/2017/richdata2" ref="A18:Q19">
    <sortCondition descending="1" ref="Q18:Q19"/>
  </sortState>
  <pageMargins left="0.7" right="0.7" top="0.75" bottom="0.75" header="0.3" footer="0.3"/>
  <ignoredErrors>
    <ignoredError sqref="A3:A5 A10:A17 A6:A7 A20:A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A7B6-275C-4AA8-B85A-1A74B65A327F}">
  <sheetPr>
    <tabColor rgb="FF5FDF71"/>
  </sheetPr>
  <dimension ref="A1:AE26"/>
  <sheetViews>
    <sheetView workbookViewId="0">
      <selection activeCell="B1" sqref="B1"/>
    </sheetView>
  </sheetViews>
  <sheetFormatPr defaultRowHeight="13.2" x14ac:dyDescent="0.4"/>
  <cols>
    <col min="1" max="1" width="3" style="7" bestFit="1" customWidth="1"/>
    <col min="2" max="2" width="21.88671875" style="7" bestFit="1" customWidth="1"/>
    <col min="3" max="31" width="3.33203125" style="7" bestFit="1" customWidth="1"/>
    <col min="32" max="34" width="8.88671875" style="7"/>
    <col min="35" max="35" width="8.88671875" style="7" customWidth="1"/>
    <col min="36" max="16384" width="8.88671875" style="7"/>
  </cols>
  <sheetData>
    <row r="1" spans="1:31" ht="118.2" x14ac:dyDescent="2.2999999999999998">
      <c r="A1" s="3"/>
      <c r="B1" s="2" t="s">
        <v>183</v>
      </c>
      <c r="C1" s="5" t="s">
        <v>69</v>
      </c>
      <c r="D1" s="5" t="s">
        <v>49</v>
      </c>
      <c r="E1" s="5" t="s">
        <v>101</v>
      </c>
      <c r="F1" s="5" t="s">
        <v>85</v>
      </c>
      <c r="G1" s="5" t="s">
        <v>159</v>
      </c>
      <c r="H1" s="5" t="s">
        <v>171</v>
      </c>
      <c r="I1" s="5" t="s">
        <v>28</v>
      </c>
      <c r="J1" s="5" t="s">
        <v>122</v>
      </c>
      <c r="K1" s="5" t="s">
        <v>65</v>
      </c>
      <c r="L1" s="5" t="s">
        <v>157</v>
      </c>
      <c r="M1" s="5" t="s">
        <v>113</v>
      </c>
      <c r="N1" s="5" t="s">
        <v>110</v>
      </c>
      <c r="O1" s="5" t="s">
        <v>40</v>
      </c>
      <c r="P1" s="5" t="s">
        <v>148</v>
      </c>
      <c r="Q1" s="5" t="s">
        <v>120</v>
      </c>
      <c r="R1" s="5" t="s">
        <v>130</v>
      </c>
      <c r="S1" s="5" t="s">
        <v>70</v>
      </c>
      <c r="T1" s="5" t="s">
        <v>8</v>
      </c>
      <c r="U1" s="5" t="s">
        <v>33</v>
      </c>
      <c r="V1" s="5" t="s">
        <v>144</v>
      </c>
      <c r="W1" s="5" t="s">
        <v>134</v>
      </c>
      <c r="X1" s="5" t="s">
        <v>47</v>
      </c>
      <c r="Y1" s="5" t="s">
        <v>12</v>
      </c>
      <c r="Z1" s="5" t="s">
        <v>142</v>
      </c>
      <c r="AA1" s="5" t="s">
        <v>166</v>
      </c>
      <c r="AB1" s="5" t="s">
        <v>133</v>
      </c>
      <c r="AC1" s="5" t="s">
        <v>127</v>
      </c>
      <c r="AD1" s="6" t="s">
        <v>184</v>
      </c>
      <c r="AE1" s="6" t="s">
        <v>185</v>
      </c>
    </row>
    <row r="2" spans="1:31" x14ac:dyDescent="0.4">
      <c r="A2" s="30" t="s">
        <v>27</v>
      </c>
      <c r="B2" s="28" t="s">
        <v>28</v>
      </c>
      <c r="C2" s="9"/>
      <c r="D2" s="10">
        <v>7</v>
      </c>
      <c r="E2" s="10">
        <v>1</v>
      </c>
      <c r="F2" s="10"/>
      <c r="G2" s="10">
        <v>6</v>
      </c>
      <c r="H2" s="10">
        <v>12</v>
      </c>
      <c r="I2" s="11"/>
      <c r="J2" s="10">
        <v>12</v>
      </c>
      <c r="K2" s="10">
        <v>5</v>
      </c>
      <c r="L2" s="10">
        <v>12</v>
      </c>
      <c r="M2" s="10">
        <v>10</v>
      </c>
      <c r="N2" s="10">
        <v>7</v>
      </c>
      <c r="O2" s="10"/>
      <c r="P2" s="10"/>
      <c r="Q2" s="10"/>
      <c r="R2" s="10">
        <v>5</v>
      </c>
      <c r="S2" s="10">
        <v>6</v>
      </c>
      <c r="T2" s="10">
        <v>5</v>
      </c>
      <c r="U2" s="10">
        <v>6</v>
      </c>
      <c r="V2" s="10">
        <v>8</v>
      </c>
      <c r="W2" s="10">
        <v>7</v>
      </c>
      <c r="X2" s="10">
        <v>6</v>
      </c>
      <c r="Y2" s="10">
        <v>2</v>
      </c>
      <c r="Z2" s="10">
        <v>4</v>
      </c>
      <c r="AA2" s="10">
        <v>10</v>
      </c>
      <c r="AB2" s="10">
        <v>7</v>
      </c>
      <c r="AC2" s="10">
        <v>2</v>
      </c>
      <c r="AD2" s="30">
        <f t="shared" ref="AD2:AD25" si="0">SUM(C2:AC2)</f>
        <v>140</v>
      </c>
      <c r="AE2" s="30">
        <v>1</v>
      </c>
    </row>
    <row r="3" spans="1:31" x14ac:dyDescent="0.4">
      <c r="A3" s="30">
        <v>18</v>
      </c>
      <c r="B3" s="28" t="s">
        <v>8</v>
      </c>
      <c r="C3" s="9"/>
      <c r="D3" s="10">
        <v>4</v>
      </c>
      <c r="E3" s="10">
        <v>6</v>
      </c>
      <c r="F3" s="10">
        <v>3</v>
      </c>
      <c r="G3" s="10">
        <v>12</v>
      </c>
      <c r="H3" s="10">
        <v>8</v>
      </c>
      <c r="I3" s="10">
        <v>8</v>
      </c>
      <c r="J3" s="10">
        <v>7</v>
      </c>
      <c r="K3" s="10">
        <v>4</v>
      </c>
      <c r="L3" s="10">
        <v>4</v>
      </c>
      <c r="M3" s="10">
        <v>3</v>
      </c>
      <c r="N3" s="10">
        <v>4</v>
      </c>
      <c r="O3" s="10">
        <v>3</v>
      </c>
      <c r="P3" s="10"/>
      <c r="Q3" s="10"/>
      <c r="R3" s="10"/>
      <c r="S3" s="10"/>
      <c r="T3" s="11"/>
      <c r="U3" s="10">
        <v>12</v>
      </c>
      <c r="V3" s="10">
        <v>6</v>
      </c>
      <c r="W3" s="10">
        <v>10</v>
      </c>
      <c r="X3" s="10"/>
      <c r="Y3" s="10">
        <v>5</v>
      </c>
      <c r="Z3" s="10">
        <v>8</v>
      </c>
      <c r="AA3" s="10">
        <v>8</v>
      </c>
      <c r="AB3" s="10">
        <v>12</v>
      </c>
      <c r="AC3" s="10">
        <v>5</v>
      </c>
      <c r="AD3" s="30">
        <f t="shared" si="0"/>
        <v>132</v>
      </c>
      <c r="AE3" s="30">
        <v>2</v>
      </c>
    </row>
    <row r="4" spans="1:31" x14ac:dyDescent="0.4">
      <c r="A4" s="30" t="s">
        <v>23</v>
      </c>
      <c r="B4" s="28" t="s">
        <v>171</v>
      </c>
      <c r="C4" s="9"/>
      <c r="D4" s="10">
        <v>6</v>
      </c>
      <c r="E4" s="10">
        <v>12</v>
      </c>
      <c r="F4" s="10"/>
      <c r="G4" s="10"/>
      <c r="H4" s="11"/>
      <c r="I4" s="10"/>
      <c r="J4" s="10"/>
      <c r="K4" s="10">
        <v>12</v>
      </c>
      <c r="L4" s="10">
        <v>1</v>
      </c>
      <c r="M4" s="10">
        <v>8</v>
      </c>
      <c r="N4" s="10"/>
      <c r="O4" s="10"/>
      <c r="P4" s="10"/>
      <c r="Q4" s="10"/>
      <c r="R4" s="10">
        <v>6</v>
      </c>
      <c r="S4" s="10">
        <v>2</v>
      </c>
      <c r="T4" s="10"/>
      <c r="U4" s="10">
        <v>10</v>
      </c>
      <c r="V4" s="10"/>
      <c r="W4" s="10">
        <v>1</v>
      </c>
      <c r="X4" s="10">
        <v>7</v>
      </c>
      <c r="Y4" s="10">
        <v>10</v>
      </c>
      <c r="Z4" s="10">
        <v>3</v>
      </c>
      <c r="AA4" s="10"/>
      <c r="AB4" s="10">
        <v>5</v>
      </c>
      <c r="AC4" s="10"/>
      <c r="AD4" s="30">
        <f t="shared" si="0"/>
        <v>83</v>
      </c>
      <c r="AE4" s="30">
        <v>3</v>
      </c>
    </row>
    <row r="5" spans="1:31" x14ac:dyDescent="0.4">
      <c r="A5" s="29">
        <v>16</v>
      </c>
      <c r="B5" s="28" t="s">
        <v>130</v>
      </c>
      <c r="C5" s="9">
        <v>7</v>
      </c>
      <c r="D5" s="10">
        <v>5</v>
      </c>
      <c r="E5" s="10"/>
      <c r="F5" s="10"/>
      <c r="G5" s="10">
        <v>4</v>
      </c>
      <c r="H5" s="10"/>
      <c r="I5" s="10">
        <v>3</v>
      </c>
      <c r="J5" s="10">
        <v>2</v>
      </c>
      <c r="K5" s="10"/>
      <c r="L5" s="10">
        <v>5</v>
      </c>
      <c r="M5" s="10">
        <v>1</v>
      </c>
      <c r="N5" s="10"/>
      <c r="O5" s="10">
        <v>8</v>
      </c>
      <c r="P5" s="10"/>
      <c r="Q5" s="10">
        <v>3</v>
      </c>
      <c r="R5" s="11"/>
      <c r="S5" s="10"/>
      <c r="T5" s="10"/>
      <c r="U5" s="10"/>
      <c r="V5" s="10"/>
      <c r="W5" s="10">
        <v>8</v>
      </c>
      <c r="X5" s="10">
        <v>3</v>
      </c>
      <c r="Y5" s="10">
        <v>3</v>
      </c>
      <c r="Z5" s="10"/>
      <c r="AA5" s="10">
        <v>6</v>
      </c>
      <c r="AB5" s="10">
        <v>10</v>
      </c>
      <c r="AC5" s="10">
        <v>7</v>
      </c>
      <c r="AD5" s="30">
        <f t="shared" si="0"/>
        <v>75</v>
      </c>
      <c r="AE5" s="30">
        <v>4</v>
      </c>
    </row>
    <row r="6" spans="1:31" x14ac:dyDescent="0.4">
      <c r="A6" s="30">
        <v>17</v>
      </c>
      <c r="B6" s="28" t="s">
        <v>70</v>
      </c>
      <c r="C6" s="9">
        <v>12</v>
      </c>
      <c r="D6" s="10"/>
      <c r="E6" s="10"/>
      <c r="F6" s="10">
        <v>10</v>
      </c>
      <c r="G6" s="10"/>
      <c r="H6" s="10">
        <v>4</v>
      </c>
      <c r="I6" s="10">
        <v>6</v>
      </c>
      <c r="J6" s="10"/>
      <c r="K6" s="10"/>
      <c r="L6" s="10">
        <v>8</v>
      </c>
      <c r="M6" s="10">
        <v>5</v>
      </c>
      <c r="N6" s="10">
        <v>10</v>
      </c>
      <c r="O6" s="10"/>
      <c r="P6" s="10"/>
      <c r="Q6" s="10"/>
      <c r="R6" s="10">
        <v>1</v>
      </c>
      <c r="S6" s="11"/>
      <c r="T6" s="10"/>
      <c r="U6" s="10"/>
      <c r="V6" s="10"/>
      <c r="W6" s="10"/>
      <c r="X6" s="10"/>
      <c r="Y6" s="10"/>
      <c r="Z6" s="10">
        <v>12</v>
      </c>
      <c r="AA6" s="10"/>
      <c r="AB6" s="10"/>
      <c r="AC6" s="10"/>
      <c r="AD6" s="30">
        <f t="shared" si="0"/>
        <v>68</v>
      </c>
      <c r="AE6" s="30">
        <v>5</v>
      </c>
    </row>
    <row r="7" spans="1:31" x14ac:dyDescent="0.4">
      <c r="A7" s="30" t="s">
        <v>35</v>
      </c>
      <c r="B7" s="28" t="s">
        <v>65</v>
      </c>
      <c r="C7" s="9"/>
      <c r="D7" s="10"/>
      <c r="E7" s="10"/>
      <c r="F7" s="10">
        <v>12</v>
      </c>
      <c r="G7" s="10"/>
      <c r="H7" s="10">
        <v>2</v>
      </c>
      <c r="I7" s="10"/>
      <c r="J7" s="10">
        <v>10</v>
      </c>
      <c r="K7" s="11"/>
      <c r="L7" s="10"/>
      <c r="M7" s="10">
        <v>6</v>
      </c>
      <c r="N7" s="10"/>
      <c r="O7" s="10"/>
      <c r="P7" s="10"/>
      <c r="Q7" s="10"/>
      <c r="R7" s="10">
        <v>4</v>
      </c>
      <c r="S7" s="10"/>
      <c r="T7" s="10"/>
      <c r="U7" s="10">
        <v>2</v>
      </c>
      <c r="V7" s="10"/>
      <c r="W7" s="10">
        <v>6</v>
      </c>
      <c r="X7" s="10"/>
      <c r="Y7" s="10">
        <v>7</v>
      </c>
      <c r="Z7" s="10"/>
      <c r="AA7" s="10"/>
      <c r="AB7" s="10">
        <v>8</v>
      </c>
      <c r="AC7" s="10">
        <v>8</v>
      </c>
      <c r="AD7" s="30">
        <f t="shared" si="0"/>
        <v>65</v>
      </c>
      <c r="AE7" s="30">
        <v>6</v>
      </c>
    </row>
    <row r="8" spans="1:31" x14ac:dyDescent="0.4">
      <c r="A8" s="30" t="s">
        <v>31</v>
      </c>
      <c r="B8" s="28" t="s">
        <v>122</v>
      </c>
      <c r="C8" s="9"/>
      <c r="D8" s="10">
        <v>10</v>
      </c>
      <c r="E8" s="10">
        <v>7</v>
      </c>
      <c r="F8" s="10">
        <v>7</v>
      </c>
      <c r="G8" s="10">
        <v>7</v>
      </c>
      <c r="H8" s="10"/>
      <c r="I8" s="10"/>
      <c r="J8" s="11"/>
      <c r="K8" s="10"/>
      <c r="L8" s="10"/>
      <c r="M8" s="10"/>
      <c r="N8" s="10"/>
      <c r="O8" s="10">
        <v>6</v>
      </c>
      <c r="P8" s="10"/>
      <c r="Q8" s="10">
        <v>1</v>
      </c>
      <c r="R8" s="10">
        <v>10</v>
      </c>
      <c r="S8" s="10"/>
      <c r="T8" s="10"/>
      <c r="U8" s="10"/>
      <c r="V8" s="10">
        <v>5</v>
      </c>
      <c r="W8" s="10"/>
      <c r="X8" s="10"/>
      <c r="Y8" s="10"/>
      <c r="Z8" s="10">
        <v>7</v>
      </c>
      <c r="AA8" s="10">
        <v>1</v>
      </c>
      <c r="AB8" s="10"/>
      <c r="AC8" s="10">
        <v>1</v>
      </c>
      <c r="AD8" s="30">
        <f t="shared" si="0"/>
        <v>62</v>
      </c>
      <c r="AE8" s="30">
        <v>7</v>
      </c>
    </row>
    <row r="9" spans="1:31" x14ac:dyDescent="0.4">
      <c r="A9" s="29">
        <v>15</v>
      </c>
      <c r="B9" s="28" t="s">
        <v>120</v>
      </c>
      <c r="C9" s="9">
        <v>8</v>
      </c>
      <c r="D9" s="10"/>
      <c r="E9" s="10"/>
      <c r="F9" s="10">
        <v>6</v>
      </c>
      <c r="G9" s="10">
        <v>3</v>
      </c>
      <c r="H9" s="10"/>
      <c r="I9" s="10"/>
      <c r="J9" s="10"/>
      <c r="K9" s="10"/>
      <c r="L9" s="10"/>
      <c r="M9" s="10"/>
      <c r="N9" s="10"/>
      <c r="O9" s="10">
        <v>4</v>
      </c>
      <c r="P9" s="10"/>
      <c r="Q9" s="11"/>
      <c r="R9" s="10">
        <v>2</v>
      </c>
      <c r="S9" s="10">
        <v>12</v>
      </c>
      <c r="T9" s="10">
        <v>3</v>
      </c>
      <c r="U9" s="10"/>
      <c r="V9" s="10">
        <v>4</v>
      </c>
      <c r="W9" s="10">
        <v>12</v>
      </c>
      <c r="X9" s="10"/>
      <c r="Y9" s="10">
        <v>8</v>
      </c>
      <c r="Z9" s="10"/>
      <c r="AA9" s="10"/>
      <c r="AB9" s="10"/>
      <c r="AC9" s="10"/>
      <c r="AD9" s="30">
        <f t="shared" si="0"/>
        <v>62</v>
      </c>
      <c r="AE9" s="30">
        <v>8</v>
      </c>
    </row>
    <row r="10" spans="1:31" x14ac:dyDescent="0.4">
      <c r="A10" s="29">
        <v>20</v>
      </c>
      <c r="B10" s="28" t="s">
        <v>144</v>
      </c>
      <c r="C10" s="9"/>
      <c r="D10" s="10">
        <v>12</v>
      </c>
      <c r="E10" s="10"/>
      <c r="F10" s="10"/>
      <c r="G10" s="10"/>
      <c r="H10" s="10"/>
      <c r="I10" s="10"/>
      <c r="J10" s="10"/>
      <c r="K10" s="10">
        <v>1</v>
      </c>
      <c r="L10" s="10"/>
      <c r="M10" s="10"/>
      <c r="N10" s="10"/>
      <c r="O10" s="10">
        <v>10</v>
      </c>
      <c r="P10" s="10"/>
      <c r="Q10" s="10">
        <v>6</v>
      </c>
      <c r="R10" s="10"/>
      <c r="S10" s="10"/>
      <c r="T10" s="10">
        <v>12</v>
      </c>
      <c r="U10" s="10">
        <v>7</v>
      </c>
      <c r="V10" s="11"/>
      <c r="W10" s="10"/>
      <c r="X10" s="10">
        <v>2</v>
      </c>
      <c r="Y10" s="10">
        <v>12</v>
      </c>
      <c r="Z10" s="10"/>
      <c r="AA10" s="10"/>
      <c r="AB10" s="10"/>
      <c r="AC10" s="10"/>
      <c r="AD10" s="30">
        <f t="shared" si="0"/>
        <v>62</v>
      </c>
      <c r="AE10" s="30">
        <v>9</v>
      </c>
    </row>
    <row r="11" spans="1:31" x14ac:dyDescent="0.4">
      <c r="A11" s="33">
        <v>13</v>
      </c>
      <c r="B11" s="32" t="s">
        <v>40</v>
      </c>
      <c r="C11" s="15">
        <v>3</v>
      </c>
      <c r="D11" s="16"/>
      <c r="E11" s="16">
        <v>10</v>
      </c>
      <c r="F11" s="16"/>
      <c r="G11" s="16"/>
      <c r="H11" s="16"/>
      <c r="I11" s="16"/>
      <c r="J11" s="16">
        <v>3</v>
      </c>
      <c r="K11" s="16"/>
      <c r="L11" s="16"/>
      <c r="M11" s="16"/>
      <c r="N11" s="16">
        <v>12</v>
      </c>
      <c r="O11" s="17"/>
      <c r="P11" s="16"/>
      <c r="Q11" s="16"/>
      <c r="R11" s="16">
        <v>7</v>
      </c>
      <c r="S11" s="16"/>
      <c r="T11" s="16"/>
      <c r="U11" s="16"/>
      <c r="V11" s="16">
        <v>12</v>
      </c>
      <c r="W11" s="16"/>
      <c r="X11" s="16"/>
      <c r="Y11" s="16"/>
      <c r="Z11" s="16"/>
      <c r="AA11" s="16"/>
      <c r="AB11" s="16">
        <v>3</v>
      </c>
      <c r="AC11" s="16">
        <v>12</v>
      </c>
      <c r="AD11" s="33">
        <f t="shared" si="0"/>
        <v>62</v>
      </c>
      <c r="AE11" s="33">
        <v>10</v>
      </c>
    </row>
    <row r="12" spans="1:31" x14ac:dyDescent="0.4">
      <c r="A12" s="29">
        <v>24</v>
      </c>
      <c r="B12" s="28" t="s">
        <v>142</v>
      </c>
      <c r="C12" s="9">
        <v>2</v>
      </c>
      <c r="D12" s="10"/>
      <c r="E12" s="10"/>
      <c r="F12" s="10"/>
      <c r="G12" s="10">
        <v>8</v>
      </c>
      <c r="H12" s="10"/>
      <c r="I12" s="10">
        <v>1</v>
      </c>
      <c r="J12" s="10"/>
      <c r="K12" s="10"/>
      <c r="L12" s="10">
        <v>7</v>
      </c>
      <c r="M12" s="10"/>
      <c r="N12" s="10"/>
      <c r="O12" s="10">
        <v>12</v>
      </c>
      <c r="P12" s="10"/>
      <c r="Q12" s="10">
        <v>7</v>
      </c>
      <c r="R12" s="10"/>
      <c r="S12" s="10"/>
      <c r="T12" s="10"/>
      <c r="U12" s="10"/>
      <c r="V12" s="10">
        <v>1</v>
      </c>
      <c r="W12" s="10"/>
      <c r="X12" s="10">
        <v>8</v>
      </c>
      <c r="Y12" s="10"/>
      <c r="Z12" s="11"/>
      <c r="AA12" s="10">
        <v>3</v>
      </c>
      <c r="AB12" s="10">
        <v>6</v>
      </c>
      <c r="AC12" s="10">
        <v>6</v>
      </c>
      <c r="AD12" s="30">
        <f t="shared" si="0"/>
        <v>61</v>
      </c>
      <c r="AE12" s="30">
        <v>11</v>
      </c>
    </row>
    <row r="13" spans="1:31" x14ac:dyDescent="0.4">
      <c r="A13" s="24">
        <v>23</v>
      </c>
      <c r="B13" s="8" t="s">
        <v>12</v>
      </c>
      <c r="C13" s="9">
        <v>5</v>
      </c>
      <c r="D13" s="10">
        <v>1</v>
      </c>
      <c r="E13" s="10"/>
      <c r="F13" s="10"/>
      <c r="G13" s="10"/>
      <c r="H13" s="10">
        <v>5</v>
      </c>
      <c r="I13" s="10">
        <v>12</v>
      </c>
      <c r="J13" s="10"/>
      <c r="K13" s="10"/>
      <c r="L13" s="10">
        <v>6</v>
      </c>
      <c r="M13" s="10">
        <v>4</v>
      </c>
      <c r="N13" s="10">
        <v>6</v>
      </c>
      <c r="O13" s="10"/>
      <c r="P13" s="10"/>
      <c r="Q13" s="10"/>
      <c r="R13" s="10"/>
      <c r="S13" s="10">
        <v>1</v>
      </c>
      <c r="T13" s="10">
        <v>6</v>
      </c>
      <c r="U13" s="10"/>
      <c r="V13" s="10"/>
      <c r="W13" s="10">
        <v>5</v>
      </c>
      <c r="X13" s="10">
        <v>1</v>
      </c>
      <c r="Y13" s="11"/>
      <c r="Z13" s="10"/>
      <c r="AA13" s="10">
        <v>7</v>
      </c>
      <c r="AB13" s="10"/>
      <c r="AC13" s="10"/>
      <c r="AD13" s="12">
        <f t="shared" si="0"/>
        <v>59</v>
      </c>
      <c r="AE13" s="12">
        <v>12</v>
      </c>
    </row>
    <row r="14" spans="1:31" x14ac:dyDescent="0.4">
      <c r="A14" s="24">
        <v>22</v>
      </c>
      <c r="B14" s="8" t="s">
        <v>47</v>
      </c>
      <c r="C14" s="9"/>
      <c r="D14" s="10">
        <v>8</v>
      </c>
      <c r="E14" s="10">
        <v>3</v>
      </c>
      <c r="F14" s="10"/>
      <c r="G14" s="10">
        <v>2</v>
      </c>
      <c r="H14" s="10">
        <v>1</v>
      </c>
      <c r="I14" s="10"/>
      <c r="J14" s="10"/>
      <c r="K14" s="10"/>
      <c r="L14" s="10"/>
      <c r="M14" s="10"/>
      <c r="N14" s="10"/>
      <c r="O14" s="10">
        <v>2</v>
      </c>
      <c r="P14" s="10"/>
      <c r="Q14" s="10">
        <v>12</v>
      </c>
      <c r="R14" s="10">
        <v>8</v>
      </c>
      <c r="S14" s="10"/>
      <c r="T14" s="10">
        <v>8</v>
      </c>
      <c r="U14" s="10"/>
      <c r="V14" s="10">
        <v>10</v>
      </c>
      <c r="W14" s="10"/>
      <c r="X14" s="11"/>
      <c r="Y14" s="10"/>
      <c r="Z14" s="10"/>
      <c r="AA14" s="10"/>
      <c r="AB14" s="10"/>
      <c r="AC14" s="10">
        <v>4</v>
      </c>
      <c r="AD14" s="12">
        <f t="shared" si="0"/>
        <v>58</v>
      </c>
      <c r="AE14" s="12">
        <v>13</v>
      </c>
    </row>
    <row r="15" spans="1:31" x14ac:dyDescent="0.4">
      <c r="A15" s="25" t="s">
        <v>9</v>
      </c>
      <c r="B15" s="8" t="s">
        <v>49</v>
      </c>
      <c r="C15" s="9"/>
      <c r="D15" s="11"/>
      <c r="E15" s="10"/>
      <c r="F15" s="10"/>
      <c r="G15" s="10"/>
      <c r="H15" s="10">
        <v>6</v>
      </c>
      <c r="I15" s="10"/>
      <c r="J15" s="10">
        <v>1</v>
      </c>
      <c r="K15" s="10">
        <v>3</v>
      </c>
      <c r="L15" s="10"/>
      <c r="M15" s="10">
        <v>12</v>
      </c>
      <c r="N15" s="10"/>
      <c r="O15" s="10">
        <v>7</v>
      </c>
      <c r="P15" s="10"/>
      <c r="Q15" s="10">
        <v>10</v>
      </c>
      <c r="R15" s="10"/>
      <c r="S15" s="10">
        <v>7</v>
      </c>
      <c r="T15" s="10"/>
      <c r="U15" s="10">
        <v>3</v>
      </c>
      <c r="V15" s="10"/>
      <c r="W15" s="10">
        <v>4</v>
      </c>
      <c r="X15" s="10"/>
      <c r="Y15" s="10"/>
      <c r="Z15" s="10"/>
      <c r="AA15" s="10"/>
      <c r="AB15" s="10">
        <v>4</v>
      </c>
      <c r="AC15" s="10"/>
      <c r="AD15" s="12">
        <f t="shared" si="0"/>
        <v>57</v>
      </c>
      <c r="AE15" s="12">
        <v>14</v>
      </c>
    </row>
    <row r="16" spans="1:31" x14ac:dyDescent="0.4">
      <c r="A16" s="24">
        <v>11</v>
      </c>
      <c r="B16" s="8" t="s">
        <v>113</v>
      </c>
      <c r="C16" s="9">
        <v>1</v>
      </c>
      <c r="D16" s="10"/>
      <c r="E16" s="10">
        <v>8</v>
      </c>
      <c r="F16" s="10"/>
      <c r="G16" s="10"/>
      <c r="H16" s="10"/>
      <c r="I16" s="10">
        <v>10</v>
      </c>
      <c r="J16" s="10"/>
      <c r="K16" s="10"/>
      <c r="L16" s="10"/>
      <c r="M16" s="11"/>
      <c r="N16" s="10">
        <v>3</v>
      </c>
      <c r="O16" s="10">
        <v>1</v>
      </c>
      <c r="P16" s="10"/>
      <c r="Q16" s="10">
        <v>5</v>
      </c>
      <c r="R16" s="10"/>
      <c r="S16" s="10"/>
      <c r="T16" s="10">
        <v>7</v>
      </c>
      <c r="U16" s="10">
        <v>5</v>
      </c>
      <c r="V16" s="10">
        <v>2</v>
      </c>
      <c r="W16" s="10">
        <v>2</v>
      </c>
      <c r="X16" s="10">
        <v>4</v>
      </c>
      <c r="Y16" s="10">
        <v>1</v>
      </c>
      <c r="Z16" s="10"/>
      <c r="AA16" s="10">
        <v>4</v>
      </c>
      <c r="AB16" s="10">
        <v>2</v>
      </c>
      <c r="AC16" s="10"/>
      <c r="AD16" s="12">
        <f t="shared" si="0"/>
        <v>55</v>
      </c>
      <c r="AE16" s="12">
        <v>15</v>
      </c>
    </row>
    <row r="17" spans="1:31" x14ac:dyDescent="0.4">
      <c r="A17" s="24">
        <v>10</v>
      </c>
      <c r="B17" s="8" t="s">
        <v>157</v>
      </c>
      <c r="C17" s="9"/>
      <c r="D17" s="10"/>
      <c r="E17" s="10"/>
      <c r="F17" s="10">
        <v>5</v>
      </c>
      <c r="G17" s="10"/>
      <c r="H17" s="10">
        <v>10</v>
      </c>
      <c r="I17" s="10"/>
      <c r="J17" s="10"/>
      <c r="K17" s="10"/>
      <c r="L17" s="11"/>
      <c r="M17" s="10">
        <v>7</v>
      </c>
      <c r="N17" s="10"/>
      <c r="O17" s="10"/>
      <c r="P17" s="10"/>
      <c r="Q17" s="10"/>
      <c r="R17" s="10"/>
      <c r="S17" s="10">
        <v>8</v>
      </c>
      <c r="T17" s="10"/>
      <c r="U17" s="10">
        <v>1</v>
      </c>
      <c r="V17" s="10"/>
      <c r="W17" s="10">
        <v>3</v>
      </c>
      <c r="X17" s="10">
        <v>5</v>
      </c>
      <c r="Y17" s="10">
        <v>6</v>
      </c>
      <c r="Z17" s="10">
        <v>6</v>
      </c>
      <c r="AA17" s="10"/>
      <c r="AB17" s="10"/>
      <c r="AC17" s="10"/>
      <c r="AD17" s="12">
        <f t="shared" si="0"/>
        <v>51</v>
      </c>
      <c r="AE17" s="12">
        <v>16</v>
      </c>
    </row>
    <row r="18" spans="1:31" x14ac:dyDescent="0.4">
      <c r="A18" s="24">
        <v>12</v>
      </c>
      <c r="B18" s="8" t="s">
        <v>110</v>
      </c>
      <c r="C18" s="9"/>
      <c r="D18" s="10">
        <v>3</v>
      </c>
      <c r="E18" s="10"/>
      <c r="F18" s="10">
        <v>4</v>
      </c>
      <c r="G18" s="10"/>
      <c r="H18" s="10"/>
      <c r="I18" s="10">
        <v>7</v>
      </c>
      <c r="J18" s="10"/>
      <c r="K18" s="10"/>
      <c r="L18" s="10">
        <v>2</v>
      </c>
      <c r="M18" s="10"/>
      <c r="N18" s="11"/>
      <c r="O18" s="10"/>
      <c r="P18" s="10"/>
      <c r="Q18" s="10">
        <v>4</v>
      </c>
      <c r="R18" s="10">
        <v>3</v>
      </c>
      <c r="S18" s="10">
        <v>4</v>
      </c>
      <c r="T18" s="10"/>
      <c r="U18" s="10"/>
      <c r="V18" s="10">
        <v>3</v>
      </c>
      <c r="W18" s="10"/>
      <c r="X18" s="10">
        <v>12</v>
      </c>
      <c r="Y18" s="10"/>
      <c r="Z18" s="10"/>
      <c r="AA18" s="10">
        <v>5</v>
      </c>
      <c r="AB18" s="10"/>
      <c r="AC18" s="10"/>
      <c r="AD18" s="12">
        <f t="shared" si="0"/>
        <v>47</v>
      </c>
      <c r="AE18" s="12">
        <v>17</v>
      </c>
    </row>
    <row r="19" spans="1:31" x14ac:dyDescent="0.4">
      <c r="A19" s="25" t="s">
        <v>4</v>
      </c>
      <c r="B19" s="8" t="s">
        <v>69</v>
      </c>
      <c r="C19" s="13"/>
      <c r="D19" s="10"/>
      <c r="E19" s="10"/>
      <c r="F19" s="10">
        <v>2</v>
      </c>
      <c r="G19" s="10">
        <v>10</v>
      </c>
      <c r="H19" s="10"/>
      <c r="I19" s="10">
        <v>2</v>
      </c>
      <c r="J19" s="10">
        <v>6</v>
      </c>
      <c r="K19" s="10">
        <v>6</v>
      </c>
      <c r="L19" s="10"/>
      <c r="M19" s="10"/>
      <c r="N19" s="10"/>
      <c r="O19" s="10">
        <v>5</v>
      </c>
      <c r="P19" s="10"/>
      <c r="Q19" s="10">
        <v>2</v>
      </c>
      <c r="R19" s="10"/>
      <c r="S19" s="10"/>
      <c r="T19" s="10">
        <v>2</v>
      </c>
      <c r="U19" s="10"/>
      <c r="V19" s="10"/>
      <c r="W19" s="10"/>
      <c r="X19" s="10"/>
      <c r="Y19" s="10"/>
      <c r="Z19" s="10">
        <v>1</v>
      </c>
      <c r="AA19" s="10"/>
      <c r="AB19" s="10"/>
      <c r="AC19" s="10">
        <v>10</v>
      </c>
      <c r="AD19" s="12">
        <f t="shared" si="0"/>
        <v>46</v>
      </c>
      <c r="AE19" s="12">
        <v>18</v>
      </c>
    </row>
    <row r="20" spans="1:31" x14ac:dyDescent="0.4">
      <c r="A20" s="25" t="s">
        <v>19</v>
      </c>
      <c r="B20" s="8" t="s">
        <v>159</v>
      </c>
      <c r="C20" s="9"/>
      <c r="D20" s="10"/>
      <c r="E20" s="10">
        <v>5</v>
      </c>
      <c r="F20" s="10">
        <v>8</v>
      </c>
      <c r="G20" s="11"/>
      <c r="H20" s="10">
        <v>7</v>
      </c>
      <c r="I20" s="10"/>
      <c r="J20" s="10">
        <v>4</v>
      </c>
      <c r="K20" s="10">
        <v>7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10</v>
      </c>
      <c r="AA20" s="10"/>
      <c r="AB20" s="10">
        <v>1</v>
      </c>
      <c r="AC20" s="10">
        <v>3</v>
      </c>
      <c r="AD20" s="12">
        <f t="shared" si="0"/>
        <v>45</v>
      </c>
      <c r="AE20" s="12">
        <v>19</v>
      </c>
    </row>
    <row r="21" spans="1:31" x14ac:dyDescent="0.4">
      <c r="A21" s="24">
        <v>19</v>
      </c>
      <c r="B21" s="8" t="s">
        <v>33</v>
      </c>
      <c r="C21" s="9"/>
      <c r="D21" s="10">
        <v>2</v>
      </c>
      <c r="E21" s="10">
        <v>4</v>
      </c>
      <c r="F21" s="10"/>
      <c r="G21" s="10"/>
      <c r="H21" s="10"/>
      <c r="I21" s="10"/>
      <c r="J21" s="10"/>
      <c r="K21" s="10"/>
      <c r="L21" s="10">
        <v>3</v>
      </c>
      <c r="M21" s="10"/>
      <c r="N21" s="10"/>
      <c r="O21" s="10"/>
      <c r="P21" s="10"/>
      <c r="Q21" s="10">
        <v>8</v>
      </c>
      <c r="R21" s="10"/>
      <c r="S21" s="10">
        <v>5</v>
      </c>
      <c r="T21" s="10">
        <v>10</v>
      </c>
      <c r="U21" s="11"/>
      <c r="V21" s="10">
        <v>7</v>
      </c>
      <c r="W21" s="10"/>
      <c r="X21" s="10"/>
      <c r="Y21" s="10">
        <v>4</v>
      </c>
      <c r="Z21" s="10"/>
      <c r="AA21" s="10"/>
      <c r="AB21" s="10"/>
      <c r="AC21" s="10"/>
      <c r="AD21" s="12">
        <f t="shared" si="0"/>
        <v>43</v>
      </c>
      <c r="AE21" s="12">
        <v>20</v>
      </c>
    </row>
    <row r="22" spans="1:31" x14ac:dyDescent="0.4">
      <c r="A22" s="24">
        <v>21</v>
      </c>
      <c r="B22" s="8" t="s">
        <v>134</v>
      </c>
      <c r="C22" s="9"/>
      <c r="D22" s="10"/>
      <c r="E22" s="10">
        <v>2</v>
      </c>
      <c r="F22" s="10"/>
      <c r="G22" s="10"/>
      <c r="H22" s="10"/>
      <c r="I22" s="10"/>
      <c r="J22" s="10"/>
      <c r="K22" s="10"/>
      <c r="L22" s="10"/>
      <c r="M22" s="10"/>
      <c r="N22" s="10">
        <v>2</v>
      </c>
      <c r="O22" s="10"/>
      <c r="P22" s="10"/>
      <c r="Q22" s="10"/>
      <c r="R22" s="10"/>
      <c r="S22" s="10">
        <v>3</v>
      </c>
      <c r="T22" s="10">
        <v>1</v>
      </c>
      <c r="U22" s="10">
        <v>4</v>
      </c>
      <c r="V22" s="10"/>
      <c r="W22" s="11"/>
      <c r="X22" s="10">
        <v>10</v>
      </c>
      <c r="Y22" s="10"/>
      <c r="Z22" s="10">
        <v>5</v>
      </c>
      <c r="AA22" s="10">
        <v>12</v>
      </c>
      <c r="AB22" s="10"/>
      <c r="AC22" s="10"/>
      <c r="AD22" s="12">
        <f t="shared" si="0"/>
        <v>39</v>
      </c>
      <c r="AE22" s="12">
        <v>21</v>
      </c>
    </row>
    <row r="23" spans="1:31" x14ac:dyDescent="0.4">
      <c r="A23" s="25" t="s">
        <v>11</v>
      </c>
      <c r="B23" s="8" t="s">
        <v>101</v>
      </c>
      <c r="C23" s="9">
        <v>4</v>
      </c>
      <c r="D23" s="10"/>
      <c r="E23" s="11"/>
      <c r="F23" s="10">
        <v>1</v>
      </c>
      <c r="G23" s="10">
        <v>5</v>
      </c>
      <c r="H23" s="10"/>
      <c r="I23" s="10">
        <v>4</v>
      </c>
      <c r="J23" s="10">
        <v>8</v>
      </c>
      <c r="K23" s="10">
        <v>2</v>
      </c>
      <c r="L23" s="10"/>
      <c r="M23" s="10"/>
      <c r="N23" s="10">
        <v>5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>
        <v>2</v>
      </c>
      <c r="AB23" s="10"/>
      <c r="AC23" s="10"/>
      <c r="AD23" s="12">
        <f t="shared" si="0"/>
        <v>31</v>
      </c>
      <c r="AE23" s="12">
        <v>22</v>
      </c>
    </row>
    <row r="24" spans="1:31" x14ac:dyDescent="0.4">
      <c r="A24" s="25" t="s">
        <v>16</v>
      </c>
      <c r="B24" s="39" t="s">
        <v>85</v>
      </c>
      <c r="C24" s="10">
        <v>6</v>
      </c>
      <c r="D24" s="10"/>
      <c r="E24" s="10"/>
      <c r="F24" s="11"/>
      <c r="G24" s="10"/>
      <c r="H24" s="10"/>
      <c r="I24" s="10"/>
      <c r="J24" s="10">
        <v>5</v>
      </c>
      <c r="K24" s="10">
        <v>10</v>
      </c>
      <c r="L24" s="10"/>
      <c r="M24" s="10">
        <v>2</v>
      </c>
      <c r="N24" s="10">
        <v>1</v>
      </c>
      <c r="O24" s="10"/>
      <c r="P24" s="10"/>
      <c r="Q24" s="10"/>
      <c r="R24" s="10"/>
      <c r="S24" s="10"/>
      <c r="T24" s="10">
        <v>4</v>
      </c>
      <c r="U24" s="10"/>
      <c r="V24" s="10"/>
      <c r="W24" s="10"/>
      <c r="X24" s="10"/>
      <c r="Y24" s="10"/>
      <c r="Z24" s="10"/>
      <c r="AA24" s="10"/>
      <c r="AB24" s="10"/>
      <c r="AC24" s="10"/>
      <c r="AD24" s="12">
        <f t="shared" si="0"/>
        <v>28</v>
      </c>
      <c r="AE24" s="12">
        <v>23</v>
      </c>
    </row>
    <row r="25" spans="1:31" x14ac:dyDescent="0.4">
      <c r="A25" s="48">
        <v>14</v>
      </c>
      <c r="B25" s="49" t="s">
        <v>148</v>
      </c>
      <c r="C25" s="50">
        <v>10</v>
      </c>
      <c r="D25" s="51"/>
      <c r="E25" s="51"/>
      <c r="F25" s="51"/>
      <c r="G25" s="51">
        <v>1</v>
      </c>
      <c r="H25" s="51">
        <v>3</v>
      </c>
      <c r="I25" s="51">
        <v>5</v>
      </c>
      <c r="J25" s="51"/>
      <c r="K25" s="51">
        <v>8</v>
      </c>
      <c r="L25" s="51">
        <v>10</v>
      </c>
      <c r="M25" s="51"/>
      <c r="N25" s="51">
        <v>8</v>
      </c>
      <c r="O25" s="51"/>
      <c r="P25" s="52"/>
      <c r="Q25" s="51"/>
      <c r="R25" s="51">
        <v>12</v>
      </c>
      <c r="S25" s="51">
        <v>10</v>
      </c>
      <c r="T25" s="51"/>
      <c r="U25" s="51">
        <v>8</v>
      </c>
      <c r="V25" s="51"/>
      <c r="W25" s="51"/>
      <c r="X25" s="51"/>
      <c r="Y25" s="51"/>
      <c r="Z25" s="51">
        <v>2</v>
      </c>
      <c r="AA25" s="51"/>
      <c r="AB25" s="51"/>
      <c r="AC25" s="51"/>
      <c r="AD25" s="53">
        <f t="shared" si="0"/>
        <v>77</v>
      </c>
      <c r="AE25" s="53">
        <v>24</v>
      </c>
    </row>
    <row r="26" spans="1:31" x14ac:dyDescent="0.4">
      <c r="A26" s="19"/>
      <c r="B26" s="19"/>
      <c r="C26" s="20">
        <f>SUM(C2:C25)</f>
        <v>58</v>
      </c>
      <c r="D26" s="20">
        <f t="shared" ref="D26:AC26" si="1">SUM(D2:D25)</f>
        <v>58</v>
      </c>
      <c r="E26" s="20">
        <f t="shared" si="1"/>
        <v>58</v>
      </c>
      <c r="F26" s="20">
        <f t="shared" si="1"/>
        <v>58</v>
      </c>
      <c r="G26" s="20">
        <f t="shared" si="1"/>
        <v>58</v>
      </c>
      <c r="H26" s="20">
        <f t="shared" si="1"/>
        <v>58</v>
      </c>
      <c r="I26" s="20">
        <f t="shared" si="1"/>
        <v>58</v>
      </c>
      <c r="J26" s="20">
        <f t="shared" si="1"/>
        <v>58</v>
      </c>
      <c r="K26" s="20">
        <f t="shared" si="1"/>
        <v>58</v>
      </c>
      <c r="L26" s="20">
        <f t="shared" si="1"/>
        <v>58</v>
      </c>
      <c r="M26" s="20">
        <f t="shared" si="1"/>
        <v>58</v>
      </c>
      <c r="N26" s="20">
        <f t="shared" si="1"/>
        <v>58</v>
      </c>
      <c r="O26" s="20">
        <f t="shared" si="1"/>
        <v>58</v>
      </c>
      <c r="P26" s="34">
        <f t="shared" si="1"/>
        <v>0</v>
      </c>
      <c r="Q26" s="20">
        <f t="shared" si="1"/>
        <v>58</v>
      </c>
      <c r="R26" s="20">
        <f t="shared" si="1"/>
        <v>58</v>
      </c>
      <c r="S26" s="20">
        <f t="shared" si="1"/>
        <v>58</v>
      </c>
      <c r="T26" s="20">
        <f t="shared" si="1"/>
        <v>58</v>
      </c>
      <c r="U26" s="20">
        <f t="shared" si="1"/>
        <v>58</v>
      </c>
      <c r="V26" s="20">
        <f t="shared" si="1"/>
        <v>58</v>
      </c>
      <c r="W26" s="20">
        <f t="shared" si="1"/>
        <v>58</v>
      </c>
      <c r="X26" s="20">
        <f t="shared" si="1"/>
        <v>58</v>
      </c>
      <c r="Y26" s="20">
        <f t="shared" si="1"/>
        <v>58</v>
      </c>
      <c r="Z26" s="20">
        <f t="shared" si="1"/>
        <v>58</v>
      </c>
      <c r="AA26" s="20">
        <f t="shared" si="1"/>
        <v>58</v>
      </c>
      <c r="AB26" s="20">
        <f t="shared" si="1"/>
        <v>58</v>
      </c>
      <c r="AC26" s="20">
        <f t="shared" si="1"/>
        <v>58</v>
      </c>
      <c r="AD26" s="20"/>
      <c r="AE26" s="20"/>
    </row>
  </sheetData>
  <sortState xmlns:xlrd2="http://schemas.microsoft.com/office/spreadsheetml/2017/richdata2" ref="A10:AE11">
    <sortCondition ref="AE10:AE11"/>
  </sortState>
  <pageMargins left="0.7" right="0.7" top="0.75" bottom="0.75" header="0.3" footer="0.3"/>
  <pageSetup paperSize="9" orientation="portrait" r:id="rId1"/>
  <ignoredErrors>
    <ignoredError sqref="A2:A8 A12:A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E2B4-DF59-40BB-9F98-6D920EEE42C0}">
  <sheetPr>
    <tabColor rgb="FF5FDF71"/>
  </sheetPr>
  <dimension ref="A1:T26"/>
  <sheetViews>
    <sheetView workbookViewId="0">
      <selection activeCell="B1" sqref="B1"/>
    </sheetView>
  </sheetViews>
  <sheetFormatPr defaultRowHeight="13.2" x14ac:dyDescent="0.4"/>
  <cols>
    <col min="1" max="1" width="3" style="22" bestFit="1" customWidth="1"/>
    <col min="2" max="2" width="21.88671875" style="7" bestFit="1" customWidth="1"/>
    <col min="3" max="4" width="3.33203125" style="7" bestFit="1" customWidth="1"/>
    <col min="5" max="18" width="3.33203125" style="7" customWidth="1"/>
    <col min="19" max="20" width="3.33203125" style="7" bestFit="1" customWidth="1"/>
    <col min="21" max="25" width="8.88671875" style="7"/>
    <col min="26" max="26" width="8.88671875" style="7" customWidth="1"/>
    <col min="27" max="16384" width="8.88671875" style="7"/>
  </cols>
  <sheetData>
    <row r="1" spans="1:20" ht="84" x14ac:dyDescent="2.2999999999999998">
      <c r="A1" s="23"/>
      <c r="B1" s="38" t="s">
        <v>183</v>
      </c>
      <c r="C1" s="5" t="s">
        <v>15</v>
      </c>
      <c r="D1" s="5" t="s">
        <v>38</v>
      </c>
      <c r="E1" s="5" t="s">
        <v>58</v>
      </c>
      <c r="F1" s="5" t="s">
        <v>62</v>
      </c>
      <c r="G1" s="5" t="s">
        <v>91</v>
      </c>
      <c r="H1" s="5" t="s">
        <v>2</v>
      </c>
      <c r="I1" s="5" t="s">
        <v>98</v>
      </c>
      <c r="J1" s="5" t="s">
        <v>180</v>
      </c>
      <c r="K1" s="5" t="s">
        <v>20</v>
      </c>
      <c r="L1" s="5" t="s">
        <v>107</v>
      </c>
      <c r="M1" s="5" t="s">
        <v>139</v>
      </c>
      <c r="N1" s="5" t="s">
        <v>112</v>
      </c>
      <c r="O1" s="5" t="s">
        <v>76</v>
      </c>
      <c r="P1" s="5" t="s">
        <v>154</v>
      </c>
      <c r="Q1" s="5" t="s">
        <v>173</v>
      </c>
      <c r="R1" s="5" t="s">
        <v>186</v>
      </c>
      <c r="S1" s="5" t="s">
        <v>184</v>
      </c>
      <c r="T1" s="5" t="s">
        <v>185</v>
      </c>
    </row>
    <row r="2" spans="1:20" x14ac:dyDescent="0.4">
      <c r="A2" s="24">
        <v>16</v>
      </c>
      <c r="B2" s="39" t="s">
        <v>130</v>
      </c>
      <c r="C2" s="10">
        <v>8</v>
      </c>
      <c r="D2" s="10">
        <v>12</v>
      </c>
      <c r="E2" s="10">
        <v>5</v>
      </c>
      <c r="F2" s="10"/>
      <c r="G2" s="10">
        <v>7</v>
      </c>
      <c r="H2" s="10"/>
      <c r="I2" s="10"/>
      <c r="J2" s="10">
        <v>6</v>
      </c>
      <c r="K2" s="10">
        <v>12</v>
      </c>
      <c r="L2" s="10"/>
      <c r="M2" s="10">
        <v>10</v>
      </c>
      <c r="N2" s="10"/>
      <c r="O2" s="10">
        <v>10</v>
      </c>
      <c r="P2" s="10">
        <v>7</v>
      </c>
      <c r="Q2" s="10">
        <v>5</v>
      </c>
      <c r="R2" s="10"/>
      <c r="S2" s="10">
        <f t="shared" ref="S2:S25" si="0">SUM(C2:R2)</f>
        <v>82</v>
      </c>
      <c r="T2" s="10">
        <v>1</v>
      </c>
    </row>
    <row r="3" spans="1:20" x14ac:dyDescent="0.4">
      <c r="A3" s="41">
        <v>24</v>
      </c>
      <c r="B3" s="42" t="s">
        <v>142</v>
      </c>
      <c r="C3" s="54">
        <v>12</v>
      </c>
      <c r="D3" s="54">
        <v>4</v>
      </c>
      <c r="E3" s="54">
        <v>12</v>
      </c>
      <c r="F3" s="54">
        <v>1</v>
      </c>
      <c r="G3" s="54">
        <v>1</v>
      </c>
      <c r="H3" s="54">
        <v>7</v>
      </c>
      <c r="I3" s="54"/>
      <c r="J3" s="54">
        <v>10</v>
      </c>
      <c r="K3" s="54">
        <v>1</v>
      </c>
      <c r="L3" s="54"/>
      <c r="M3" s="54">
        <v>6</v>
      </c>
      <c r="N3" s="54">
        <v>8</v>
      </c>
      <c r="O3" s="54"/>
      <c r="P3" s="54"/>
      <c r="Q3" s="54">
        <v>6</v>
      </c>
      <c r="R3" s="54">
        <v>6</v>
      </c>
      <c r="S3" s="43">
        <f t="shared" si="0"/>
        <v>74</v>
      </c>
      <c r="T3" s="44">
        <v>2</v>
      </c>
    </row>
    <row r="4" spans="1:20" x14ac:dyDescent="0.4">
      <c r="A4" s="24">
        <v>18</v>
      </c>
      <c r="B4" s="39" t="s">
        <v>8</v>
      </c>
      <c r="C4" s="10">
        <v>3</v>
      </c>
      <c r="D4" s="10">
        <v>8</v>
      </c>
      <c r="E4" s="10">
        <v>3</v>
      </c>
      <c r="F4" s="10">
        <v>5</v>
      </c>
      <c r="G4" s="10">
        <v>12</v>
      </c>
      <c r="H4" s="10"/>
      <c r="I4" s="10">
        <v>4</v>
      </c>
      <c r="J4" s="10">
        <v>4</v>
      </c>
      <c r="K4" s="10"/>
      <c r="L4" s="10"/>
      <c r="M4" s="10">
        <v>8</v>
      </c>
      <c r="N4" s="10">
        <v>6</v>
      </c>
      <c r="O4" s="10">
        <v>4</v>
      </c>
      <c r="P4" s="10">
        <v>10</v>
      </c>
      <c r="Q4" s="10"/>
      <c r="R4" s="10">
        <v>6</v>
      </c>
      <c r="S4" s="10">
        <f t="shared" si="0"/>
        <v>73</v>
      </c>
      <c r="T4" s="10">
        <v>3</v>
      </c>
    </row>
    <row r="5" spans="1:20" x14ac:dyDescent="0.4">
      <c r="A5" s="25" t="s">
        <v>19</v>
      </c>
      <c r="B5" s="39" t="s">
        <v>159</v>
      </c>
      <c r="C5" s="10">
        <v>4</v>
      </c>
      <c r="D5" s="10">
        <v>5</v>
      </c>
      <c r="E5" s="10"/>
      <c r="F5" s="10"/>
      <c r="G5" s="10">
        <v>10</v>
      </c>
      <c r="H5" s="10"/>
      <c r="I5" s="10">
        <v>1</v>
      </c>
      <c r="J5" s="10">
        <v>2</v>
      </c>
      <c r="K5" s="10"/>
      <c r="L5" s="10"/>
      <c r="M5" s="10">
        <v>3</v>
      </c>
      <c r="N5" s="10">
        <v>12</v>
      </c>
      <c r="O5" s="10">
        <v>5</v>
      </c>
      <c r="P5" s="10">
        <v>12</v>
      </c>
      <c r="Q5" s="10"/>
      <c r="R5" s="10">
        <v>6</v>
      </c>
      <c r="S5" s="10">
        <f t="shared" si="0"/>
        <v>60</v>
      </c>
      <c r="T5" s="10">
        <v>4</v>
      </c>
    </row>
    <row r="6" spans="1:20" x14ac:dyDescent="0.4">
      <c r="A6" s="25" t="s">
        <v>27</v>
      </c>
      <c r="B6" s="39" t="s">
        <v>28</v>
      </c>
      <c r="C6" s="10"/>
      <c r="D6" s="10"/>
      <c r="E6" s="10"/>
      <c r="F6" s="10">
        <v>7</v>
      </c>
      <c r="G6" s="10"/>
      <c r="H6" s="10">
        <v>12</v>
      </c>
      <c r="I6" s="10">
        <v>7</v>
      </c>
      <c r="J6" s="10"/>
      <c r="K6" s="10">
        <v>6</v>
      </c>
      <c r="L6" s="10">
        <v>7</v>
      </c>
      <c r="M6" s="10"/>
      <c r="N6" s="10"/>
      <c r="O6" s="10">
        <v>6</v>
      </c>
      <c r="P6" s="10">
        <v>4</v>
      </c>
      <c r="Q6" s="10">
        <v>4</v>
      </c>
      <c r="R6" s="10">
        <v>6</v>
      </c>
      <c r="S6" s="10">
        <f t="shared" si="0"/>
        <v>59</v>
      </c>
      <c r="T6" s="10">
        <v>5</v>
      </c>
    </row>
    <row r="7" spans="1:20" x14ac:dyDescent="0.4">
      <c r="A7" s="24">
        <v>14</v>
      </c>
      <c r="B7" s="39" t="s">
        <v>148</v>
      </c>
      <c r="C7" s="10"/>
      <c r="D7" s="10"/>
      <c r="E7" s="10"/>
      <c r="F7" s="10"/>
      <c r="G7" s="10"/>
      <c r="H7" s="10">
        <v>10</v>
      </c>
      <c r="I7" s="10">
        <v>12</v>
      </c>
      <c r="J7" s="10"/>
      <c r="K7" s="10">
        <v>7</v>
      </c>
      <c r="L7" s="10">
        <v>12</v>
      </c>
      <c r="M7" s="10"/>
      <c r="N7" s="10">
        <v>1</v>
      </c>
      <c r="O7" s="10">
        <v>7</v>
      </c>
      <c r="P7" s="10"/>
      <c r="Q7" s="10"/>
      <c r="R7" s="10"/>
      <c r="S7" s="10">
        <f t="shared" si="0"/>
        <v>49</v>
      </c>
      <c r="T7" s="10">
        <v>6</v>
      </c>
    </row>
    <row r="8" spans="1:20" x14ac:dyDescent="0.4">
      <c r="A8" s="24">
        <v>22</v>
      </c>
      <c r="B8" s="39" t="s">
        <v>47</v>
      </c>
      <c r="C8" s="10"/>
      <c r="D8" s="10">
        <v>10</v>
      </c>
      <c r="E8" s="10">
        <v>6</v>
      </c>
      <c r="F8" s="10">
        <v>4</v>
      </c>
      <c r="G8" s="10">
        <v>5</v>
      </c>
      <c r="H8" s="10"/>
      <c r="I8" s="10"/>
      <c r="J8" s="10"/>
      <c r="K8" s="10">
        <v>2</v>
      </c>
      <c r="L8" s="10"/>
      <c r="M8" s="10">
        <v>7</v>
      </c>
      <c r="N8" s="10">
        <v>5</v>
      </c>
      <c r="O8" s="10">
        <v>1</v>
      </c>
      <c r="P8" s="10"/>
      <c r="Q8" s="10"/>
      <c r="R8" s="10">
        <v>6</v>
      </c>
      <c r="S8" s="10">
        <f t="shared" si="0"/>
        <v>46</v>
      </c>
      <c r="T8" s="10">
        <v>7</v>
      </c>
    </row>
    <row r="9" spans="1:20" x14ac:dyDescent="0.4">
      <c r="A9" s="25" t="s">
        <v>35</v>
      </c>
      <c r="B9" s="39" t="s">
        <v>65</v>
      </c>
      <c r="C9" s="10">
        <v>5</v>
      </c>
      <c r="D9" s="10">
        <v>1</v>
      </c>
      <c r="E9" s="10"/>
      <c r="F9" s="10">
        <v>10</v>
      </c>
      <c r="G9" s="10"/>
      <c r="H9" s="10">
        <v>5</v>
      </c>
      <c r="I9" s="10"/>
      <c r="J9" s="10"/>
      <c r="K9" s="10"/>
      <c r="L9" s="10">
        <v>3</v>
      </c>
      <c r="M9" s="10"/>
      <c r="N9" s="10">
        <v>7</v>
      </c>
      <c r="O9" s="10">
        <v>8</v>
      </c>
      <c r="P9" s="10">
        <v>5</v>
      </c>
      <c r="Q9" s="10"/>
      <c r="R9" s="10"/>
      <c r="S9" s="10">
        <f t="shared" si="0"/>
        <v>44</v>
      </c>
      <c r="T9" s="10">
        <v>8</v>
      </c>
    </row>
    <row r="10" spans="1:20" x14ac:dyDescent="0.4">
      <c r="A10" s="25" t="s">
        <v>9</v>
      </c>
      <c r="B10" s="39" t="s">
        <v>49</v>
      </c>
      <c r="C10" s="10">
        <v>6</v>
      </c>
      <c r="D10" s="10"/>
      <c r="E10" s="10"/>
      <c r="F10" s="10"/>
      <c r="G10" s="10"/>
      <c r="H10" s="10"/>
      <c r="I10" s="10"/>
      <c r="J10" s="10"/>
      <c r="K10" s="10">
        <v>4</v>
      </c>
      <c r="L10" s="10"/>
      <c r="M10" s="10">
        <v>12</v>
      </c>
      <c r="N10" s="10"/>
      <c r="O10" s="10">
        <v>12</v>
      </c>
      <c r="P10" s="10"/>
      <c r="Q10" s="10">
        <v>7</v>
      </c>
      <c r="R10" s="10"/>
      <c r="S10" s="10">
        <f t="shared" si="0"/>
        <v>41</v>
      </c>
      <c r="T10" s="10">
        <v>9</v>
      </c>
    </row>
    <row r="11" spans="1:20" x14ac:dyDescent="0.4">
      <c r="A11" s="24">
        <v>23</v>
      </c>
      <c r="B11" s="39" t="s">
        <v>12</v>
      </c>
      <c r="C11" s="10">
        <v>1</v>
      </c>
      <c r="D11" s="10"/>
      <c r="E11" s="10"/>
      <c r="F11" s="10"/>
      <c r="G11" s="10"/>
      <c r="H11" s="10">
        <v>4</v>
      </c>
      <c r="I11" s="10">
        <v>10</v>
      </c>
      <c r="J11" s="10">
        <v>8</v>
      </c>
      <c r="K11" s="10">
        <v>10</v>
      </c>
      <c r="L11" s="10">
        <v>6</v>
      </c>
      <c r="M11" s="10"/>
      <c r="N11" s="10"/>
      <c r="O11" s="10"/>
      <c r="P11" s="10"/>
      <c r="Q11" s="10"/>
      <c r="R11" s="10"/>
      <c r="S11" s="10">
        <f t="shared" si="0"/>
        <v>39</v>
      </c>
      <c r="T11" s="10">
        <v>10</v>
      </c>
    </row>
    <row r="12" spans="1:20" x14ac:dyDescent="0.4">
      <c r="A12" s="25" t="s">
        <v>4</v>
      </c>
      <c r="B12" s="39" t="s">
        <v>69</v>
      </c>
      <c r="C12" s="10"/>
      <c r="D12" s="10"/>
      <c r="E12" s="10"/>
      <c r="F12" s="10"/>
      <c r="G12" s="10"/>
      <c r="H12" s="10">
        <v>6</v>
      </c>
      <c r="I12" s="10"/>
      <c r="J12" s="10">
        <v>5</v>
      </c>
      <c r="K12" s="10"/>
      <c r="L12" s="10"/>
      <c r="M12" s="10">
        <v>4</v>
      </c>
      <c r="N12" s="10">
        <v>4</v>
      </c>
      <c r="O12" s="10"/>
      <c r="P12" s="10">
        <v>6</v>
      </c>
      <c r="Q12" s="10">
        <v>8</v>
      </c>
      <c r="R12" s="10">
        <v>6</v>
      </c>
      <c r="S12" s="10">
        <f t="shared" si="0"/>
        <v>39</v>
      </c>
      <c r="T12" s="10">
        <v>11</v>
      </c>
    </row>
    <row r="13" spans="1:20" x14ac:dyDescent="0.4">
      <c r="A13" s="24">
        <v>17</v>
      </c>
      <c r="B13" s="39" t="s">
        <v>70</v>
      </c>
      <c r="C13" s="10"/>
      <c r="D13" s="10"/>
      <c r="E13" s="10">
        <v>4</v>
      </c>
      <c r="F13" s="10">
        <v>6</v>
      </c>
      <c r="G13" s="10"/>
      <c r="H13" s="10">
        <v>2</v>
      </c>
      <c r="I13" s="10">
        <v>6</v>
      </c>
      <c r="J13" s="10"/>
      <c r="K13" s="10">
        <v>3</v>
      </c>
      <c r="L13" s="10">
        <v>2</v>
      </c>
      <c r="M13" s="10"/>
      <c r="N13" s="10"/>
      <c r="O13" s="10"/>
      <c r="P13" s="10"/>
      <c r="Q13" s="10">
        <v>12</v>
      </c>
      <c r="R13" s="10"/>
      <c r="S13" s="10">
        <f t="shared" si="0"/>
        <v>35</v>
      </c>
      <c r="T13" s="10">
        <v>12</v>
      </c>
    </row>
    <row r="14" spans="1:20" x14ac:dyDescent="0.4">
      <c r="A14" s="24">
        <v>15</v>
      </c>
      <c r="B14" s="39" t="s">
        <v>120</v>
      </c>
      <c r="C14" s="10"/>
      <c r="D14" s="10"/>
      <c r="E14" s="10">
        <v>10</v>
      </c>
      <c r="F14" s="10">
        <v>2</v>
      </c>
      <c r="G14" s="10">
        <v>6</v>
      </c>
      <c r="H14" s="10"/>
      <c r="I14" s="10"/>
      <c r="J14" s="10"/>
      <c r="K14" s="10"/>
      <c r="L14" s="10"/>
      <c r="M14" s="10">
        <v>1</v>
      </c>
      <c r="N14" s="10">
        <v>2</v>
      </c>
      <c r="O14" s="10">
        <v>3</v>
      </c>
      <c r="P14" s="10"/>
      <c r="Q14" s="10">
        <v>10</v>
      </c>
      <c r="R14" s="10"/>
      <c r="S14" s="10">
        <f t="shared" si="0"/>
        <v>34</v>
      </c>
      <c r="T14" s="10">
        <v>13</v>
      </c>
    </row>
    <row r="15" spans="1:20" x14ac:dyDescent="0.4">
      <c r="A15" s="24">
        <v>21</v>
      </c>
      <c r="B15" s="39" t="s">
        <v>134</v>
      </c>
      <c r="C15" s="10"/>
      <c r="D15" s="10"/>
      <c r="E15" s="10"/>
      <c r="F15" s="10"/>
      <c r="G15" s="10"/>
      <c r="H15" s="10"/>
      <c r="I15" s="10">
        <v>8</v>
      </c>
      <c r="J15" s="10">
        <v>12</v>
      </c>
      <c r="K15" s="10"/>
      <c r="L15" s="10">
        <v>8</v>
      </c>
      <c r="M15" s="10"/>
      <c r="N15" s="10"/>
      <c r="O15" s="10"/>
      <c r="P15" s="10"/>
      <c r="Q15" s="10">
        <v>3</v>
      </c>
      <c r="R15" s="10"/>
      <c r="S15" s="10">
        <f t="shared" si="0"/>
        <v>31</v>
      </c>
      <c r="T15" s="10">
        <v>14</v>
      </c>
    </row>
    <row r="16" spans="1:20" x14ac:dyDescent="0.4">
      <c r="A16" s="25" t="s">
        <v>31</v>
      </c>
      <c r="B16" s="39" t="s">
        <v>122</v>
      </c>
      <c r="C16" s="10"/>
      <c r="D16" s="10"/>
      <c r="E16" s="10">
        <v>7</v>
      </c>
      <c r="F16" s="10"/>
      <c r="G16" s="10"/>
      <c r="H16" s="10"/>
      <c r="I16" s="10"/>
      <c r="J16" s="10"/>
      <c r="K16" s="10">
        <v>5</v>
      </c>
      <c r="L16" s="10"/>
      <c r="M16" s="10"/>
      <c r="N16" s="10">
        <v>10</v>
      </c>
      <c r="O16" s="10"/>
      <c r="P16" s="10">
        <v>8</v>
      </c>
      <c r="Q16" s="10"/>
      <c r="R16" s="10"/>
      <c r="S16" s="10">
        <f t="shared" si="0"/>
        <v>30</v>
      </c>
      <c r="T16" s="10">
        <v>15</v>
      </c>
    </row>
    <row r="17" spans="1:20" x14ac:dyDescent="0.4">
      <c r="A17" s="24">
        <v>11</v>
      </c>
      <c r="B17" s="39" t="s">
        <v>113</v>
      </c>
      <c r="C17" s="10">
        <v>7</v>
      </c>
      <c r="D17" s="10"/>
      <c r="E17" s="10">
        <v>2</v>
      </c>
      <c r="F17" s="10"/>
      <c r="G17" s="10">
        <v>8</v>
      </c>
      <c r="H17" s="10"/>
      <c r="I17" s="10"/>
      <c r="J17" s="10"/>
      <c r="K17" s="10"/>
      <c r="L17" s="10">
        <v>4</v>
      </c>
      <c r="M17" s="10"/>
      <c r="N17" s="10"/>
      <c r="O17" s="10"/>
      <c r="P17" s="10"/>
      <c r="Q17" s="10"/>
      <c r="R17" s="10">
        <v>6</v>
      </c>
      <c r="S17" s="10">
        <f t="shared" si="0"/>
        <v>27</v>
      </c>
      <c r="T17" s="10">
        <v>16</v>
      </c>
    </row>
    <row r="18" spans="1:20" x14ac:dyDescent="0.4">
      <c r="A18" s="24">
        <v>13</v>
      </c>
      <c r="B18" s="39" t="s">
        <v>40</v>
      </c>
      <c r="C18" s="10">
        <v>10</v>
      </c>
      <c r="D18" s="10">
        <v>2</v>
      </c>
      <c r="E18" s="10"/>
      <c r="F18" s="10">
        <v>3</v>
      </c>
      <c r="G18" s="10"/>
      <c r="H18" s="10">
        <v>3</v>
      </c>
      <c r="I18" s="10"/>
      <c r="J18" s="10"/>
      <c r="K18" s="10"/>
      <c r="L18" s="10"/>
      <c r="M18" s="10">
        <v>2</v>
      </c>
      <c r="N18" s="10"/>
      <c r="O18" s="10">
        <v>2</v>
      </c>
      <c r="P18" s="10">
        <v>3</v>
      </c>
      <c r="Q18" s="10"/>
      <c r="R18" s="10"/>
      <c r="S18" s="10">
        <f t="shared" si="0"/>
        <v>25</v>
      </c>
      <c r="T18" s="10">
        <v>17</v>
      </c>
    </row>
    <row r="19" spans="1:20" x14ac:dyDescent="0.4">
      <c r="A19" s="24">
        <v>12</v>
      </c>
      <c r="B19" s="39" t="s">
        <v>110</v>
      </c>
      <c r="C19" s="10"/>
      <c r="D19" s="10"/>
      <c r="E19" s="10"/>
      <c r="F19" s="10"/>
      <c r="G19" s="10"/>
      <c r="H19" s="10">
        <v>8</v>
      </c>
      <c r="I19" s="10">
        <v>3</v>
      </c>
      <c r="J19" s="10"/>
      <c r="K19" s="10"/>
      <c r="L19" s="10">
        <v>10</v>
      </c>
      <c r="M19" s="10"/>
      <c r="N19" s="10">
        <v>3</v>
      </c>
      <c r="O19" s="10"/>
      <c r="P19" s="10"/>
      <c r="Q19" s="10"/>
      <c r="R19" s="10"/>
      <c r="S19" s="10">
        <f t="shared" si="0"/>
        <v>24</v>
      </c>
      <c r="T19" s="10">
        <v>18</v>
      </c>
    </row>
    <row r="20" spans="1:20" x14ac:dyDescent="0.4">
      <c r="A20" s="25" t="s">
        <v>23</v>
      </c>
      <c r="B20" s="39" t="s">
        <v>171</v>
      </c>
      <c r="C20" s="10"/>
      <c r="D20" s="10">
        <v>7</v>
      </c>
      <c r="E20" s="10"/>
      <c r="F20" s="10"/>
      <c r="G20" s="10">
        <v>3</v>
      </c>
      <c r="H20" s="10"/>
      <c r="I20" s="10"/>
      <c r="J20" s="10"/>
      <c r="K20" s="10">
        <v>8</v>
      </c>
      <c r="L20" s="10"/>
      <c r="M20" s="10">
        <v>5</v>
      </c>
      <c r="N20" s="10"/>
      <c r="O20" s="10"/>
      <c r="P20" s="10"/>
      <c r="Q20" s="10">
        <v>1</v>
      </c>
      <c r="R20" s="10"/>
      <c r="S20" s="10">
        <f t="shared" si="0"/>
        <v>24</v>
      </c>
      <c r="T20" s="10">
        <v>19</v>
      </c>
    </row>
    <row r="21" spans="1:20" x14ac:dyDescent="0.4">
      <c r="A21" s="25" t="s">
        <v>11</v>
      </c>
      <c r="B21" s="39" t="s">
        <v>101</v>
      </c>
      <c r="C21" s="10"/>
      <c r="D21" s="10"/>
      <c r="E21" s="10"/>
      <c r="F21" s="10">
        <v>12</v>
      </c>
      <c r="G21" s="10"/>
      <c r="H21" s="10"/>
      <c r="I21" s="10"/>
      <c r="J21" s="10"/>
      <c r="K21" s="10"/>
      <c r="L21" s="10">
        <v>5</v>
      </c>
      <c r="M21" s="10"/>
      <c r="N21" s="10"/>
      <c r="O21" s="10"/>
      <c r="P21" s="10">
        <v>2</v>
      </c>
      <c r="Q21" s="10">
        <v>2</v>
      </c>
      <c r="R21" s="10"/>
      <c r="S21" s="10">
        <f t="shared" si="0"/>
        <v>21</v>
      </c>
      <c r="T21" s="10">
        <v>20</v>
      </c>
    </row>
    <row r="22" spans="1:20" x14ac:dyDescent="0.4">
      <c r="A22" s="25" t="s">
        <v>16</v>
      </c>
      <c r="B22" s="39" t="s">
        <v>85</v>
      </c>
      <c r="C22" s="10"/>
      <c r="D22" s="10">
        <v>3</v>
      </c>
      <c r="E22" s="10"/>
      <c r="F22" s="10">
        <v>8</v>
      </c>
      <c r="G22" s="10"/>
      <c r="H22" s="10"/>
      <c r="I22" s="10"/>
      <c r="J22" s="10">
        <v>7</v>
      </c>
      <c r="K22" s="10"/>
      <c r="L22" s="10"/>
      <c r="M22" s="10"/>
      <c r="N22" s="10"/>
      <c r="O22" s="10"/>
      <c r="P22" s="10">
        <v>1</v>
      </c>
      <c r="Q22" s="10"/>
      <c r="R22" s="10"/>
      <c r="S22" s="10">
        <f t="shared" si="0"/>
        <v>19</v>
      </c>
      <c r="T22" s="10">
        <v>21</v>
      </c>
    </row>
    <row r="23" spans="1:20" x14ac:dyDescent="0.4">
      <c r="A23" s="24">
        <v>20</v>
      </c>
      <c r="B23" s="39" t="s">
        <v>144</v>
      </c>
      <c r="C23" s="10"/>
      <c r="D23" s="10">
        <v>6</v>
      </c>
      <c r="E23" s="10">
        <v>8</v>
      </c>
      <c r="F23" s="10"/>
      <c r="G23" s="10"/>
      <c r="H23" s="10"/>
      <c r="I23" s="10">
        <v>2</v>
      </c>
      <c r="J23" s="10">
        <v>1</v>
      </c>
      <c r="K23" s="10"/>
      <c r="L23" s="10"/>
      <c r="M23" s="10"/>
      <c r="N23" s="10"/>
      <c r="O23" s="10"/>
      <c r="P23" s="10"/>
      <c r="Q23" s="10"/>
      <c r="R23" s="10"/>
      <c r="S23" s="10">
        <f t="shared" si="0"/>
        <v>17</v>
      </c>
      <c r="T23" s="10">
        <v>22</v>
      </c>
    </row>
    <row r="24" spans="1:20" x14ac:dyDescent="0.4">
      <c r="A24" s="24">
        <v>10</v>
      </c>
      <c r="B24" s="39" t="s">
        <v>157</v>
      </c>
      <c r="C24" s="10"/>
      <c r="D24" s="10"/>
      <c r="E24" s="10"/>
      <c r="F24" s="10"/>
      <c r="G24" s="10">
        <v>4</v>
      </c>
      <c r="H24" s="10">
        <v>1</v>
      </c>
      <c r="I24" s="10">
        <v>5</v>
      </c>
      <c r="J24" s="10"/>
      <c r="K24" s="10"/>
      <c r="L24" s="10">
        <v>1</v>
      </c>
      <c r="M24" s="10"/>
      <c r="N24" s="10"/>
      <c r="O24" s="10"/>
      <c r="P24" s="10"/>
      <c r="Q24" s="10"/>
      <c r="R24" s="10">
        <v>6</v>
      </c>
      <c r="S24" s="10">
        <f t="shared" si="0"/>
        <v>17</v>
      </c>
      <c r="T24" s="10">
        <v>23</v>
      </c>
    </row>
    <row r="25" spans="1:20" x14ac:dyDescent="0.4">
      <c r="A25" s="26">
        <v>19</v>
      </c>
      <c r="B25" s="45" t="s">
        <v>33</v>
      </c>
      <c r="C25" s="16">
        <v>2</v>
      </c>
      <c r="D25" s="16"/>
      <c r="E25" s="16">
        <v>1</v>
      </c>
      <c r="F25" s="16"/>
      <c r="G25" s="16">
        <v>2</v>
      </c>
      <c r="H25" s="16"/>
      <c r="I25" s="16"/>
      <c r="J25" s="16">
        <v>3</v>
      </c>
      <c r="K25" s="16"/>
      <c r="L25" s="16"/>
      <c r="M25" s="16"/>
      <c r="N25" s="16"/>
      <c r="O25" s="16"/>
      <c r="P25" s="16"/>
      <c r="Q25" s="16"/>
      <c r="R25" s="16">
        <v>6</v>
      </c>
      <c r="S25" s="16">
        <f t="shared" si="0"/>
        <v>14</v>
      </c>
      <c r="T25" s="16">
        <v>24</v>
      </c>
    </row>
    <row r="26" spans="1:20" x14ac:dyDescent="0.4">
      <c r="A26" s="20"/>
      <c r="B26" s="19"/>
      <c r="C26" s="20">
        <f>SUM(C2:C25)</f>
        <v>58</v>
      </c>
      <c r="D26" s="20">
        <f>SUM(D2:D25)</f>
        <v>58</v>
      </c>
      <c r="E26" s="20">
        <f>SUM(E2:E25)</f>
        <v>58</v>
      </c>
      <c r="F26" s="20">
        <f>SUM(F2:F25)</f>
        <v>58</v>
      </c>
      <c r="G26" s="20">
        <f>SUM(G2:G25)</f>
        <v>58</v>
      </c>
      <c r="H26" s="20">
        <f t="shared" ref="H26:Q26" si="1">SUM(H2:H25)</f>
        <v>58</v>
      </c>
      <c r="I26" s="20">
        <f t="shared" si="1"/>
        <v>58</v>
      </c>
      <c r="J26" s="20">
        <f t="shared" si="1"/>
        <v>58</v>
      </c>
      <c r="K26" s="20">
        <f t="shared" si="1"/>
        <v>58</v>
      </c>
      <c r="L26" s="20">
        <f t="shared" si="1"/>
        <v>58</v>
      </c>
      <c r="M26" s="20">
        <f t="shared" si="1"/>
        <v>58</v>
      </c>
      <c r="N26" s="20">
        <f t="shared" si="1"/>
        <v>58</v>
      </c>
      <c r="O26" s="20">
        <f t="shared" si="1"/>
        <v>58</v>
      </c>
      <c r="P26" s="20">
        <f t="shared" si="1"/>
        <v>58</v>
      </c>
      <c r="Q26" s="20">
        <f t="shared" si="1"/>
        <v>58</v>
      </c>
      <c r="R26" s="20"/>
      <c r="S26" s="20"/>
      <c r="T26" s="20"/>
    </row>
  </sheetData>
  <sortState xmlns:xlrd2="http://schemas.microsoft.com/office/spreadsheetml/2017/richdata2" ref="A2:S25">
    <sortCondition descending="1" ref="S2:S25"/>
  </sortState>
  <pageMargins left="0.7" right="0.7" top="0.75" bottom="0.75" header="0.3" footer="0.3"/>
  <ignoredErrors>
    <ignoredError sqref="A5:A2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95F3-3577-4BB4-8EA7-DDC22FB20D46}">
  <sheetPr>
    <tabColor rgb="FF5FDF71"/>
  </sheetPr>
  <dimension ref="A1:BD30"/>
  <sheetViews>
    <sheetView workbookViewId="0">
      <selection activeCell="B1" sqref="B1"/>
    </sheetView>
  </sheetViews>
  <sheetFormatPr defaultRowHeight="13.2" x14ac:dyDescent="0.4"/>
  <cols>
    <col min="1" max="1" width="3" style="7" bestFit="1" customWidth="1"/>
    <col min="2" max="2" width="17.77734375" style="7" bestFit="1" customWidth="1"/>
    <col min="3" max="3" width="3.33203125" style="22" customWidth="1"/>
    <col min="4" max="56" width="3.33203125" style="7" customWidth="1"/>
    <col min="57" max="16384" width="8.88671875" style="7"/>
  </cols>
  <sheetData>
    <row r="1" spans="1:56" ht="118.2" x14ac:dyDescent="1.25">
      <c r="A1" s="3"/>
      <c r="B1" s="46" t="s">
        <v>187</v>
      </c>
      <c r="C1" s="5" t="s">
        <v>166</v>
      </c>
      <c r="D1" s="5" t="s">
        <v>38</v>
      </c>
      <c r="E1" s="5" t="s">
        <v>33</v>
      </c>
      <c r="F1" s="5" t="s">
        <v>15</v>
      </c>
      <c r="G1" s="5" t="s">
        <v>12</v>
      </c>
      <c r="H1" s="5" t="s">
        <v>70</v>
      </c>
      <c r="I1" s="5" t="s">
        <v>58</v>
      </c>
      <c r="J1" s="5" t="s">
        <v>120</v>
      </c>
      <c r="K1" s="5" t="s">
        <v>47</v>
      </c>
      <c r="L1" s="5" t="s">
        <v>91</v>
      </c>
      <c r="M1" s="5" t="s">
        <v>62</v>
      </c>
      <c r="N1" s="5" t="s">
        <v>78</v>
      </c>
      <c r="O1" s="5" t="s">
        <v>28</v>
      </c>
      <c r="P1" s="5" t="s">
        <v>55</v>
      </c>
      <c r="Q1" s="5" t="s">
        <v>69</v>
      </c>
      <c r="R1" s="5" t="s">
        <v>20</v>
      </c>
      <c r="S1" s="5" t="s">
        <v>40</v>
      </c>
      <c r="T1" s="5" t="s">
        <v>8</v>
      </c>
      <c r="U1" s="5" t="s">
        <v>52</v>
      </c>
      <c r="V1" s="5" t="s">
        <v>98</v>
      </c>
      <c r="W1" s="5" t="s">
        <v>66</v>
      </c>
      <c r="X1" s="5" t="s">
        <v>110</v>
      </c>
      <c r="Y1" s="5" t="s">
        <v>122</v>
      </c>
      <c r="Z1" s="5" t="s">
        <v>113</v>
      </c>
      <c r="AA1" s="5" t="s">
        <v>49</v>
      </c>
      <c r="AB1" s="5" t="s">
        <v>107</v>
      </c>
      <c r="AC1" s="5" t="s">
        <v>159</v>
      </c>
      <c r="AD1" s="5" t="s">
        <v>116</v>
      </c>
      <c r="AE1" s="5" t="s">
        <v>65</v>
      </c>
      <c r="AF1" s="5" t="s">
        <v>101</v>
      </c>
      <c r="AG1" s="5" t="s">
        <v>130</v>
      </c>
      <c r="AH1" s="5" t="s">
        <v>154</v>
      </c>
      <c r="AI1" s="5" t="s">
        <v>112</v>
      </c>
      <c r="AJ1" s="5" t="s">
        <v>127</v>
      </c>
      <c r="AK1" s="5" t="s">
        <v>171</v>
      </c>
      <c r="AL1" s="5" t="s">
        <v>139</v>
      </c>
      <c r="AM1" s="5" t="s">
        <v>89</v>
      </c>
      <c r="AN1" s="5" t="s">
        <v>142</v>
      </c>
      <c r="AO1" s="5" t="s">
        <v>150</v>
      </c>
      <c r="AP1" s="5" t="s">
        <v>148</v>
      </c>
      <c r="AQ1" s="5" t="s">
        <v>83</v>
      </c>
      <c r="AR1" s="5" t="s">
        <v>76</v>
      </c>
      <c r="AS1" s="5" t="s">
        <v>144</v>
      </c>
      <c r="AT1" s="5" t="s">
        <v>157</v>
      </c>
      <c r="AU1" s="5" t="s">
        <v>163</v>
      </c>
      <c r="AV1" s="5" t="s">
        <v>172</v>
      </c>
      <c r="AW1" s="5" t="s">
        <v>173</v>
      </c>
      <c r="AX1" s="5" t="s">
        <v>105</v>
      </c>
      <c r="AY1" s="5" t="s">
        <v>133</v>
      </c>
      <c r="AZ1" s="5" t="s">
        <v>2</v>
      </c>
      <c r="BA1" s="5" t="s">
        <v>180</v>
      </c>
      <c r="BB1" s="5" t="s">
        <v>188</v>
      </c>
      <c r="BC1" s="5" t="s">
        <v>184</v>
      </c>
      <c r="BD1" s="5" t="s">
        <v>185</v>
      </c>
    </row>
    <row r="2" spans="1:56" x14ac:dyDescent="0.4">
      <c r="A2" s="30">
        <v>10</v>
      </c>
      <c r="B2" s="40" t="s">
        <v>76</v>
      </c>
      <c r="C2" s="10"/>
      <c r="D2" s="10"/>
      <c r="E2" s="10"/>
      <c r="F2" s="10"/>
      <c r="G2" s="10"/>
      <c r="H2" s="10"/>
      <c r="I2" s="10"/>
      <c r="J2" s="10">
        <v>10</v>
      </c>
      <c r="K2" s="10"/>
      <c r="L2" s="10"/>
      <c r="M2" s="10">
        <v>5</v>
      </c>
      <c r="N2" s="10">
        <v>1</v>
      </c>
      <c r="O2" s="10">
        <v>7</v>
      </c>
      <c r="P2" s="10">
        <v>2</v>
      </c>
      <c r="Q2" s="10"/>
      <c r="R2" s="10"/>
      <c r="S2" s="10"/>
      <c r="T2" s="10"/>
      <c r="U2" s="10">
        <v>10</v>
      </c>
      <c r="V2" s="10">
        <v>3</v>
      </c>
      <c r="W2" s="10">
        <v>12</v>
      </c>
      <c r="X2" s="10">
        <v>6</v>
      </c>
      <c r="Y2" s="10">
        <v>3</v>
      </c>
      <c r="Z2" s="10"/>
      <c r="AA2" s="10"/>
      <c r="AB2" s="10">
        <v>5</v>
      </c>
      <c r="AC2" s="10"/>
      <c r="AD2" s="10"/>
      <c r="AE2" s="10">
        <v>12</v>
      </c>
      <c r="AF2" s="10"/>
      <c r="AG2" s="10">
        <v>12</v>
      </c>
      <c r="AH2" s="10">
        <v>2</v>
      </c>
      <c r="AI2" s="10"/>
      <c r="AJ2" s="10">
        <v>6</v>
      </c>
      <c r="AK2" s="10">
        <v>2</v>
      </c>
      <c r="AL2" s="10">
        <v>12</v>
      </c>
      <c r="AM2" s="10">
        <v>7</v>
      </c>
      <c r="AN2" s="10">
        <v>8</v>
      </c>
      <c r="AO2" s="10">
        <v>12</v>
      </c>
      <c r="AP2" s="10"/>
      <c r="AQ2" s="10"/>
      <c r="AR2" s="11"/>
      <c r="AS2" s="10"/>
      <c r="AT2" s="10"/>
      <c r="AU2" s="10">
        <v>6</v>
      </c>
      <c r="AV2" s="10"/>
      <c r="AW2" s="10">
        <v>12</v>
      </c>
      <c r="AX2" s="10">
        <v>1</v>
      </c>
      <c r="AY2" s="10">
        <v>6</v>
      </c>
      <c r="AZ2" s="10"/>
      <c r="BA2" s="10">
        <v>7</v>
      </c>
      <c r="BB2" s="10"/>
      <c r="BC2" s="30">
        <f t="shared" ref="BC2:BC29" si="0">SUM(C2:BB2)</f>
        <v>169</v>
      </c>
      <c r="BD2" s="30">
        <v>1</v>
      </c>
    </row>
    <row r="3" spans="1:56" x14ac:dyDescent="0.4">
      <c r="A3" s="30">
        <v>19</v>
      </c>
      <c r="B3" s="40" t="s">
        <v>28</v>
      </c>
      <c r="C3" s="10">
        <v>10</v>
      </c>
      <c r="D3" s="10"/>
      <c r="E3" s="10">
        <v>5</v>
      </c>
      <c r="F3" s="10"/>
      <c r="G3" s="10"/>
      <c r="H3" s="10">
        <v>10</v>
      </c>
      <c r="I3" s="10"/>
      <c r="J3" s="10"/>
      <c r="K3" s="10">
        <v>6</v>
      </c>
      <c r="L3" s="10"/>
      <c r="M3" s="10">
        <v>8</v>
      </c>
      <c r="N3" s="10"/>
      <c r="O3" s="11"/>
      <c r="P3" s="10">
        <v>8</v>
      </c>
      <c r="Q3" s="10"/>
      <c r="R3" s="10">
        <v>7</v>
      </c>
      <c r="S3" s="10"/>
      <c r="T3" s="10">
        <v>1</v>
      </c>
      <c r="U3" s="10"/>
      <c r="V3" s="10">
        <v>10</v>
      </c>
      <c r="W3" s="10"/>
      <c r="X3" s="10">
        <v>5</v>
      </c>
      <c r="Y3" s="10">
        <v>8</v>
      </c>
      <c r="Z3" s="10">
        <v>8</v>
      </c>
      <c r="AA3" s="10"/>
      <c r="AB3" s="10">
        <v>8</v>
      </c>
      <c r="AC3" s="10">
        <v>5</v>
      </c>
      <c r="AD3" s="10"/>
      <c r="AE3" s="10">
        <v>6</v>
      </c>
      <c r="AF3" s="10"/>
      <c r="AG3" s="10"/>
      <c r="AH3" s="10"/>
      <c r="AI3" s="10"/>
      <c r="AJ3" s="10">
        <v>1</v>
      </c>
      <c r="AK3" s="10">
        <v>12</v>
      </c>
      <c r="AL3" s="10"/>
      <c r="AM3" s="10">
        <v>5</v>
      </c>
      <c r="AN3" s="10">
        <v>1</v>
      </c>
      <c r="AO3" s="10"/>
      <c r="AP3" s="10">
        <v>3</v>
      </c>
      <c r="AQ3" s="10"/>
      <c r="AR3" s="10">
        <v>2</v>
      </c>
      <c r="AS3" s="10">
        <v>8</v>
      </c>
      <c r="AT3" s="10">
        <v>12</v>
      </c>
      <c r="AU3" s="10">
        <v>2</v>
      </c>
      <c r="AV3" s="10"/>
      <c r="AW3" s="10"/>
      <c r="AX3" s="10">
        <v>2</v>
      </c>
      <c r="AY3" s="10"/>
      <c r="AZ3" s="10">
        <v>12</v>
      </c>
      <c r="BA3" s="10"/>
      <c r="BB3" s="10"/>
      <c r="BC3" s="30">
        <f t="shared" si="0"/>
        <v>165</v>
      </c>
      <c r="BD3" s="30">
        <v>2</v>
      </c>
    </row>
    <row r="4" spans="1:56" x14ac:dyDescent="0.4">
      <c r="A4" s="30">
        <v>22</v>
      </c>
      <c r="B4" s="40" t="s">
        <v>172</v>
      </c>
      <c r="C4" s="10">
        <v>12</v>
      </c>
      <c r="D4" s="10"/>
      <c r="E4" s="10"/>
      <c r="F4" s="10"/>
      <c r="G4" s="10"/>
      <c r="H4" s="10">
        <v>2</v>
      </c>
      <c r="I4" s="10"/>
      <c r="J4" s="10">
        <v>6</v>
      </c>
      <c r="K4" s="10"/>
      <c r="L4" s="10"/>
      <c r="M4" s="10"/>
      <c r="N4" s="10"/>
      <c r="O4" s="10">
        <v>5</v>
      </c>
      <c r="P4" s="10">
        <v>3</v>
      </c>
      <c r="Q4" s="10">
        <v>8</v>
      </c>
      <c r="R4" s="10"/>
      <c r="S4" s="10">
        <v>3</v>
      </c>
      <c r="T4" s="10"/>
      <c r="U4" s="10"/>
      <c r="V4" s="10"/>
      <c r="W4" s="10">
        <v>10</v>
      </c>
      <c r="X4" s="10">
        <v>10</v>
      </c>
      <c r="Y4" s="10">
        <v>2</v>
      </c>
      <c r="Z4" s="10"/>
      <c r="AA4" s="10">
        <v>12</v>
      </c>
      <c r="AB4" s="10">
        <v>1</v>
      </c>
      <c r="AC4" s="10"/>
      <c r="AD4" s="10">
        <v>2</v>
      </c>
      <c r="AE4" s="10"/>
      <c r="AF4" s="10"/>
      <c r="AG4" s="10"/>
      <c r="AH4" s="10"/>
      <c r="AI4" s="10">
        <v>2</v>
      </c>
      <c r="AJ4" s="10"/>
      <c r="AK4" s="10"/>
      <c r="AL4" s="10">
        <v>6</v>
      </c>
      <c r="AM4" s="10"/>
      <c r="AN4" s="10"/>
      <c r="AO4" s="10">
        <v>7</v>
      </c>
      <c r="AP4" s="10"/>
      <c r="AQ4" s="10"/>
      <c r="AR4" s="10">
        <v>12</v>
      </c>
      <c r="AS4" s="10"/>
      <c r="AT4" s="10"/>
      <c r="AU4" s="10">
        <v>8</v>
      </c>
      <c r="AV4" s="11"/>
      <c r="AW4" s="10">
        <v>7</v>
      </c>
      <c r="AX4" s="10">
        <v>3</v>
      </c>
      <c r="AY4" s="10"/>
      <c r="AZ4" s="10"/>
      <c r="BA4" s="10">
        <v>12</v>
      </c>
      <c r="BB4" s="10">
        <v>12</v>
      </c>
      <c r="BC4" s="30">
        <f t="shared" si="0"/>
        <v>145</v>
      </c>
      <c r="BD4" s="30">
        <v>3</v>
      </c>
    </row>
    <row r="5" spans="1:56" x14ac:dyDescent="0.4">
      <c r="A5" s="30" t="s">
        <v>27</v>
      </c>
      <c r="B5" s="40" t="s">
        <v>8</v>
      </c>
      <c r="C5" s="10">
        <v>8</v>
      </c>
      <c r="D5" s="10">
        <v>10</v>
      </c>
      <c r="E5" s="10">
        <v>12</v>
      </c>
      <c r="F5" s="10"/>
      <c r="G5" s="10">
        <v>2</v>
      </c>
      <c r="H5" s="10"/>
      <c r="I5" s="10"/>
      <c r="J5" s="10"/>
      <c r="K5" s="10"/>
      <c r="L5" s="10">
        <v>8</v>
      </c>
      <c r="M5" s="10"/>
      <c r="N5" s="10">
        <v>8</v>
      </c>
      <c r="O5" s="10">
        <v>6</v>
      </c>
      <c r="P5" s="10"/>
      <c r="Q5" s="10">
        <v>1</v>
      </c>
      <c r="R5" s="10"/>
      <c r="S5" s="10">
        <v>2</v>
      </c>
      <c r="T5" s="11"/>
      <c r="U5" s="10"/>
      <c r="V5" s="10">
        <v>2</v>
      </c>
      <c r="W5" s="10"/>
      <c r="X5" s="10"/>
      <c r="Y5" s="10">
        <v>7</v>
      </c>
      <c r="Z5" s="10">
        <v>1</v>
      </c>
      <c r="AA5" s="10"/>
      <c r="AB5" s="10"/>
      <c r="AC5" s="10">
        <v>6</v>
      </c>
      <c r="AD5" s="10"/>
      <c r="AE5" s="10">
        <v>3</v>
      </c>
      <c r="AF5" s="10">
        <v>7</v>
      </c>
      <c r="AG5" s="10"/>
      <c r="AH5" s="10">
        <v>5</v>
      </c>
      <c r="AI5" s="10">
        <v>4</v>
      </c>
      <c r="AJ5" s="10"/>
      <c r="AK5" s="10">
        <v>7</v>
      </c>
      <c r="AL5" s="10">
        <v>4</v>
      </c>
      <c r="AM5" s="10">
        <v>8</v>
      </c>
      <c r="AN5" s="10">
        <v>6</v>
      </c>
      <c r="AO5" s="10"/>
      <c r="AP5" s="10"/>
      <c r="AQ5" s="10">
        <v>8</v>
      </c>
      <c r="AR5" s="10"/>
      <c r="AS5" s="10">
        <v>7</v>
      </c>
      <c r="AT5" s="10">
        <v>1</v>
      </c>
      <c r="AU5" s="10"/>
      <c r="AV5" s="10"/>
      <c r="AW5" s="10"/>
      <c r="AX5" s="10"/>
      <c r="AY5" s="10">
        <v>10</v>
      </c>
      <c r="AZ5" s="10"/>
      <c r="BA5" s="10"/>
      <c r="BB5" s="10"/>
      <c r="BC5" s="30">
        <f t="shared" si="0"/>
        <v>143</v>
      </c>
      <c r="BD5" s="30">
        <v>4</v>
      </c>
    </row>
    <row r="6" spans="1:56" x14ac:dyDescent="0.4">
      <c r="A6" s="30">
        <v>20</v>
      </c>
      <c r="B6" s="40" t="s">
        <v>91</v>
      </c>
      <c r="C6" s="10"/>
      <c r="D6" s="10"/>
      <c r="E6" s="10"/>
      <c r="F6" s="10">
        <v>8</v>
      </c>
      <c r="G6" s="10"/>
      <c r="H6" s="10"/>
      <c r="I6" s="10"/>
      <c r="J6" s="10"/>
      <c r="K6" s="10">
        <v>4</v>
      </c>
      <c r="L6" s="11"/>
      <c r="M6" s="10"/>
      <c r="N6" s="10">
        <v>10</v>
      </c>
      <c r="O6" s="10">
        <v>1</v>
      </c>
      <c r="P6" s="10">
        <v>12</v>
      </c>
      <c r="Q6" s="10">
        <v>5</v>
      </c>
      <c r="R6" s="10"/>
      <c r="S6" s="10"/>
      <c r="T6" s="10">
        <v>2</v>
      </c>
      <c r="U6" s="10">
        <v>12</v>
      </c>
      <c r="V6" s="10"/>
      <c r="W6" s="10"/>
      <c r="X6" s="10"/>
      <c r="Y6" s="10"/>
      <c r="Z6" s="10"/>
      <c r="AA6" s="10"/>
      <c r="AB6" s="10"/>
      <c r="AC6" s="10">
        <v>7</v>
      </c>
      <c r="AD6" s="10"/>
      <c r="AE6" s="10">
        <v>8</v>
      </c>
      <c r="AF6" s="10"/>
      <c r="AG6" s="10"/>
      <c r="AH6" s="10">
        <v>6</v>
      </c>
      <c r="AI6" s="10">
        <v>6</v>
      </c>
      <c r="AJ6" s="10"/>
      <c r="AK6" s="10"/>
      <c r="AL6" s="10">
        <v>2</v>
      </c>
      <c r="AM6" s="10"/>
      <c r="AN6" s="10">
        <v>10</v>
      </c>
      <c r="AO6" s="10">
        <v>10</v>
      </c>
      <c r="AP6" s="10">
        <v>12</v>
      </c>
      <c r="AQ6" s="10"/>
      <c r="AR6" s="10"/>
      <c r="AS6" s="10">
        <v>6</v>
      </c>
      <c r="AT6" s="10"/>
      <c r="AU6" s="10"/>
      <c r="AV6" s="10">
        <v>10</v>
      </c>
      <c r="AW6" s="10">
        <v>1</v>
      </c>
      <c r="AX6" s="10"/>
      <c r="AY6" s="10"/>
      <c r="AZ6" s="10"/>
      <c r="BA6" s="10">
        <v>10</v>
      </c>
      <c r="BB6" s="10"/>
      <c r="BC6" s="30">
        <f t="shared" si="0"/>
        <v>142</v>
      </c>
      <c r="BD6" s="30">
        <v>5</v>
      </c>
    </row>
    <row r="7" spans="1:56" x14ac:dyDescent="0.4">
      <c r="A7" s="33" t="s">
        <v>4</v>
      </c>
      <c r="B7" s="47" t="s">
        <v>130</v>
      </c>
      <c r="C7" s="16">
        <v>2</v>
      </c>
      <c r="D7" s="16">
        <v>12</v>
      </c>
      <c r="E7" s="16"/>
      <c r="F7" s="16">
        <v>5</v>
      </c>
      <c r="G7" s="16"/>
      <c r="H7" s="16"/>
      <c r="I7" s="16"/>
      <c r="J7" s="16"/>
      <c r="K7" s="16">
        <v>5</v>
      </c>
      <c r="L7" s="16">
        <v>7</v>
      </c>
      <c r="M7" s="16"/>
      <c r="N7" s="16">
        <v>5</v>
      </c>
      <c r="O7" s="16"/>
      <c r="P7" s="16">
        <v>4</v>
      </c>
      <c r="Q7" s="16">
        <v>7</v>
      </c>
      <c r="R7" s="16">
        <v>10</v>
      </c>
      <c r="S7" s="16">
        <v>4</v>
      </c>
      <c r="T7" s="16"/>
      <c r="U7" s="16"/>
      <c r="V7" s="16"/>
      <c r="W7" s="16"/>
      <c r="X7" s="16"/>
      <c r="Y7" s="16">
        <v>4</v>
      </c>
      <c r="Z7" s="16">
        <v>4</v>
      </c>
      <c r="AA7" s="16">
        <v>3</v>
      </c>
      <c r="AB7" s="16"/>
      <c r="AC7" s="16"/>
      <c r="AD7" s="16">
        <v>8</v>
      </c>
      <c r="AE7" s="16">
        <v>4</v>
      </c>
      <c r="AF7" s="16">
        <v>2</v>
      </c>
      <c r="AG7" s="17"/>
      <c r="AH7" s="16">
        <v>1</v>
      </c>
      <c r="AI7" s="16"/>
      <c r="AJ7" s="16">
        <v>8</v>
      </c>
      <c r="AK7" s="16"/>
      <c r="AL7" s="16">
        <v>7</v>
      </c>
      <c r="AM7" s="16"/>
      <c r="AN7" s="16"/>
      <c r="AO7" s="16"/>
      <c r="AP7" s="16">
        <v>7</v>
      </c>
      <c r="AQ7" s="16"/>
      <c r="AR7" s="16">
        <v>6</v>
      </c>
      <c r="AS7" s="16"/>
      <c r="AT7" s="16"/>
      <c r="AU7" s="16"/>
      <c r="AV7" s="16">
        <v>8</v>
      </c>
      <c r="AW7" s="16">
        <v>6</v>
      </c>
      <c r="AX7" s="16"/>
      <c r="AY7" s="16">
        <v>5</v>
      </c>
      <c r="AZ7" s="16"/>
      <c r="BA7" s="16">
        <v>5</v>
      </c>
      <c r="BB7" s="16"/>
      <c r="BC7" s="33">
        <f t="shared" si="0"/>
        <v>139</v>
      </c>
      <c r="BD7" s="33">
        <v>6</v>
      </c>
    </row>
    <row r="8" spans="1:56" x14ac:dyDescent="0.4">
      <c r="A8" s="30">
        <v>24</v>
      </c>
      <c r="B8" s="40" t="s">
        <v>78</v>
      </c>
      <c r="C8" s="10"/>
      <c r="D8" s="10">
        <v>6</v>
      </c>
      <c r="E8" s="10">
        <v>4</v>
      </c>
      <c r="F8" s="10">
        <v>7</v>
      </c>
      <c r="G8" s="10"/>
      <c r="H8" s="10"/>
      <c r="I8" s="10"/>
      <c r="J8" s="10">
        <v>4</v>
      </c>
      <c r="K8" s="10"/>
      <c r="L8" s="10">
        <v>6</v>
      </c>
      <c r="M8" s="10"/>
      <c r="N8" s="11"/>
      <c r="O8" s="10"/>
      <c r="P8" s="10"/>
      <c r="Q8" s="10"/>
      <c r="R8" s="10">
        <v>1</v>
      </c>
      <c r="S8" s="10"/>
      <c r="T8" s="10">
        <v>7</v>
      </c>
      <c r="U8" s="10">
        <v>3</v>
      </c>
      <c r="V8" s="10"/>
      <c r="W8" s="10">
        <v>6</v>
      </c>
      <c r="X8" s="10"/>
      <c r="Y8" s="10"/>
      <c r="Z8" s="10"/>
      <c r="AA8" s="10"/>
      <c r="AB8" s="10"/>
      <c r="AC8" s="10">
        <v>8</v>
      </c>
      <c r="AD8" s="10">
        <v>10</v>
      </c>
      <c r="AE8" s="10"/>
      <c r="AF8" s="10"/>
      <c r="AG8" s="10">
        <v>4</v>
      </c>
      <c r="AH8" s="10">
        <v>12</v>
      </c>
      <c r="AI8" s="10">
        <v>10</v>
      </c>
      <c r="AJ8" s="10"/>
      <c r="AK8" s="10">
        <v>5</v>
      </c>
      <c r="AL8" s="10">
        <v>5</v>
      </c>
      <c r="AM8" s="10"/>
      <c r="AN8" s="10"/>
      <c r="AO8" s="10"/>
      <c r="AP8" s="10">
        <v>8</v>
      </c>
      <c r="AQ8" s="10"/>
      <c r="AR8" s="10"/>
      <c r="AS8" s="10"/>
      <c r="AT8" s="10"/>
      <c r="AU8" s="10">
        <v>5</v>
      </c>
      <c r="AV8" s="10">
        <v>1</v>
      </c>
      <c r="AW8" s="10"/>
      <c r="AX8" s="10">
        <v>7</v>
      </c>
      <c r="AY8" s="10">
        <v>12</v>
      </c>
      <c r="AZ8" s="10"/>
      <c r="BA8" s="10"/>
      <c r="BB8" s="10">
        <v>1</v>
      </c>
      <c r="BC8" s="10">
        <f t="shared" si="0"/>
        <v>132</v>
      </c>
      <c r="BD8" s="10">
        <v>7</v>
      </c>
    </row>
    <row r="9" spans="1:56" x14ac:dyDescent="0.4">
      <c r="A9" s="30">
        <v>14</v>
      </c>
      <c r="B9" s="40" t="s">
        <v>154</v>
      </c>
      <c r="C9" s="10"/>
      <c r="D9" s="10">
        <v>8</v>
      </c>
      <c r="E9" s="10"/>
      <c r="F9" s="10"/>
      <c r="G9" s="10"/>
      <c r="H9" s="10"/>
      <c r="I9" s="10"/>
      <c r="J9" s="10"/>
      <c r="K9" s="10"/>
      <c r="L9" s="10">
        <v>12</v>
      </c>
      <c r="M9" s="10">
        <v>2</v>
      </c>
      <c r="N9" s="10"/>
      <c r="O9" s="10"/>
      <c r="P9" s="10">
        <v>5</v>
      </c>
      <c r="Q9" s="10"/>
      <c r="R9" s="10"/>
      <c r="S9" s="10"/>
      <c r="T9" s="10"/>
      <c r="U9" s="10"/>
      <c r="V9" s="10"/>
      <c r="W9" s="10">
        <v>7</v>
      </c>
      <c r="X9" s="10"/>
      <c r="Y9" s="10">
        <v>6</v>
      </c>
      <c r="Z9" s="10"/>
      <c r="AA9" s="10"/>
      <c r="AB9" s="10"/>
      <c r="AC9" s="10">
        <v>12</v>
      </c>
      <c r="AD9" s="10"/>
      <c r="AE9" s="10">
        <v>2</v>
      </c>
      <c r="AF9" s="10">
        <v>5</v>
      </c>
      <c r="AG9" s="10"/>
      <c r="AH9" s="11"/>
      <c r="AI9" s="10">
        <v>12</v>
      </c>
      <c r="AJ9" s="10">
        <v>4</v>
      </c>
      <c r="AK9" s="10"/>
      <c r="AL9" s="10"/>
      <c r="AM9" s="10">
        <v>10</v>
      </c>
      <c r="AN9" s="10">
        <v>7</v>
      </c>
      <c r="AO9" s="10"/>
      <c r="AP9" s="10"/>
      <c r="AQ9" s="10">
        <v>5</v>
      </c>
      <c r="AR9" s="10"/>
      <c r="AS9" s="10"/>
      <c r="AT9" s="10"/>
      <c r="AU9" s="10">
        <v>10</v>
      </c>
      <c r="AV9" s="10"/>
      <c r="AW9" s="10"/>
      <c r="AX9" s="10">
        <v>12</v>
      </c>
      <c r="AY9" s="10">
        <v>8</v>
      </c>
      <c r="AZ9" s="10"/>
      <c r="BA9" s="10"/>
      <c r="BB9" s="10">
        <v>5</v>
      </c>
      <c r="BC9" s="10">
        <f t="shared" si="0"/>
        <v>132</v>
      </c>
      <c r="BD9" s="10">
        <v>8</v>
      </c>
    </row>
    <row r="10" spans="1:56" x14ac:dyDescent="0.4">
      <c r="A10" s="30" t="s">
        <v>11</v>
      </c>
      <c r="B10" s="40" t="s">
        <v>142</v>
      </c>
      <c r="C10" s="10"/>
      <c r="D10" s="10"/>
      <c r="E10" s="10"/>
      <c r="F10" s="10">
        <v>12</v>
      </c>
      <c r="G10" s="10"/>
      <c r="H10" s="10"/>
      <c r="I10" s="10">
        <v>12</v>
      </c>
      <c r="J10" s="10">
        <v>2</v>
      </c>
      <c r="K10" s="10">
        <v>8</v>
      </c>
      <c r="L10" s="10"/>
      <c r="M10" s="10"/>
      <c r="N10" s="10">
        <v>6</v>
      </c>
      <c r="O10" s="10"/>
      <c r="P10" s="10"/>
      <c r="Q10" s="10">
        <v>6</v>
      </c>
      <c r="R10" s="10">
        <v>3</v>
      </c>
      <c r="S10" s="10">
        <v>6</v>
      </c>
      <c r="T10" s="10"/>
      <c r="U10" s="10"/>
      <c r="V10" s="10"/>
      <c r="W10" s="10">
        <v>8</v>
      </c>
      <c r="X10" s="10"/>
      <c r="Y10" s="10"/>
      <c r="Z10" s="10"/>
      <c r="AA10" s="10">
        <v>5</v>
      </c>
      <c r="AB10" s="10"/>
      <c r="AC10" s="10">
        <v>3</v>
      </c>
      <c r="AD10" s="10">
        <v>1</v>
      </c>
      <c r="AE10" s="10"/>
      <c r="AF10" s="10"/>
      <c r="AG10" s="10">
        <v>3</v>
      </c>
      <c r="AH10" s="10"/>
      <c r="AI10" s="10">
        <v>7</v>
      </c>
      <c r="AJ10" s="10">
        <v>3</v>
      </c>
      <c r="AK10" s="10"/>
      <c r="AL10" s="10">
        <v>1</v>
      </c>
      <c r="AM10" s="10"/>
      <c r="AN10" s="11"/>
      <c r="AO10" s="10"/>
      <c r="AP10" s="10">
        <v>10</v>
      </c>
      <c r="AQ10" s="10"/>
      <c r="AR10" s="10"/>
      <c r="AS10" s="10">
        <v>1</v>
      </c>
      <c r="AT10" s="10">
        <v>4</v>
      </c>
      <c r="AU10" s="10">
        <v>4</v>
      </c>
      <c r="AV10" s="10"/>
      <c r="AW10" s="10">
        <v>2</v>
      </c>
      <c r="AX10" s="10">
        <v>10</v>
      </c>
      <c r="AY10" s="10">
        <v>3</v>
      </c>
      <c r="AZ10" s="10">
        <v>4</v>
      </c>
      <c r="BA10" s="10">
        <v>6</v>
      </c>
      <c r="BB10" s="10"/>
      <c r="BC10" s="10">
        <f t="shared" si="0"/>
        <v>130</v>
      </c>
      <c r="BD10" s="10">
        <v>9</v>
      </c>
    </row>
    <row r="11" spans="1:56" x14ac:dyDescent="0.4">
      <c r="A11" s="30">
        <v>25</v>
      </c>
      <c r="B11" s="40" t="s">
        <v>15</v>
      </c>
      <c r="C11" s="10">
        <v>1</v>
      </c>
      <c r="D11" s="10"/>
      <c r="E11" s="10">
        <v>6</v>
      </c>
      <c r="F11" s="11"/>
      <c r="G11" s="10"/>
      <c r="H11" s="10"/>
      <c r="I11" s="10"/>
      <c r="J11" s="10"/>
      <c r="K11" s="10">
        <v>3</v>
      </c>
      <c r="L11" s="10">
        <v>10</v>
      </c>
      <c r="M11" s="10"/>
      <c r="N11" s="10"/>
      <c r="O11" s="10">
        <v>8</v>
      </c>
      <c r="P11" s="10"/>
      <c r="Q11" s="10">
        <v>2</v>
      </c>
      <c r="R11" s="10"/>
      <c r="S11" s="10">
        <v>1</v>
      </c>
      <c r="T11" s="10">
        <v>4</v>
      </c>
      <c r="U11" s="10"/>
      <c r="V11" s="10">
        <v>4</v>
      </c>
      <c r="W11" s="10">
        <v>5</v>
      </c>
      <c r="X11" s="10">
        <v>4</v>
      </c>
      <c r="Y11" s="10"/>
      <c r="Z11" s="10">
        <v>2</v>
      </c>
      <c r="AA11" s="10">
        <v>8</v>
      </c>
      <c r="AB11" s="10">
        <v>10</v>
      </c>
      <c r="AC11" s="10"/>
      <c r="AD11" s="10"/>
      <c r="AE11" s="10"/>
      <c r="AF11" s="10"/>
      <c r="AG11" s="10">
        <v>6</v>
      </c>
      <c r="AH11" s="10"/>
      <c r="AI11" s="10"/>
      <c r="AJ11" s="10">
        <v>10</v>
      </c>
      <c r="AK11" s="10"/>
      <c r="AL11" s="10"/>
      <c r="AM11" s="10">
        <v>4</v>
      </c>
      <c r="AN11" s="10"/>
      <c r="AO11" s="10">
        <v>2</v>
      </c>
      <c r="AP11" s="10">
        <v>4</v>
      </c>
      <c r="AQ11" s="10">
        <v>4</v>
      </c>
      <c r="AR11" s="10">
        <v>1</v>
      </c>
      <c r="AS11" s="10">
        <v>10</v>
      </c>
      <c r="AT11" s="10">
        <v>7</v>
      </c>
      <c r="AU11" s="10"/>
      <c r="AV11" s="10"/>
      <c r="AW11" s="10"/>
      <c r="AX11" s="10"/>
      <c r="AY11" s="10"/>
      <c r="AZ11" s="10">
        <v>7</v>
      </c>
      <c r="BA11" s="10">
        <v>2</v>
      </c>
      <c r="BB11" s="10"/>
      <c r="BC11" s="10">
        <f t="shared" si="0"/>
        <v>125</v>
      </c>
      <c r="BD11" s="10">
        <v>10</v>
      </c>
    </row>
    <row r="12" spans="1:56" x14ac:dyDescent="0.4">
      <c r="A12" s="30">
        <v>28</v>
      </c>
      <c r="B12" s="40" t="s">
        <v>139</v>
      </c>
      <c r="C12" s="10">
        <v>7</v>
      </c>
      <c r="D12" s="10"/>
      <c r="E12" s="10"/>
      <c r="F12" s="10"/>
      <c r="G12" s="10"/>
      <c r="H12" s="10"/>
      <c r="I12" s="10">
        <v>10</v>
      </c>
      <c r="J12" s="10">
        <v>12</v>
      </c>
      <c r="K12" s="10"/>
      <c r="L12" s="10"/>
      <c r="M12" s="10">
        <v>7</v>
      </c>
      <c r="N12" s="10"/>
      <c r="O12" s="10">
        <v>2</v>
      </c>
      <c r="P12" s="10">
        <v>6</v>
      </c>
      <c r="Q12" s="10"/>
      <c r="R12" s="10"/>
      <c r="S12" s="10"/>
      <c r="T12" s="10"/>
      <c r="U12" s="10">
        <v>7</v>
      </c>
      <c r="V12" s="10"/>
      <c r="W12" s="10"/>
      <c r="X12" s="10"/>
      <c r="Y12" s="10"/>
      <c r="Z12" s="10"/>
      <c r="AA12" s="10"/>
      <c r="AB12" s="10"/>
      <c r="AC12" s="10">
        <v>2</v>
      </c>
      <c r="AD12" s="10"/>
      <c r="AE12" s="10"/>
      <c r="AF12" s="10">
        <v>1</v>
      </c>
      <c r="AG12" s="10">
        <v>8</v>
      </c>
      <c r="AH12" s="10">
        <v>8</v>
      </c>
      <c r="AI12" s="10">
        <v>5</v>
      </c>
      <c r="AJ12" s="10"/>
      <c r="AK12" s="10"/>
      <c r="AL12" s="11"/>
      <c r="AM12" s="10"/>
      <c r="AN12" s="10">
        <v>2</v>
      </c>
      <c r="AO12" s="10">
        <v>3</v>
      </c>
      <c r="AP12" s="10"/>
      <c r="AQ12" s="10"/>
      <c r="AR12" s="10">
        <v>10</v>
      </c>
      <c r="AS12" s="10"/>
      <c r="AT12" s="10"/>
      <c r="AU12" s="10">
        <v>7</v>
      </c>
      <c r="AV12" s="10">
        <v>3</v>
      </c>
      <c r="AW12" s="10">
        <v>8</v>
      </c>
      <c r="AX12" s="10"/>
      <c r="AY12" s="10">
        <v>7</v>
      </c>
      <c r="AZ12" s="10"/>
      <c r="BA12" s="10"/>
      <c r="BB12" s="10">
        <v>7</v>
      </c>
      <c r="BC12" s="10">
        <f t="shared" si="0"/>
        <v>122</v>
      </c>
      <c r="BD12" s="10">
        <v>11</v>
      </c>
    </row>
    <row r="13" spans="1:56" x14ac:dyDescent="0.4">
      <c r="A13" s="30">
        <v>13</v>
      </c>
      <c r="B13" s="40" t="s">
        <v>171</v>
      </c>
      <c r="C13" s="10"/>
      <c r="D13" s="10">
        <v>4</v>
      </c>
      <c r="E13" s="10">
        <v>8</v>
      </c>
      <c r="F13" s="10"/>
      <c r="G13" s="10">
        <v>6</v>
      </c>
      <c r="H13" s="10">
        <v>6</v>
      </c>
      <c r="I13" s="10"/>
      <c r="J13" s="10"/>
      <c r="K13" s="10">
        <v>10</v>
      </c>
      <c r="L13" s="10">
        <v>1</v>
      </c>
      <c r="M13" s="10"/>
      <c r="N13" s="10">
        <v>12</v>
      </c>
      <c r="O13" s="10"/>
      <c r="P13" s="10"/>
      <c r="Q13" s="10"/>
      <c r="R13" s="10">
        <v>8</v>
      </c>
      <c r="S13" s="10"/>
      <c r="T13" s="10"/>
      <c r="U13" s="10">
        <v>8</v>
      </c>
      <c r="V13" s="10"/>
      <c r="W13" s="10">
        <v>2</v>
      </c>
      <c r="X13" s="10"/>
      <c r="Y13" s="10"/>
      <c r="Z13" s="10">
        <v>12</v>
      </c>
      <c r="AA13" s="10"/>
      <c r="AB13" s="10"/>
      <c r="AC13" s="10"/>
      <c r="AD13" s="10">
        <v>7</v>
      </c>
      <c r="AE13" s="10">
        <v>10</v>
      </c>
      <c r="AF13" s="10">
        <v>12</v>
      </c>
      <c r="AG13" s="10"/>
      <c r="AH13" s="10"/>
      <c r="AI13" s="10"/>
      <c r="AJ13" s="10"/>
      <c r="AK13" s="11"/>
      <c r="AL13" s="10"/>
      <c r="AM13" s="10">
        <v>3</v>
      </c>
      <c r="AN13" s="10"/>
      <c r="AO13" s="10"/>
      <c r="AP13" s="10">
        <v>2</v>
      </c>
      <c r="AQ13" s="10"/>
      <c r="AR13" s="10"/>
      <c r="AS13" s="10"/>
      <c r="AT13" s="10"/>
      <c r="AU13" s="10"/>
      <c r="AV13" s="10"/>
      <c r="AW13" s="10"/>
      <c r="AX13" s="10"/>
      <c r="AY13" s="10">
        <v>2</v>
      </c>
      <c r="AZ13" s="10"/>
      <c r="BA13" s="10"/>
      <c r="BB13" s="10">
        <v>6</v>
      </c>
      <c r="BC13" s="10">
        <f t="shared" si="0"/>
        <v>119</v>
      </c>
      <c r="BD13" s="10">
        <v>12</v>
      </c>
    </row>
    <row r="14" spans="1:56" x14ac:dyDescent="0.4">
      <c r="A14" s="30">
        <v>18</v>
      </c>
      <c r="B14" s="40" t="s">
        <v>20</v>
      </c>
      <c r="C14" s="10"/>
      <c r="D14" s="10"/>
      <c r="E14" s="10">
        <v>3</v>
      </c>
      <c r="F14" s="10">
        <v>10</v>
      </c>
      <c r="G14" s="10"/>
      <c r="H14" s="10">
        <v>8</v>
      </c>
      <c r="I14" s="10">
        <v>5</v>
      </c>
      <c r="J14" s="10">
        <v>5</v>
      </c>
      <c r="K14" s="10"/>
      <c r="L14" s="10"/>
      <c r="M14" s="10"/>
      <c r="N14" s="10"/>
      <c r="O14" s="10">
        <v>3</v>
      </c>
      <c r="P14" s="10"/>
      <c r="Q14" s="10"/>
      <c r="R14" s="11"/>
      <c r="S14" s="10">
        <v>5</v>
      </c>
      <c r="T14" s="10">
        <v>6</v>
      </c>
      <c r="U14" s="10"/>
      <c r="V14" s="10"/>
      <c r="W14" s="10"/>
      <c r="X14" s="10">
        <v>2</v>
      </c>
      <c r="Y14" s="10"/>
      <c r="Z14" s="10"/>
      <c r="AA14" s="10"/>
      <c r="AB14" s="10">
        <v>7</v>
      </c>
      <c r="AC14" s="10"/>
      <c r="AD14" s="10">
        <v>12</v>
      </c>
      <c r="AE14" s="10"/>
      <c r="AF14" s="10"/>
      <c r="AG14" s="10"/>
      <c r="AH14" s="10"/>
      <c r="AI14" s="10"/>
      <c r="AJ14" s="10"/>
      <c r="AK14" s="10"/>
      <c r="AL14" s="10">
        <v>3</v>
      </c>
      <c r="AM14" s="10"/>
      <c r="AN14" s="10"/>
      <c r="AO14" s="10">
        <v>5</v>
      </c>
      <c r="AP14" s="10">
        <v>6</v>
      </c>
      <c r="AQ14" s="10"/>
      <c r="AR14" s="10"/>
      <c r="AS14" s="10"/>
      <c r="AT14" s="10">
        <v>8</v>
      </c>
      <c r="AU14" s="10">
        <v>3</v>
      </c>
      <c r="AV14" s="10"/>
      <c r="AW14" s="10">
        <v>3</v>
      </c>
      <c r="AX14" s="10"/>
      <c r="AY14" s="10"/>
      <c r="AZ14" s="10">
        <v>8</v>
      </c>
      <c r="BA14" s="10">
        <v>3</v>
      </c>
      <c r="BB14" s="10">
        <v>2</v>
      </c>
      <c r="BC14" s="10">
        <f t="shared" si="0"/>
        <v>107</v>
      </c>
      <c r="BD14" s="10">
        <v>13</v>
      </c>
    </row>
    <row r="15" spans="1:56" x14ac:dyDescent="0.4">
      <c r="A15" s="30">
        <v>27</v>
      </c>
      <c r="B15" s="40" t="s">
        <v>70</v>
      </c>
      <c r="C15" s="10"/>
      <c r="D15" s="10"/>
      <c r="E15" s="10"/>
      <c r="F15" s="10"/>
      <c r="G15" s="10"/>
      <c r="H15" s="11"/>
      <c r="I15" s="10"/>
      <c r="J15" s="10"/>
      <c r="K15" s="10"/>
      <c r="L15" s="10"/>
      <c r="M15" s="10">
        <v>10</v>
      </c>
      <c r="N15" s="10">
        <v>2</v>
      </c>
      <c r="O15" s="10">
        <v>4</v>
      </c>
      <c r="P15" s="10"/>
      <c r="Q15" s="10">
        <v>12</v>
      </c>
      <c r="R15" s="10">
        <v>5</v>
      </c>
      <c r="S15" s="10"/>
      <c r="T15" s="10"/>
      <c r="U15" s="10"/>
      <c r="V15" s="10">
        <v>7</v>
      </c>
      <c r="W15" s="10"/>
      <c r="X15" s="10">
        <v>7</v>
      </c>
      <c r="Y15" s="10"/>
      <c r="Z15" s="10">
        <v>5</v>
      </c>
      <c r="AA15" s="10"/>
      <c r="AB15" s="10">
        <v>2</v>
      </c>
      <c r="AC15" s="10"/>
      <c r="AD15" s="10"/>
      <c r="AE15" s="10"/>
      <c r="AF15" s="10"/>
      <c r="AG15" s="10"/>
      <c r="AH15" s="10"/>
      <c r="AI15" s="10"/>
      <c r="AJ15" s="10"/>
      <c r="AK15" s="10">
        <v>6</v>
      </c>
      <c r="AL15" s="10"/>
      <c r="AM15" s="10">
        <v>6</v>
      </c>
      <c r="AN15" s="10">
        <v>12</v>
      </c>
      <c r="AO15" s="10">
        <v>4</v>
      </c>
      <c r="AP15" s="10"/>
      <c r="AQ15" s="10"/>
      <c r="AR15" s="10"/>
      <c r="AS15" s="10"/>
      <c r="AT15" s="10">
        <v>10</v>
      </c>
      <c r="AU15" s="10"/>
      <c r="AV15" s="10"/>
      <c r="AW15" s="10">
        <v>10</v>
      </c>
      <c r="AX15" s="10"/>
      <c r="AY15" s="10"/>
      <c r="AZ15" s="10"/>
      <c r="BA15" s="10"/>
      <c r="BB15" s="10"/>
      <c r="BC15" s="10">
        <f t="shared" si="0"/>
        <v>102</v>
      </c>
      <c r="BD15" s="10">
        <v>14</v>
      </c>
    </row>
    <row r="16" spans="1:56" x14ac:dyDescent="0.4">
      <c r="A16" s="30" t="s">
        <v>16</v>
      </c>
      <c r="B16" s="40" t="s">
        <v>150</v>
      </c>
      <c r="C16" s="10"/>
      <c r="D16" s="10"/>
      <c r="E16" s="10">
        <v>2</v>
      </c>
      <c r="F16" s="10"/>
      <c r="G16" s="10">
        <v>1</v>
      </c>
      <c r="H16" s="10">
        <v>3</v>
      </c>
      <c r="I16" s="10"/>
      <c r="J16" s="10"/>
      <c r="K16" s="10"/>
      <c r="L16" s="10"/>
      <c r="M16" s="10">
        <v>12</v>
      </c>
      <c r="N16" s="10"/>
      <c r="O16" s="10"/>
      <c r="P16" s="10"/>
      <c r="Q16" s="10"/>
      <c r="R16" s="10">
        <v>12</v>
      </c>
      <c r="S16" s="10"/>
      <c r="T16" s="10"/>
      <c r="U16" s="10">
        <v>6</v>
      </c>
      <c r="V16" s="10">
        <v>12</v>
      </c>
      <c r="W16" s="10"/>
      <c r="X16" s="10">
        <v>3</v>
      </c>
      <c r="Y16" s="10"/>
      <c r="Z16" s="10">
        <v>10</v>
      </c>
      <c r="AA16" s="10"/>
      <c r="AB16" s="10">
        <v>12</v>
      </c>
      <c r="AC16" s="10"/>
      <c r="AD16" s="10"/>
      <c r="AE16" s="10">
        <v>5</v>
      </c>
      <c r="AF16" s="10"/>
      <c r="AG16" s="10"/>
      <c r="AH16" s="10"/>
      <c r="AI16" s="10"/>
      <c r="AJ16" s="10">
        <v>7</v>
      </c>
      <c r="AK16" s="10"/>
      <c r="AL16" s="10"/>
      <c r="AM16" s="10"/>
      <c r="AN16" s="10"/>
      <c r="AO16" s="11"/>
      <c r="AP16" s="10"/>
      <c r="AQ16" s="10"/>
      <c r="AR16" s="10"/>
      <c r="AS16" s="10"/>
      <c r="AT16" s="10">
        <v>6</v>
      </c>
      <c r="AU16" s="10"/>
      <c r="AV16" s="10"/>
      <c r="AW16" s="10"/>
      <c r="AX16" s="10"/>
      <c r="AY16" s="10"/>
      <c r="AZ16" s="10">
        <v>10</v>
      </c>
      <c r="BA16" s="10"/>
      <c r="BB16" s="10"/>
      <c r="BC16" s="10">
        <f t="shared" si="0"/>
        <v>101</v>
      </c>
      <c r="BD16" s="10">
        <v>15</v>
      </c>
    </row>
    <row r="17" spans="1:56" x14ac:dyDescent="0.4">
      <c r="A17" s="30" t="s">
        <v>19</v>
      </c>
      <c r="B17" s="40" t="s">
        <v>2</v>
      </c>
      <c r="C17" s="10">
        <v>4</v>
      </c>
      <c r="D17" s="10"/>
      <c r="E17" s="10"/>
      <c r="F17" s="10">
        <v>2</v>
      </c>
      <c r="G17" s="10"/>
      <c r="H17" s="10">
        <v>7</v>
      </c>
      <c r="I17" s="10"/>
      <c r="J17" s="10"/>
      <c r="K17" s="10">
        <v>12</v>
      </c>
      <c r="L17" s="10">
        <v>2</v>
      </c>
      <c r="M17" s="10"/>
      <c r="N17" s="10"/>
      <c r="O17" s="10">
        <v>12</v>
      </c>
      <c r="P17" s="10"/>
      <c r="Q17" s="10"/>
      <c r="R17" s="10"/>
      <c r="S17" s="10"/>
      <c r="T17" s="10">
        <v>5</v>
      </c>
      <c r="U17" s="10">
        <v>5</v>
      </c>
      <c r="V17" s="10">
        <v>5</v>
      </c>
      <c r="W17" s="10"/>
      <c r="X17" s="10">
        <v>12</v>
      </c>
      <c r="Y17" s="10"/>
      <c r="Z17" s="10"/>
      <c r="AA17" s="10"/>
      <c r="AB17" s="10"/>
      <c r="AC17" s="10"/>
      <c r="AD17" s="10">
        <v>3</v>
      </c>
      <c r="AE17" s="10"/>
      <c r="AF17" s="10"/>
      <c r="AG17" s="10">
        <v>2</v>
      </c>
      <c r="AH17" s="10"/>
      <c r="AI17" s="10"/>
      <c r="AJ17" s="10">
        <v>2</v>
      </c>
      <c r="AK17" s="10">
        <v>10</v>
      </c>
      <c r="AL17" s="10"/>
      <c r="AM17" s="10"/>
      <c r="AN17" s="10"/>
      <c r="AO17" s="10"/>
      <c r="AP17" s="10"/>
      <c r="AQ17" s="10"/>
      <c r="AR17" s="10"/>
      <c r="AS17" s="10"/>
      <c r="AT17" s="10">
        <v>3</v>
      </c>
      <c r="AU17" s="10"/>
      <c r="AV17" s="10">
        <v>5</v>
      </c>
      <c r="AW17" s="10"/>
      <c r="AX17" s="10"/>
      <c r="AY17" s="10"/>
      <c r="AZ17" s="11"/>
      <c r="BA17" s="10">
        <v>8</v>
      </c>
      <c r="BB17" s="10"/>
      <c r="BC17" s="10">
        <f t="shared" si="0"/>
        <v>99</v>
      </c>
      <c r="BD17" s="10">
        <v>16</v>
      </c>
    </row>
    <row r="18" spans="1:56" x14ac:dyDescent="0.4">
      <c r="A18" s="30">
        <v>15</v>
      </c>
      <c r="B18" s="40" t="s">
        <v>133</v>
      </c>
      <c r="C18" s="10"/>
      <c r="D18" s="10">
        <v>5</v>
      </c>
      <c r="E18" s="10">
        <v>10</v>
      </c>
      <c r="F18" s="10">
        <v>3</v>
      </c>
      <c r="G18" s="10">
        <v>3</v>
      </c>
      <c r="H18" s="10">
        <v>5</v>
      </c>
      <c r="I18" s="10">
        <v>6</v>
      </c>
      <c r="J18" s="10">
        <v>1</v>
      </c>
      <c r="K18" s="10"/>
      <c r="L18" s="10"/>
      <c r="M18" s="10"/>
      <c r="N18" s="10">
        <v>7</v>
      </c>
      <c r="O18" s="10"/>
      <c r="P18" s="10"/>
      <c r="Q18" s="10"/>
      <c r="R18" s="10">
        <v>4</v>
      </c>
      <c r="S18" s="10"/>
      <c r="T18" s="10"/>
      <c r="U18" s="10">
        <v>4</v>
      </c>
      <c r="V18" s="10"/>
      <c r="W18" s="10">
        <v>1</v>
      </c>
      <c r="X18" s="10"/>
      <c r="Y18" s="10"/>
      <c r="Z18" s="10"/>
      <c r="AA18" s="10">
        <v>2</v>
      </c>
      <c r="AB18" s="10"/>
      <c r="AC18" s="10"/>
      <c r="AD18" s="10"/>
      <c r="AE18" s="10"/>
      <c r="AF18" s="10"/>
      <c r="AG18" s="10">
        <v>10</v>
      </c>
      <c r="AH18" s="10">
        <v>3</v>
      </c>
      <c r="AI18" s="10"/>
      <c r="AJ18" s="10"/>
      <c r="AK18" s="10">
        <v>8</v>
      </c>
      <c r="AL18" s="10">
        <v>10</v>
      </c>
      <c r="AM18" s="10"/>
      <c r="AN18" s="10"/>
      <c r="AO18" s="10"/>
      <c r="AP18" s="10"/>
      <c r="AQ18" s="10"/>
      <c r="AR18" s="10">
        <v>5</v>
      </c>
      <c r="AS18" s="10"/>
      <c r="AT18" s="10">
        <v>5</v>
      </c>
      <c r="AU18" s="10"/>
      <c r="AV18" s="10"/>
      <c r="AW18" s="10"/>
      <c r="AX18" s="10"/>
      <c r="AY18" s="11"/>
      <c r="AZ18" s="10"/>
      <c r="BA18" s="10"/>
      <c r="BB18" s="10"/>
      <c r="BC18" s="10">
        <f t="shared" si="0"/>
        <v>92</v>
      </c>
      <c r="BD18" s="10">
        <v>17</v>
      </c>
    </row>
    <row r="19" spans="1:56" x14ac:dyDescent="0.4">
      <c r="A19" s="30">
        <v>17</v>
      </c>
      <c r="B19" s="40" t="s">
        <v>173</v>
      </c>
      <c r="C19" s="10">
        <v>6</v>
      </c>
      <c r="D19" s="10"/>
      <c r="E19" s="10"/>
      <c r="F19" s="10"/>
      <c r="G19" s="10"/>
      <c r="H19" s="10"/>
      <c r="I19" s="10"/>
      <c r="J19" s="10"/>
      <c r="K19" s="10">
        <v>7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>
        <v>6</v>
      </c>
      <c r="W19" s="10">
        <v>3</v>
      </c>
      <c r="X19" s="10">
        <v>1</v>
      </c>
      <c r="Y19" s="10">
        <v>5</v>
      </c>
      <c r="Z19" s="10">
        <v>7</v>
      </c>
      <c r="AA19" s="10">
        <v>6</v>
      </c>
      <c r="AB19" s="10">
        <v>4</v>
      </c>
      <c r="AC19" s="10"/>
      <c r="AD19" s="10"/>
      <c r="AE19" s="10"/>
      <c r="AF19" s="10">
        <v>8</v>
      </c>
      <c r="AG19" s="10"/>
      <c r="AH19" s="10"/>
      <c r="AI19" s="10"/>
      <c r="AJ19" s="10"/>
      <c r="AK19" s="10"/>
      <c r="AL19" s="10">
        <v>8</v>
      </c>
      <c r="AM19" s="10"/>
      <c r="AN19" s="10"/>
      <c r="AO19" s="10">
        <v>8</v>
      </c>
      <c r="AP19" s="10">
        <v>1</v>
      </c>
      <c r="AQ19" s="10"/>
      <c r="AR19" s="10">
        <v>8</v>
      </c>
      <c r="AS19" s="10"/>
      <c r="AT19" s="10"/>
      <c r="AU19" s="10"/>
      <c r="AV19" s="10">
        <v>2</v>
      </c>
      <c r="AW19" s="11"/>
      <c r="AX19" s="10">
        <v>4</v>
      </c>
      <c r="AY19" s="10"/>
      <c r="AZ19" s="10"/>
      <c r="BA19" s="10">
        <v>4</v>
      </c>
      <c r="BB19" s="10">
        <v>4</v>
      </c>
      <c r="BC19" s="10">
        <f t="shared" si="0"/>
        <v>92</v>
      </c>
      <c r="BD19" s="10">
        <v>18</v>
      </c>
    </row>
    <row r="20" spans="1:56" x14ac:dyDescent="0.4">
      <c r="A20" s="30" t="s">
        <v>31</v>
      </c>
      <c r="B20" s="40" t="s">
        <v>163</v>
      </c>
      <c r="C20" s="10">
        <v>3</v>
      </c>
      <c r="D20" s="10">
        <v>2</v>
      </c>
      <c r="E20" s="10"/>
      <c r="F20" s="10"/>
      <c r="G20" s="10"/>
      <c r="H20" s="10"/>
      <c r="I20" s="10">
        <v>4</v>
      </c>
      <c r="J20" s="10">
        <v>3</v>
      </c>
      <c r="K20" s="10"/>
      <c r="L20" s="10">
        <v>3</v>
      </c>
      <c r="M20" s="10"/>
      <c r="N20" s="10"/>
      <c r="O20" s="10">
        <v>10</v>
      </c>
      <c r="P20" s="10">
        <v>7</v>
      </c>
      <c r="Q20" s="10"/>
      <c r="R20" s="10">
        <v>6</v>
      </c>
      <c r="S20" s="10"/>
      <c r="T20" s="10"/>
      <c r="U20" s="10"/>
      <c r="V20" s="10"/>
      <c r="W20" s="10"/>
      <c r="X20" s="10"/>
      <c r="Y20" s="10">
        <v>12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>
        <v>1</v>
      </c>
      <c r="AN20" s="10">
        <v>4</v>
      </c>
      <c r="AO20" s="10"/>
      <c r="AP20" s="10">
        <v>5</v>
      </c>
      <c r="AQ20" s="10"/>
      <c r="AR20" s="10">
        <v>7</v>
      </c>
      <c r="AS20" s="10"/>
      <c r="AT20" s="10"/>
      <c r="AU20" s="11"/>
      <c r="AV20" s="10">
        <v>12</v>
      </c>
      <c r="AW20" s="10">
        <v>5</v>
      </c>
      <c r="AX20" s="10"/>
      <c r="AY20" s="10"/>
      <c r="AZ20" s="10">
        <v>6</v>
      </c>
      <c r="BA20" s="10"/>
      <c r="BB20" s="10"/>
      <c r="BC20" s="10">
        <f t="shared" si="0"/>
        <v>90</v>
      </c>
      <c r="BD20" s="10">
        <v>19</v>
      </c>
    </row>
    <row r="21" spans="1:56" x14ac:dyDescent="0.4">
      <c r="A21" s="30">
        <v>21</v>
      </c>
      <c r="B21" s="40" t="s">
        <v>40</v>
      </c>
      <c r="C21" s="10"/>
      <c r="D21" s="10">
        <v>3</v>
      </c>
      <c r="E21" s="10"/>
      <c r="F21" s="10">
        <v>6</v>
      </c>
      <c r="G21" s="10"/>
      <c r="H21" s="10"/>
      <c r="I21" s="10"/>
      <c r="J21" s="10"/>
      <c r="K21" s="10"/>
      <c r="L21" s="10"/>
      <c r="M21" s="10">
        <v>6</v>
      </c>
      <c r="N21" s="10"/>
      <c r="O21" s="10"/>
      <c r="P21" s="10"/>
      <c r="Q21" s="10">
        <v>3</v>
      </c>
      <c r="R21" s="10"/>
      <c r="S21" s="11"/>
      <c r="T21" s="10"/>
      <c r="U21" s="10"/>
      <c r="V21" s="10"/>
      <c r="W21" s="10"/>
      <c r="X21" s="10">
        <v>8</v>
      </c>
      <c r="Y21" s="10"/>
      <c r="Z21" s="10"/>
      <c r="AA21" s="10"/>
      <c r="AB21" s="10"/>
      <c r="AC21" s="10"/>
      <c r="AD21" s="10"/>
      <c r="AE21" s="10"/>
      <c r="AF21" s="10">
        <v>6</v>
      </c>
      <c r="AG21" s="10"/>
      <c r="AH21" s="10"/>
      <c r="AI21" s="10"/>
      <c r="AJ21" s="10">
        <v>12</v>
      </c>
      <c r="AK21" s="10"/>
      <c r="AL21" s="10"/>
      <c r="AM21" s="10">
        <v>2</v>
      </c>
      <c r="AN21" s="10"/>
      <c r="AO21" s="10">
        <v>1</v>
      </c>
      <c r="AP21" s="10"/>
      <c r="AQ21" s="10"/>
      <c r="AR21" s="10"/>
      <c r="AS21" s="10">
        <v>12</v>
      </c>
      <c r="AT21" s="10"/>
      <c r="AU21" s="10">
        <v>12</v>
      </c>
      <c r="AV21" s="10">
        <v>4</v>
      </c>
      <c r="AW21" s="10"/>
      <c r="AX21" s="10"/>
      <c r="AY21" s="10"/>
      <c r="AZ21" s="10">
        <v>3</v>
      </c>
      <c r="BA21" s="10"/>
      <c r="BB21" s="10">
        <v>8</v>
      </c>
      <c r="BC21" s="10">
        <f t="shared" si="0"/>
        <v>86</v>
      </c>
      <c r="BD21" s="10">
        <v>20</v>
      </c>
    </row>
    <row r="22" spans="1:56" x14ac:dyDescent="0.4">
      <c r="A22" s="30">
        <v>11</v>
      </c>
      <c r="B22" s="40" t="s">
        <v>122</v>
      </c>
      <c r="C22" s="10"/>
      <c r="D22" s="10"/>
      <c r="E22" s="10"/>
      <c r="F22" s="10"/>
      <c r="G22" s="10"/>
      <c r="H22" s="10"/>
      <c r="I22" s="10">
        <v>1</v>
      </c>
      <c r="J22" s="10"/>
      <c r="K22" s="10"/>
      <c r="L22" s="10"/>
      <c r="M22" s="10"/>
      <c r="N22" s="10"/>
      <c r="O22" s="10"/>
      <c r="P22" s="10">
        <v>1</v>
      </c>
      <c r="Q22" s="10"/>
      <c r="R22" s="10">
        <v>2</v>
      </c>
      <c r="S22" s="10">
        <v>12</v>
      </c>
      <c r="T22" s="10"/>
      <c r="U22" s="10"/>
      <c r="V22" s="10"/>
      <c r="W22" s="10">
        <v>4</v>
      </c>
      <c r="X22" s="10"/>
      <c r="Y22" s="11"/>
      <c r="Z22" s="10"/>
      <c r="AA22" s="10">
        <v>10</v>
      </c>
      <c r="AB22" s="10"/>
      <c r="AC22" s="10">
        <v>1</v>
      </c>
      <c r="AD22" s="10"/>
      <c r="AE22" s="10">
        <v>7</v>
      </c>
      <c r="AF22" s="10">
        <v>4</v>
      </c>
      <c r="AG22" s="10">
        <v>5</v>
      </c>
      <c r="AH22" s="10">
        <v>4</v>
      </c>
      <c r="AI22" s="10">
        <v>8</v>
      </c>
      <c r="AJ22" s="10"/>
      <c r="AK22" s="10"/>
      <c r="AL22" s="10"/>
      <c r="AM22" s="10"/>
      <c r="AN22" s="10">
        <v>5</v>
      </c>
      <c r="AO22" s="10"/>
      <c r="AP22" s="10"/>
      <c r="AQ22" s="10">
        <v>7</v>
      </c>
      <c r="AR22" s="10"/>
      <c r="AS22" s="10">
        <v>4</v>
      </c>
      <c r="AT22" s="10"/>
      <c r="AU22" s="10"/>
      <c r="AV22" s="10">
        <v>7</v>
      </c>
      <c r="AW22" s="10"/>
      <c r="AX22" s="10"/>
      <c r="AY22" s="10"/>
      <c r="AZ22" s="10">
        <v>2</v>
      </c>
      <c r="BA22" s="10"/>
      <c r="BB22" s="10"/>
      <c r="BC22" s="10">
        <f t="shared" si="0"/>
        <v>84</v>
      </c>
      <c r="BD22" s="10">
        <v>21</v>
      </c>
    </row>
    <row r="23" spans="1:56" x14ac:dyDescent="0.4">
      <c r="A23" s="30" t="s">
        <v>9</v>
      </c>
      <c r="B23" s="40" t="s">
        <v>65</v>
      </c>
      <c r="C23" s="10"/>
      <c r="D23" s="10"/>
      <c r="E23" s="10">
        <v>1</v>
      </c>
      <c r="F23" s="10"/>
      <c r="G23" s="10">
        <v>5</v>
      </c>
      <c r="H23" s="10"/>
      <c r="I23" s="10"/>
      <c r="J23" s="10"/>
      <c r="K23" s="10"/>
      <c r="L23" s="10"/>
      <c r="M23" s="10">
        <v>3</v>
      </c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>
        <v>10</v>
      </c>
      <c r="Z23" s="10">
        <v>6</v>
      </c>
      <c r="AA23" s="10"/>
      <c r="AB23" s="10">
        <v>3</v>
      </c>
      <c r="AC23" s="10"/>
      <c r="AD23" s="10"/>
      <c r="AE23" s="11"/>
      <c r="AF23" s="10"/>
      <c r="AG23" s="10"/>
      <c r="AH23" s="10"/>
      <c r="AI23" s="10">
        <v>3</v>
      </c>
      <c r="AJ23" s="10">
        <v>5</v>
      </c>
      <c r="AK23" s="10">
        <v>1</v>
      </c>
      <c r="AL23" s="10"/>
      <c r="AM23" s="10">
        <v>12</v>
      </c>
      <c r="AN23" s="10"/>
      <c r="AO23" s="10"/>
      <c r="AP23" s="10"/>
      <c r="AQ23" s="10">
        <v>10</v>
      </c>
      <c r="AR23" s="10">
        <v>4</v>
      </c>
      <c r="AS23" s="10">
        <v>2</v>
      </c>
      <c r="AT23" s="10"/>
      <c r="AU23" s="10">
        <v>1</v>
      </c>
      <c r="AV23" s="10">
        <v>6</v>
      </c>
      <c r="AW23" s="10"/>
      <c r="AX23" s="10"/>
      <c r="AY23" s="10">
        <v>1</v>
      </c>
      <c r="AZ23" s="10">
        <v>5</v>
      </c>
      <c r="BA23" s="10"/>
      <c r="BB23" s="10"/>
      <c r="BC23" s="10">
        <f t="shared" si="0"/>
        <v>79</v>
      </c>
      <c r="BD23" s="10">
        <v>22</v>
      </c>
    </row>
    <row r="24" spans="1:56" x14ac:dyDescent="0.4">
      <c r="A24" s="30">
        <v>12</v>
      </c>
      <c r="B24" s="40" t="s">
        <v>58</v>
      </c>
      <c r="C24" s="10"/>
      <c r="D24" s="10">
        <v>7</v>
      </c>
      <c r="E24" s="10"/>
      <c r="F24" s="10">
        <v>1</v>
      </c>
      <c r="G24" s="10">
        <v>4</v>
      </c>
      <c r="H24" s="10"/>
      <c r="I24" s="11"/>
      <c r="J24" s="10">
        <v>7</v>
      </c>
      <c r="K24" s="10"/>
      <c r="L24" s="10">
        <v>4</v>
      </c>
      <c r="M24" s="10"/>
      <c r="N24" s="10"/>
      <c r="O24" s="10"/>
      <c r="P24" s="10"/>
      <c r="Q24" s="10"/>
      <c r="R24" s="10"/>
      <c r="S24" s="10">
        <v>8</v>
      </c>
      <c r="T24" s="10">
        <v>8</v>
      </c>
      <c r="U24" s="10"/>
      <c r="V24" s="10"/>
      <c r="W24" s="10"/>
      <c r="X24" s="10"/>
      <c r="Y24" s="10"/>
      <c r="Z24" s="10">
        <v>3</v>
      </c>
      <c r="AA24" s="10">
        <v>1</v>
      </c>
      <c r="AB24" s="10"/>
      <c r="AC24" s="10"/>
      <c r="AD24" s="10">
        <v>6</v>
      </c>
      <c r="AE24" s="10"/>
      <c r="AF24" s="10">
        <v>3</v>
      </c>
      <c r="AG24" s="10">
        <v>7</v>
      </c>
      <c r="AH24" s="10"/>
      <c r="AI24" s="10"/>
      <c r="AJ24" s="10"/>
      <c r="AK24" s="10">
        <v>3</v>
      </c>
      <c r="AL24" s="10"/>
      <c r="AM24" s="10"/>
      <c r="AN24" s="10"/>
      <c r="AO24" s="10"/>
      <c r="AP24" s="10"/>
      <c r="AQ24" s="10">
        <v>6</v>
      </c>
      <c r="AR24" s="10"/>
      <c r="AS24" s="10"/>
      <c r="AT24" s="10"/>
      <c r="AU24" s="10"/>
      <c r="AV24" s="10"/>
      <c r="AW24" s="10"/>
      <c r="AX24" s="10">
        <v>8</v>
      </c>
      <c r="AY24" s="10"/>
      <c r="AZ24" s="10"/>
      <c r="BA24" s="10"/>
      <c r="BB24" s="10"/>
      <c r="BC24" s="10">
        <f t="shared" si="0"/>
        <v>76</v>
      </c>
      <c r="BD24" s="10">
        <v>23</v>
      </c>
    </row>
    <row r="25" spans="1:56" x14ac:dyDescent="0.4">
      <c r="A25" s="30">
        <v>23</v>
      </c>
      <c r="B25" s="40" t="s">
        <v>120</v>
      </c>
      <c r="C25" s="10"/>
      <c r="D25" s="10"/>
      <c r="E25" s="10"/>
      <c r="F25" s="10"/>
      <c r="G25" s="10">
        <v>10</v>
      </c>
      <c r="H25" s="10">
        <v>12</v>
      </c>
      <c r="I25" s="10">
        <v>3</v>
      </c>
      <c r="J25" s="11"/>
      <c r="K25" s="10">
        <v>2</v>
      </c>
      <c r="L25" s="10">
        <v>5</v>
      </c>
      <c r="M25" s="10">
        <v>1</v>
      </c>
      <c r="N25" s="10"/>
      <c r="O25" s="10"/>
      <c r="P25" s="10"/>
      <c r="Q25" s="10">
        <v>10</v>
      </c>
      <c r="R25" s="10"/>
      <c r="S25" s="10">
        <v>10</v>
      </c>
      <c r="T25" s="10"/>
      <c r="U25" s="10"/>
      <c r="V25" s="10"/>
      <c r="W25" s="10"/>
      <c r="X25" s="10"/>
      <c r="Y25" s="10"/>
      <c r="Z25" s="10"/>
      <c r="AA25" s="10">
        <v>4</v>
      </c>
      <c r="AB25" s="10"/>
      <c r="AC25" s="10"/>
      <c r="AD25" s="10">
        <v>5</v>
      </c>
      <c r="AE25" s="10"/>
      <c r="AF25" s="10"/>
      <c r="AG25" s="10"/>
      <c r="AH25" s="10"/>
      <c r="AI25" s="10"/>
      <c r="AJ25" s="10"/>
      <c r="AK25" s="10">
        <v>4</v>
      </c>
      <c r="AL25" s="10"/>
      <c r="AM25" s="10"/>
      <c r="AN25" s="10"/>
      <c r="AO25" s="10">
        <v>6</v>
      </c>
      <c r="AP25" s="10"/>
      <c r="AQ25" s="10"/>
      <c r="AR25" s="10"/>
      <c r="AS25" s="10"/>
      <c r="AT25" s="10"/>
      <c r="AU25" s="10"/>
      <c r="AV25" s="10"/>
      <c r="AW25" s="10">
        <v>4</v>
      </c>
      <c r="AX25" s="10"/>
      <c r="AY25" s="10"/>
      <c r="AZ25" s="10"/>
      <c r="BA25" s="10"/>
      <c r="BB25" s="10"/>
      <c r="BC25" s="10">
        <f t="shared" si="0"/>
        <v>76</v>
      </c>
      <c r="BD25" s="10">
        <v>24</v>
      </c>
    </row>
    <row r="26" spans="1:56" x14ac:dyDescent="0.4">
      <c r="A26" s="30">
        <v>26</v>
      </c>
      <c r="B26" s="40" t="s">
        <v>112</v>
      </c>
      <c r="C26" s="10">
        <v>5</v>
      </c>
      <c r="D26" s="10"/>
      <c r="E26" s="10"/>
      <c r="F26" s="10"/>
      <c r="G26" s="10">
        <v>7</v>
      </c>
      <c r="H26" s="10"/>
      <c r="I26" s="10">
        <v>7</v>
      </c>
      <c r="J26" s="10"/>
      <c r="K26" s="10"/>
      <c r="L26" s="10"/>
      <c r="M26" s="10"/>
      <c r="N26" s="10"/>
      <c r="O26" s="10"/>
      <c r="P26" s="10">
        <v>10</v>
      </c>
      <c r="Q26" s="10">
        <v>4</v>
      </c>
      <c r="R26" s="10"/>
      <c r="S26" s="10"/>
      <c r="T26" s="10"/>
      <c r="U26" s="10"/>
      <c r="V26" s="10">
        <v>8</v>
      </c>
      <c r="W26" s="10"/>
      <c r="X26" s="10"/>
      <c r="Y26" s="10">
        <v>1</v>
      </c>
      <c r="Z26" s="10"/>
      <c r="AA26" s="10"/>
      <c r="AB26" s="10"/>
      <c r="AC26" s="10">
        <v>10</v>
      </c>
      <c r="AD26" s="10"/>
      <c r="AE26" s="10"/>
      <c r="AF26" s="10"/>
      <c r="AG26" s="10"/>
      <c r="AH26" s="10">
        <v>10</v>
      </c>
      <c r="AI26" s="11"/>
      <c r="AJ26" s="10"/>
      <c r="AK26" s="10"/>
      <c r="AL26" s="10"/>
      <c r="AM26" s="10"/>
      <c r="AN26" s="10"/>
      <c r="AO26" s="10"/>
      <c r="AP26" s="10"/>
      <c r="AQ26" s="10">
        <v>2</v>
      </c>
      <c r="AR26" s="10"/>
      <c r="AS26" s="10">
        <v>5</v>
      </c>
      <c r="AT26" s="10"/>
      <c r="AU26" s="10"/>
      <c r="AV26" s="10"/>
      <c r="AW26" s="10"/>
      <c r="AX26" s="10">
        <v>5</v>
      </c>
      <c r="AY26" s="10"/>
      <c r="AZ26" s="10">
        <v>1</v>
      </c>
      <c r="BA26" s="10"/>
      <c r="BB26" s="10"/>
      <c r="BC26" s="10">
        <f t="shared" si="0"/>
        <v>75</v>
      </c>
      <c r="BD26" s="10">
        <v>25</v>
      </c>
    </row>
    <row r="27" spans="1:56" x14ac:dyDescent="0.4">
      <c r="A27" s="30">
        <v>16</v>
      </c>
      <c r="B27" s="40" t="s">
        <v>127</v>
      </c>
      <c r="C27" s="10"/>
      <c r="D27" s="10"/>
      <c r="E27" s="10"/>
      <c r="F27" s="10"/>
      <c r="G27" s="10"/>
      <c r="H27" s="10">
        <v>4</v>
      </c>
      <c r="I27" s="10"/>
      <c r="J27" s="10">
        <v>8</v>
      </c>
      <c r="K27" s="10"/>
      <c r="L27" s="10"/>
      <c r="M27" s="10">
        <v>4</v>
      </c>
      <c r="N27" s="10">
        <v>4</v>
      </c>
      <c r="O27" s="10"/>
      <c r="P27" s="10"/>
      <c r="Q27" s="10"/>
      <c r="R27" s="10"/>
      <c r="S27" s="10"/>
      <c r="T27" s="10">
        <v>3</v>
      </c>
      <c r="U27" s="10"/>
      <c r="V27" s="10"/>
      <c r="W27" s="10"/>
      <c r="X27" s="10"/>
      <c r="Y27" s="10"/>
      <c r="Z27" s="10"/>
      <c r="AA27" s="10"/>
      <c r="AB27" s="10"/>
      <c r="AC27" s="10">
        <v>4</v>
      </c>
      <c r="AD27" s="10">
        <v>4</v>
      </c>
      <c r="AE27" s="10"/>
      <c r="AF27" s="10"/>
      <c r="AG27" s="10"/>
      <c r="AH27" s="10">
        <v>7</v>
      </c>
      <c r="AI27" s="10">
        <v>1</v>
      </c>
      <c r="AJ27" s="11"/>
      <c r="AK27" s="10"/>
      <c r="AL27" s="10"/>
      <c r="AM27" s="10"/>
      <c r="AN27" s="10">
        <v>3</v>
      </c>
      <c r="AO27" s="10"/>
      <c r="AP27" s="10"/>
      <c r="AQ27" s="10">
        <v>3</v>
      </c>
      <c r="AR27" s="10">
        <v>3</v>
      </c>
      <c r="AS27" s="10">
        <v>3</v>
      </c>
      <c r="AT27" s="10"/>
      <c r="AU27" s="10"/>
      <c r="AV27" s="10"/>
      <c r="AW27" s="10"/>
      <c r="AX27" s="10">
        <v>6</v>
      </c>
      <c r="AY27" s="10">
        <v>4</v>
      </c>
      <c r="AZ27" s="10"/>
      <c r="BA27" s="10"/>
      <c r="BB27" s="10">
        <v>10</v>
      </c>
      <c r="BC27" s="10">
        <f t="shared" si="0"/>
        <v>71</v>
      </c>
      <c r="BD27" s="10">
        <v>26</v>
      </c>
    </row>
    <row r="28" spans="1:56" x14ac:dyDescent="0.4">
      <c r="A28" s="30" t="s">
        <v>23</v>
      </c>
      <c r="B28" s="40" t="s">
        <v>166</v>
      </c>
      <c r="C28" s="11"/>
      <c r="D28" s="10"/>
      <c r="E28" s="10"/>
      <c r="F28" s="10">
        <v>4</v>
      </c>
      <c r="G28" s="10">
        <v>8</v>
      </c>
      <c r="H28" s="10">
        <v>1</v>
      </c>
      <c r="I28" s="10">
        <v>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12</v>
      </c>
      <c r="U28" s="10"/>
      <c r="V28" s="10">
        <v>1</v>
      </c>
      <c r="W28" s="10"/>
      <c r="X28" s="10"/>
      <c r="Y28" s="10"/>
      <c r="Z28" s="10"/>
      <c r="AA28" s="10"/>
      <c r="AB28" s="10">
        <v>6</v>
      </c>
      <c r="AC28" s="10"/>
      <c r="AD28" s="10"/>
      <c r="AE28" s="10"/>
      <c r="AF28" s="10">
        <v>10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>
        <v>12</v>
      </c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>
        <f t="shared" si="0"/>
        <v>62</v>
      </c>
      <c r="BD28" s="10">
        <v>27</v>
      </c>
    </row>
    <row r="29" spans="1:56" x14ac:dyDescent="0.4">
      <c r="A29" s="33" t="s">
        <v>35</v>
      </c>
      <c r="B29" s="47" t="s">
        <v>144</v>
      </c>
      <c r="C29" s="16"/>
      <c r="D29" s="16">
        <v>1</v>
      </c>
      <c r="E29" s="16">
        <v>7</v>
      </c>
      <c r="F29" s="16"/>
      <c r="G29" s="16">
        <v>12</v>
      </c>
      <c r="H29" s="16"/>
      <c r="I29" s="16">
        <v>2</v>
      </c>
      <c r="J29" s="16"/>
      <c r="K29" s="16">
        <v>1</v>
      </c>
      <c r="L29" s="16"/>
      <c r="M29" s="16"/>
      <c r="N29" s="16">
        <v>3</v>
      </c>
      <c r="O29" s="16"/>
      <c r="P29" s="16"/>
      <c r="Q29" s="16"/>
      <c r="R29" s="16"/>
      <c r="S29" s="16">
        <v>7</v>
      </c>
      <c r="T29" s="16">
        <v>10</v>
      </c>
      <c r="U29" s="16">
        <v>2</v>
      </c>
      <c r="V29" s="16"/>
      <c r="W29" s="16"/>
      <c r="X29" s="16"/>
      <c r="Y29" s="16"/>
      <c r="Z29" s="16"/>
      <c r="AA29" s="16">
        <v>7</v>
      </c>
      <c r="AB29" s="16"/>
      <c r="AC29" s="16"/>
      <c r="AD29" s="16"/>
      <c r="AE29" s="16">
        <v>1</v>
      </c>
      <c r="AF29" s="16"/>
      <c r="AG29" s="16">
        <v>1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>
        <v>1</v>
      </c>
      <c r="AR29" s="16"/>
      <c r="AS29" s="17"/>
      <c r="AT29" s="16">
        <v>2</v>
      </c>
      <c r="AU29" s="16"/>
      <c r="AV29" s="16"/>
      <c r="AW29" s="16"/>
      <c r="AX29" s="16"/>
      <c r="AY29" s="16"/>
      <c r="AZ29" s="16"/>
      <c r="BA29" s="16">
        <v>1</v>
      </c>
      <c r="BB29" s="16">
        <v>3</v>
      </c>
      <c r="BC29" s="16">
        <f t="shared" si="0"/>
        <v>61</v>
      </c>
      <c r="BD29" s="16">
        <v>28</v>
      </c>
    </row>
    <row r="30" spans="1:56" x14ac:dyDescent="0.4">
      <c r="A30" s="20"/>
      <c r="B30" s="19"/>
      <c r="C30" s="20">
        <f>SUM(C2:C29)</f>
        <v>58</v>
      </c>
      <c r="D30" s="20">
        <f>SUM(D2:D29)</f>
        <v>58</v>
      </c>
      <c r="E30" s="20">
        <f>SUM(E2:E29)</f>
        <v>58</v>
      </c>
      <c r="F30" s="20">
        <f t="shared" ref="F30:AH30" si="1">SUM(F2:F29)</f>
        <v>58</v>
      </c>
      <c r="G30" s="20">
        <f t="shared" si="1"/>
        <v>58</v>
      </c>
      <c r="H30" s="20">
        <f t="shared" si="1"/>
        <v>58</v>
      </c>
      <c r="I30" s="20">
        <f t="shared" si="1"/>
        <v>58</v>
      </c>
      <c r="J30" s="20">
        <f t="shared" si="1"/>
        <v>58</v>
      </c>
      <c r="K30" s="20">
        <f t="shared" si="1"/>
        <v>58</v>
      </c>
      <c r="L30" s="20">
        <f t="shared" si="1"/>
        <v>58</v>
      </c>
      <c r="M30" s="20">
        <f t="shared" si="1"/>
        <v>58</v>
      </c>
      <c r="N30" s="20">
        <f t="shared" si="1"/>
        <v>58</v>
      </c>
      <c r="O30" s="20">
        <f t="shared" si="1"/>
        <v>58</v>
      </c>
      <c r="P30" s="20">
        <f t="shared" si="1"/>
        <v>58</v>
      </c>
      <c r="Q30" s="20">
        <f t="shared" si="1"/>
        <v>58</v>
      </c>
      <c r="R30" s="20">
        <f t="shared" si="1"/>
        <v>58</v>
      </c>
      <c r="S30" s="20">
        <f t="shared" si="1"/>
        <v>58</v>
      </c>
      <c r="T30" s="20">
        <f t="shared" si="1"/>
        <v>58</v>
      </c>
      <c r="U30" s="20">
        <f t="shared" si="1"/>
        <v>58</v>
      </c>
      <c r="V30" s="20">
        <f t="shared" si="1"/>
        <v>58</v>
      </c>
      <c r="W30" s="20">
        <f t="shared" si="1"/>
        <v>58</v>
      </c>
      <c r="X30" s="20">
        <f t="shared" si="1"/>
        <v>58</v>
      </c>
      <c r="Y30" s="20">
        <f t="shared" si="1"/>
        <v>58</v>
      </c>
      <c r="Z30" s="20">
        <f t="shared" si="1"/>
        <v>58</v>
      </c>
      <c r="AA30" s="20">
        <f t="shared" si="1"/>
        <v>58</v>
      </c>
      <c r="AB30" s="20">
        <f t="shared" si="1"/>
        <v>58</v>
      </c>
      <c r="AC30" s="20">
        <f t="shared" si="1"/>
        <v>58</v>
      </c>
      <c r="AD30" s="20">
        <f t="shared" si="1"/>
        <v>58</v>
      </c>
      <c r="AE30" s="20">
        <f t="shared" si="1"/>
        <v>58</v>
      </c>
      <c r="AF30" s="20">
        <f t="shared" si="1"/>
        <v>58</v>
      </c>
      <c r="AG30" s="20">
        <f t="shared" si="1"/>
        <v>58</v>
      </c>
      <c r="AH30" s="20">
        <f t="shared" si="1"/>
        <v>58</v>
      </c>
      <c r="AI30" s="20">
        <f t="shared" ref="AI30:AU30" si="2">SUM(AI2:AI29)</f>
        <v>58</v>
      </c>
      <c r="AJ30" s="20">
        <f t="shared" si="2"/>
        <v>58</v>
      </c>
      <c r="AK30" s="20">
        <f t="shared" si="2"/>
        <v>58</v>
      </c>
      <c r="AL30" s="20">
        <f t="shared" si="2"/>
        <v>58</v>
      </c>
      <c r="AM30" s="20">
        <f t="shared" si="2"/>
        <v>58</v>
      </c>
      <c r="AN30" s="20">
        <f t="shared" si="2"/>
        <v>58</v>
      </c>
      <c r="AO30" s="20">
        <f t="shared" si="2"/>
        <v>58</v>
      </c>
      <c r="AP30" s="20">
        <f t="shared" si="2"/>
        <v>58</v>
      </c>
      <c r="AQ30" s="20">
        <f t="shared" si="2"/>
        <v>58</v>
      </c>
      <c r="AR30" s="20">
        <f t="shared" si="2"/>
        <v>58</v>
      </c>
      <c r="AS30" s="20">
        <f t="shared" si="2"/>
        <v>58</v>
      </c>
      <c r="AT30" s="20">
        <f t="shared" si="2"/>
        <v>58</v>
      </c>
      <c r="AU30" s="20">
        <f t="shared" si="2"/>
        <v>58</v>
      </c>
      <c r="AV30" s="20">
        <f t="shared" ref="AV30:BB30" si="3">SUM(AV2:AV29)</f>
        <v>58</v>
      </c>
      <c r="AW30" s="20">
        <f t="shared" si="3"/>
        <v>58</v>
      </c>
      <c r="AX30" s="20">
        <f t="shared" si="3"/>
        <v>58</v>
      </c>
      <c r="AY30" s="20">
        <f t="shared" si="3"/>
        <v>58</v>
      </c>
      <c r="AZ30" s="20">
        <f t="shared" si="3"/>
        <v>58</v>
      </c>
      <c r="BA30" s="20">
        <f t="shared" si="3"/>
        <v>58</v>
      </c>
      <c r="BB30" s="20">
        <f t="shared" si="3"/>
        <v>58</v>
      </c>
      <c r="BC30" s="20"/>
      <c r="BD30" s="20"/>
    </row>
  </sheetData>
  <sortState xmlns:xlrd2="http://schemas.microsoft.com/office/spreadsheetml/2017/richdata2" ref="A24:BE25">
    <sortCondition descending="1" ref="BE24:BE25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5164-3659-4180-9036-380488B5E686}">
  <sheetPr>
    <tabColor rgb="FF5FDF71"/>
  </sheetPr>
  <dimension ref="A1:G30"/>
  <sheetViews>
    <sheetView workbookViewId="0">
      <selection activeCell="B1" sqref="B1"/>
    </sheetView>
  </sheetViews>
  <sheetFormatPr defaultRowHeight="14.4" x14ac:dyDescent="0.3"/>
  <cols>
    <col min="1" max="1" width="3" bestFit="1" customWidth="1"/>
    <col min="2" max="2" width="16.88671875" bestFit="1" customWidth="1"/>
    <col min="3" max="3" width="3.33203125" bestFit="1" customWidth="1"/>
    <col min="4" max="5" width="3.33203125" customWidth="1"/>
    <col min="6" max="7" width="3.33203125" bestFit="1" customWidth="1"/>
  </cols>
  <sheetData>
    <row r="1" spans="1:7" ht="64.2" x14ac:dyDescent="1.25">
      <c r="A1" s="3"/>
      <c r="B1" s="46" t="s">
        <v>188</v>
      </c>
      <c r="C1" s="5" t="s">
        <v>94</v>
      </c>
      <c r="D1" s="5" t="s">
        <v>189</v>
      </c>
      <c r="E1" s="5" t="s">
        <v>190</v>
      </c>
      <c r="F1" s="5" t="s">
        <v>184</v>
      </c>
      <c r="G1" s="5" t="s">
        <v>185</v>
      </c>
    </row>
    <row r="2" spans="1:7" ht="13.2" customHeight="1" x14ac:dyDescent="0.4">
      <c r="A2" s="30">
        <v>22</v>
      </c>
      <c r="B2" s="40" t="s">
        <v>172</v>
      </c>
      <c r="C2" s="10"/>
      <c r="D2" s="10">
        <v>12</v>
      </c>
      <c r="E2" s="10">
        <v>10</v>
      </c>
      <c r="F2" s="10">
        <f t="shared" ref="F2:F29" si="0">SUM(C2:E2)</f>
        <v>22</v>
      </c>
      <c r="G2" s="10">
        <v>1</v>
      </c>
    </row>
    <row r="3" spans="1:7" ht="13.2" customHeight="1" x14ac:dyDescent="0.4">
      <c r="A3" s="30">
        <v>16</v>
      </c>
      <c r="B3" s="40" t="s">
        <v>127</v>
      </c>
      <c r="C3" s="10">
        <v>10</v>
      </c>
      <c r="D3" s="10"/>
      <c r="E3" s="10">
        <v>3</v>
      </c>
      <c r="F3" s="10">
        <f t="shared" si="0"/>
        <v>13</v>
      </c>
      <c r="G3" s="10">
        <v>2</v>
      </c>
    </row>
    <row r="4" spans="1:7" ht="13.2" customHeight="1" x14ac:dyDescent="0.4">
      <c r="A4" s="30">
        <v>21</v>
      </c>
      <c r="B4" s="40" t="s">
        <v>40</v>
      </c>
      <c r="C4" s="10">
        <v>7</v>
      </c>
      <c r="D4" s="10">
        <v>5</v>
      </c>
      <c r="E4" s="10"/>
      <c r="F4" s="10">
        <f t="shared" si="0"/>
        <v>12</v>
      </c>
      <c r="G4" s="10">
        <v>3</v>
      </c>
    </row>
    <row r="5" spans="1:7" ht="13.2" customHeight="1" x14ac:dyDescent="0.4">
      <c r="A5" s="30">
        <v>28</v>
      </c>
      <c r="B5" s="40" t="s">
        <v>139</v>
      </c>
      <c r="C5" s="10">
        <v>12</v>
      </c>
      <c r="D5" s="10"/>
      <c r="E5" s="10"/>
      <c r="F5" s="10">
        <f t="shared" si="0"/>
        <v>12</v>
      </c>
      <c r="G5" s="10">
        <v>4</v>
      </c>
    </row>
    <row r="6" spans="1:7" ht="13.2" customHeight="1" x14ac:dyDescent="0.4">
      <c r="A6" s="30">
        <v>13</v>
      </c>
      <c r="B6" s="40" t="s">
        <v>171</v>
      </c>
      <c r="C6" s="10"/>
      <c r="D6" s="10"/>
      <c r="E6" s="10">
        <v>12</v>
      </c>
      <c r="F6" s="10">
        <f t="shared" si="0"/>
        <v>12</v>
      </c>
      <c r="G6" s="10">
        <v>5</v>
      </c>
    </row>
    <row r="7" spans="1:7" ht="13.2" customHeight="1" x14ac:dyDescent="0.4">
      <c r="A7" s="30">
        <v>14</v>
      </c>
      <c r="B7" s="40" t="s">
        <v>154</v>
      </c>
      <c r="C7" s="10">
        <v>4</v>
      </c>
      <c r="D7" s="10"/>
      <c r="E7" s="10">
        <v>7</v>
      </c>
      <c r="F7" s="10">
        <f t="shared" si="0"/>
        <v>11</v>
      </c>
      <c r="G7" s="10">
        <v>6</v>
      </c>
    </row>
    <row r="8" spans="1:7" ht="13.2" customHeight="1" x14ac:dyDescent="0.4">
      <c r="A8" s="30">
        <v>17</v>
      </c>
      <c r="B8" s="40" t="s">
        <v>173</v>
      </c>
      <c r="C8" s="10">
        <v>6</v>
      </c>
      <c r="D8" s="10">
        <v>4</v>
      </c>
      <c r="E8" s="10"/>
      <c r="F8" s="10">
        <f t="shared" si="0"/>
        <v>10</v>
      </c>
      <c r="G8" s="10">
        <v>7</v>
      </c>
    </row>
    <row r="9" spans="1:7" ht="13.2" customHeight="1" x14ac:dyDescent="0.4">
      <c r="A9" s="30" t="s">
        <v>35</v>
      </c>
      <c r="B9" s="40" t="s">
        <v>144</v>
      </c>
      <c r="C9" s="10"/>
      <c r="D9" s="10">
        <v>10</v>
      </c>
      <c r="E9" s="10"/>
      <c r="F9" s="10">
        <f t="shared" si="0"/>
        <v>10</v>
      </c>
      <c r="G9" s="10">
        <v>8</v>
      </c>
    </row>
    <row r="10" spans="1:7" ht="13.2" customHeight="1" x14ac:dyDescent="0.4">
      <c r="A10" s="30">
        <v>18</v>
      </c>
      <c r="B10" s="40" t="s">
        <v>20</v>
      </c>
      <c r="C10" s="10"/>
      <c r="D10" s="10">
        <v>2</v>
      </c>
      <c r="E10" s="10">
        <v>6</v>
      </c>
      <c r="F10" s="10">
        <f t="shared" si="0"/>
        <v>8</v>
      </c>
      <c r="G10" s="10">
        <v>9</v>
      </c>
    </row>
    <row r="11" spans="1:7" ht="13.2" customHeight="1" x14ac:dyDescent="0.4">
      <c r="A11" s="30">
        <v>24</v>
      </c>
      <c r="B11" s="40" t="s">
        <v>78</v>
      </c>
      <c r="C11" s="10">
        <v>8</v>
      </c>
      <c r="D11" s="10"/>
      <c r="E11" s="10"/>
      <c r="F11" s="10">
        <f t="shared" si="0"/>
        <v>8</v>
      </c>
      <c r="G11" s="10">
        <v>10</v>
      </c>
    </row>
    <row r="12" spans="1:7" ht="13.2" customHeight="1" x14ac:dyDescent="0.4">
      <c r="A12" s="30" t="s">
        <v>11</v>
      </c>
      <c r="B12" s="40" t="s">
        <v>142</v>
      </c>
      <c r="C12" s="10"/>
      <c r="D12" s="10"/>
      <c r="E12" s="10">
        <v>8</v>
      </c>
      <c r="F12" s="10">
        <f t="shared" si="0"/>
        <v>8</v>
      </c>
      <c r="G12" s="10">
        <v>11</v>
      </c>
    </row>
    <row r="13" spans="1:7" ht="13.2" customHeight="1" x14ac:dyDescent="0.4">
      <c r="A13" s="30">
        <v>27</v>
      </c>
      <c r="B13" s="40" t="s">
        <v>70</v>
      </c>
      <c r="C13" s="10"/>
      <c r="D13" s="10">
        <v>8</v>
      </c>
      <c r="E13" s="10"/>
      <c r="F13" s="10">
        <f t="shared" si="0"/>
        <v>8</v>
      </c>
      <c r="G13" s="10">
        <v>12</v>
      </c>
    </row>
    <row r="14" spans="1:7" ht="13.2" customHeight="1" x14ac:dyDescent="0.4">
      <c r="A14" s="30">
        <v>11</v>
      </c>
      <c r="B14" s="40" t="s">
        <v>122</v>
      </c>
      <c r="C14" s="10"/>
      <c r="D14" s="10">
        <v>7</v>
      </c>
      <c r="E14" s="10"/>
      <c r="F14" s="10">
        <f t="shared" si="0"/>
        <v>7</v>
      </c>
      <c r="G14" s="10">
        <v>13</v>
      </c>
    </row>
    <row r="15" spans="1:7" ht="13.2" customHeight="1" x14ac:dyDescent="0.4">
      <c r="A15" s="30" t="s">
        <v>4</v>
      </c>
      <c r="B15" s="40" t="s">
        <v>130</v>
      </c>
      <c r="C15" s="10">
        <v>1</v>
      </c>
      <c r="D15" s="10"/>
      <c r="E15" s="10">
        <v>5</v>
      </c>
      <c r="F15" s="10">
        <f t="shared" si="0"/>
        <v>6</v>
      </c>
      <c r="G15" s="10">
        <v>14</v>
      </c>
    </row>
    <row r="16" spans="1:7" ht="13.2" customHeight="1" x14ac:dyDescent="0.4">
      <c r="A16" s="30">
        <v>19</v>
      </c>
      <c r="B16" s="40" t="s">
        <v>28</v>
      </c>
      <c r="C16" s="10"/>
      <c r="D16" s="10">
        <v>6</v>
      </c>
      <c r="E16" s="10"/>
      <c r="F16" s="10">
        <f t="shared" si="0"/>
        <v>6</v>
      </c>
      <c r="G16" s="10">
        <v>15</v>
      </c>
    </row>
    <row r="17" spans="1:7" ht="13.2" customHeight="1" x14ac:dyDescent="0.4">
      <c r="A17" s="30">
        <v>10</v>
      </c>
      <c r="B17" s="40" t="s">
        <v>76</v>
      </c>
      <c r="C17" s="10">
        <v>3</v>
      </c>
      <c r="D17" s="10"/>
      <c r="E17" s="10">
        <v>2</v>
      </c>
      <c r="F17" s="10">
        <f>SUM(C17:E17)</f>
        <v>5</v>
      </c>
      <c r="G17" s="10">
        <v>16</v>
      </c>
    </row>
    <row r="18" spans="1:7" ht="13.2" customHeight="1" x14ac:dyDescent="0.4">
      <c r="A18" s="30" t="s">
        <v>27</v>
      </c>
      <c r="B18" s="40" t="s">
        <v>8</v>
      </c>
      <c r="C18" s="10">
        <v>5</v>
      </c>
      <c r="D18" s="10"/>
      <c r="E18" s="10"/>
      <c r="F18" s="10">
        <f>SUM(C18:E18)</f>
        <v>5</v>
      </c>
      <c r="G18" s="10">
        <v>17</v>
      </c>
    </row>
    <row r="19" spans="1:7" ht="13.2" customHeight="1" x14ac:dyDescent="0.4">
      <c r="A19" s="30" t="s">
        <v>9</v>
      </c>
      <c r="B19" s="40" t="s">
        <v>65</v>
      </c>
      <c r="C19" s="10"/>
      <c r="D19" s="10"/>
      <c r="E19" s="10">
        <v>4</v>
      </c>
      <c r="F19" s="10">
        <f t="shared" si="0"/>
        <v>4</v>
      </c>
      <c r="G19" s="10">
        <v>18</v>
      </c>
    </row>
    <row r="20" spans="1:7" ht="13.2" customHeight="1" x14ac:dyDescent="0.4">
      <c r="A20" s="30" t="s">
        <v>16</v>
      </c>
      <c r="B20" s="40" t="s">
        <v>150</v>
      </c>
      <c r="C20" s="10"/>
      <c r="D20" s="10">
        <v>3</v>
      </c>
      <c r="E20" s="10"/>
      <c r="F20" s="10">
        <f t="shared" si="0"/>
        <v>3</v>
      </c>
      <c r="G20" s="10">
        <v>19</v>
      </c>
    </row>
    <row r="21" spans="1:7" ht="13.2" customHeight="1" x14ac:dyDescent="0.4">
      <c r="A21" s="30">
        <v>12</v>
      </c>
      <c r="B21" s="40" t="s">
        <v>58</v>
      </c>
      <c r="C21" s="10">
        <v>2</v>
      </c>
      <c r="D21" s="10"/>
      <c r="E21" s="10"/>
      <c r="F21" s="10">
        <f t="shared" si="0"/>
        <v>2</v>
      </c>
      <c r="G21" s="10">
        <v>20</v>
      </c>
    </row>
    <row r="22" spans="1:7" ht="13.2" customHeight="1" x14ac:dyDescent="0.4">
      <c r="A22" s="30">
        <v>20</v>
      </c>
      <c r="B22" s="40" t="s">
        <v>91</v>
      </c>
      <c r="C22" s="10"/>
      <c r="D22" s="10">
        <v>1</v>
      </c>
      <c r="E22" s="10"/>
      <c r="F22" s="10">
        <f>SUM(C22:E22)</f>
        <v>1</v>
      </c>
      <c r="G22" s="10">
        <v>21</v>
      </c>
    </row>
    <row r="23" spans="1:7" ht="13.2" customHeight="1" x14ac:dyDescent="0.4">
      <c r="A23" s="30">
        <v>15</v>
      </c>
      <c r="B23" s="40" t="s">
        <v>133</v>
      </c>
      <c r="C23" s="10"/>
      <c r="D23" s="10"/>
      <c r="E23" s="10">
        <v>1</v>
      </c>
      <c r="F23" s="10">
        <f>SUM(C23:E23)</f>
        <v>1</v>
      </c>
      <c r="G23" s="10">
        <v>22</v>
      </c>
    </row>
    <row r="24" spans="1:7" ht="13.2" customHeight="1" x14ac:dyDescent="0.4">
      <c r="A24" s="30">
        <v>23</v>
      </c>
      <c r="B24" s="40" t="s">
        <v>120</v>
      </c>
      <c r="C24" s="10"/>
      <c r="D24" s="10"/>
      <c r="E24" s="10"/>
      <c r="F24" s="10">
        <f t="shared" si="0"/>
        <v>0</v>
      </c>
      <c r="G24" s="10">
        <v>23</v>
      </c>
    </row>
    <row r="25" spans="1:7" ht="13.2" customHeight="1" x14ac:dyDescent="0.4">
      <c r="A25" s="30">
        <v>25</v>
      </c>
      <c r="B25" s="40" t="s">
        <v>15</v>
      </c>
      <c r="C25" s="10"/>
      <c r="D25" s="10"/>
      <c r="E25" s="10"/>
      <c r="F25" s="10">
        <f t="shared" si="0"/>
        <v>0</v>
      </c>
      <c r="G25" s="10">
        <v>24</v>
      </c>
    </row>
    <row r="26" spans="1:7" ht="13.2" customHeight="1" x14ac:dyDescent="0.4">
      <c r="A26" s="30">
        <v>26</v>
      </c>
      <c r="B26" s="40" t="s">
        <v>112</v>
      </c>
      <c r="C26" s="10"/>
      <c r="D26" s="10"/>
      <c r="E26" s="10"/>
      <c r="F26" s="10">
        <f t="shared" si="0"/>
        <v>0</v>
      </c>
      <c r="G26" s="10">
        <v>25</v>
      </c>
    </row>
    <row r="27" spans="1:7" ht="13.2" customHeight="1" x14ac:dyDescent="0.4">
      <c r="A27" s="30" t="s">
        <v>19</v>
      </c>
      <c r="B27" s="40" t="s">
        <v>2</v>
      </c>
      <c r="C27" s="10"/>
      <c r="D27" s="10"/>
      <c r="E27" s="10"/>
      <c r="F27" s="10">
        <f t="shared" si="0"/>
        <v>0</v>
      </c>
      <c r="G27" s="10">
        <v>26</v>
      </c>
    </row>
    <row r="28" spans="1:7" ht="13.2" customHeight="1" x14ac:dyDescent="0.4">
      <c r="A28" s="30" t="s">
        <v>23</v>
      </c>
      <c r="B28" s="40" t="s">
        <v>166</v>
      </c>
      <c r="C28" s="10"/>
      <c r="D28" s="10"/>
      <c r="E28" s="10"/>
      <c r="F28" s="10">
        <f t="shared" si="0"/>
        <v>0</v>
      </c>
      <c r="G28" s="10">
        <v>27</v>
      </c>
    </row>
    <row r="29" spans="1:7" ht="13.2" customHeight="1" x14ac:dyDescent="0.4">
      <c r="A29" s="33" t="s">
        <v>31</v>
      </c>
      <c r="B29" s="47" t="s">
        <v>163</v>
      </c>
      <c r="C29" s="16"/>
      <c r="D29" s="16"/>
      <c r="E29" s="16"/>
      <c r="F29" s="16">
        <f t="shared" si="0"/>
        <v>0</v>
      </c>
      <c r="G29" s="16">
        <v>28</v>
      </c>
    </row>
    <row r="30" spans="1:7" ht="13.2" customHeight="1" x14ac:dyDescent="0.4">
      <c r="A30" s="20"/>
      <c r="B30" s="19"/>
      <c r="C30" s="20">
        <f>SUM(C2:C29)</f>
        <v>58</v>
      </c>
      <c r="D30" s="20">
        <f t="shared" ref="D30:E30" si="1">SUM(D2:D29)</f>
        <v>58</v>
      </c>
      <c r="E30" s="20">
        <f t="shared" si="1"/>
        <v>58</v>
      </c>
      <c r="F30" s="20"/>
      <c r="G30" s="20"/>
    </row>
  </sheetData>
  <sortState xmlns:xlrd2="http://schemas.microsoft.com/office/spreadsheetml/2017/richdata2" ref="A22:G23">
    <sortCondition ref="G22:G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7</vt:i4>
      </vt:variant>
    </vt:vector>
  </HeadingPairs>
  <TitlesOfParts>
    <vt:vector size="7" baseType="lpstr">
      <vt:lpstr>ENTRIES</vt:lpstr>
      <vt:lpstr>SF 1 REGULAR</vt:lpstr>
      <vt:lpstr>SF 1 REJU</vt:lpstr>
      <vt:lpstr>SF 2 REGULAR</vt:lpstr>
      <vt:lpstr>SF 2 REJU</vt:lpstr>
      <vt:lpstr>GRAND FINAL</vt:lpstr>
      <vt:lpstr>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Elgars Vitkovskis</dc:creator>
  <cp:lastModifiedBy>Elgars Vitkovskis</cp:lastModifiedBy>
  <dcterms:created xsi:type="dcterms:W3CDTF">2026-02-05T07:48:28Z</dcterms:created>
  <dcterms:modified xsi:type="dcterms:W3CDTF">2026-03-03T08:20:10Z</dcterms:modified>
</cp:coreProperties>
</file>