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mi 1" sheetId="1" r:id="rId5"/>
    <sheet state="visible" name="Semi 2" sheetId="2" r:id="rId6"/>
    <sheet state="visible" name="Semi 1 RJ" sheetId="3" r:id="rId7"/>
    <sheet state="visible" name="Semi 2 RJ" sheetId="4" r:id="rId8"/>
    <sheet state="visible" name="Final" sheetId="5" r:id="rId9"/>
    <sheet state="visible" name="results show" sheetId="6" r:id="rId10"/>
    <sheet state="visible" name="Waiting List" sheetId="7" r:id="rId11"/>
    <sheet state="visible" name="semibackuppm" sheetId="8" r:id="rId12"/>
    <sheet state="visible" name="semi pm lol" sheetId="9" r:id="rId13"/>
  </sheets>
  <definedNames>
    <definedName hidden="1" localSheetId="3" name="_xlnm._FilterDatabase">'Semi 2 RJ'!$A$1:$AM$28</definedName>
  </definedNames>
  <calcPr/>
</workbook>
</file>

<file path=xl/sharedStrings.xml><?xml version="1.0" encoding="utf-8"?>
<sst xmlns="http://schemas.openxmlformats.org/spreadsheetml/2006/main" count="1398" uniqueCount="224">
  <si>
    <t>W</t>
  </si>
  <si>
    <t>Column 40</t>
  </si>
  <si>
    <t>Nation</t>
  </si>
  <si>
    <t>Adamsburg</t>
  </si>
  <si>
    <t>Calypso</t>
  </si>
  <si>
    <t>Dwyforland</t>
  </si>
  <si>
    <t>Endórë</t>
  </si>
  <si>
    <t>Fervorosia</t>
  </si>
  <si>
    <t>Fierraria</t>
  </si>
  <si>
    <t>Grand Duchy of Strenci</t>
  </si>
  <si>
    <t>Griffin Empire</t>
  </si>
  <si>
    <t>Halito</t>
  </si>
  <si>
    <t>Kimmystan</t>
  </si>
  <si>
    <t>Kordavian Islands</t>
  </si>
  <si>
    <t>Marcobia</t>
  </si>
  <si>
    <t>MatiMati</t>
  </si>
  <si>
    <t>Meridia</t>
  </si>
  <si>
    <t>Orsa</t>
  </si>
  <si>
    <t>Rehi Kaita</t>
  </si>
  <si>
    <t>Roxma Nova</t>
  </si>
  <si>
    <t>Sakuralia</t>
  </si>
  <si>
    <t>Svobodnia</t>
  </si>
  <si>
    <t>Szimbaya Kingdom</t>
  </si>
  <si>
    <t>Tanoiro</t>
  </si>
  <si>
    <t>Ugaly</t>
  </si>
  <si>
    <t>Vermilion</t>
  </si>
  <si>
    <t>Xochimilia</t>
  </si>
  <si>
    <t>Zombira</t>
  </si>
  <si>
    <t>Dež Republic</t>
  </si>
  <si>
    <t>Tcher-Racoi</t>
  </si>
  <si>
    <t>Södermalm</t>
  </si>
  <si>
    <t>Column 32</t>
  </si>
  <si>
    <t>Sum</t>
  </si>
  <si>
    <t>Rank</t>
  </si>
  <si>
    <t>Voters</t>
  </si>
  <si>
    <t>12s</t>
  </si>
  <si>
    <t>10s</t>
  </si>
  <si>
    <t>8s</t>
  </si>
  <si>
    <t>Tiebreaker f</t>
  </si>
  <si>
    <t>RANK TIEBREAK</t>
  </si>
  <si>
    <t>Sum OK</t>
  </si>
  <si>
    <t>Q</t>
  </si>
  <si>
    <t>Values OK</t>
  </si>
  <si>
    <t>Count OK</t>
  </si>
  <si>
    <t>REJU</t>
  </si>
  <si>
    <t>Score</t>
  </si>
  <si>
    <t>Column 41</t>
  </si>
  <si>
    <t>Aimulli</t>
  </si>
  <si>
    <t>Balearica Island</t>
  </si>
  <si>
    <t>Begonia</t>
  </si>
  <si>
    <t>Biflovatia</t>
  </si>
  <si>
    <t>Carpentaria</t>
  </si>
  <si>
    <t>Comino</t>
  </si>
  <si>
    <t>Cydoni-Gibberia</t>
  </si>
  <si>
    <t>Dalisska</t>
  </si>
  <si>
    <t>Doire</t>
  </si>
  <si>
    <t>Emsfrynt</t>
  </si>
  <si>
    <t>Insomnéa</t>
  </si>
  <si>
    <t>Inzinimirit</t>
  </si>
  <si>
    <t>Kamandé</t>
  </si>
  <si>
    <t>New Acadia</t>
  </si>
  <si>
    <t>Papendink</t>
  </si>
  <si>
    <t>Perryfornia</t>
  </si>
  <si>
    <t>Redwood Republic</t>
  </si>
  <si>
    <t>Reym-L-Dneurb</t>
  </si>
  <si>
    <t>Roseland</t>
  </si>
  <si>
    <t>Rumia</t>
  </si>
  <si>
    <t>Tamausia &amp; Deltannor</t>
  </si>
  <si>
    <t>Tir an Abhainn</t>
  </si>
  <si>
    <t>Trollheimr</t>
  </si>
  <si>
    <t>United Kingdom of Destrion</t>
  </si>
  <si>
    <t>Yaponesia</t>
  </si>
  <si>
    <t>Öösingimäed</t>
  </si>
  <si>
    <t>Waiting Iist of Shelley &amp; Nici</t>
  </si>
  <si>
    <t>Vylkuzeme</t>
  </si>
  <si>
    <t>New Bander State</t>
  </si>
  <si>
    <t>Column 33</t>
  </si>
  <si>
    <t>POINTS</t>
  </si>
  <si>
    <t>6 points</t>
  </si>
  <si>
    <t>WSN</t>
  </si>
  <si>
    <t>Column 16</t>
  </si>
  <si>
    <t>Column 17</t>
  </si>
  <si>
    <t>Column 18</t>
  </si>
  <si>
    <t>Column 19</t>
  </si>
  <si>
    <t>Column 20</t>
  </si>
  <si>
    <t>Column 21</t>
  </si>
  <si>
    <t>Column 21 2</t>
  </si>
  <si>
    <t>Column 22</t>
  </si>
  <si>
    <t>Column 23</t>
  </si>
  <si>
    <t>Column 24</t>
  </si>
  <si>
    <t>Column 25</t>
  </si>
  <si>
    <t>Column 26</t>
  </si>
  <si>
    <t>Column 27</t>
  </si>
  <si>
    <t>Column 28</t>
  </si>
  <si>
    <t>Column 29</t>
  </si>
  <si>
    <t>Column 30</t>
  </si>
  <si>
    <t>Column 39</t>
  </si>
  <si>
    <t>REJU QUALIFIER</t>
  </si>
  <si>
    <t>Dez Reublic</t>
  </si>
  <si>
    <t>Column 31</t>
  </si>
  <si>
    <t>REJU Q</t>
  </si>
  <si>
    <t>Draw res</t>
  </si>
  <si>
    <t>Pts</t>
  </si>
  <si>
    <t>Res</t>
  </si>
  <si>
    <t>CURR VOTER</t>
  </si>
  <si>
    <t>s votes have been counted as follows:</t>
  </si>
  <si>
    <t>Dez Republic</t>
  </si>
  <si>
    <t>Roseland]</t>
  </si>
  <si>
    <t>Kamande</t>
  </si>
  <si>
    <t>Sodermalm</t>
  </si>
  <si>
    <t>RLD</t>
  </si>
  <si>
    <t>Insomnea</t>
  </si>
  <si>
    <t>Oosingimaed</t>
  </si>
  <si>
    <t>Column 61</t>
  </si>
  <si>
    <t>Column 62</t>
  </si>
  <si>
    <t>Column 63</t>
  </si>
  <si>
    <t>Column 64</t>
  </si>
  <si>
    <t>WAITING LIST</t>
  </si>
  <si>
    <t>hello!!! 🕯️🫡
the otters have finished their sacred data rituals, and we’re happy (and mildly unwell) to confirm that your Grand Final votes have been counted, verified, and blessed by the spreadsheet gods. 📊✨
after hours of caffeine-fueled chaos and mild screaming, your taste has officially been immortalized in the Book of Rot™. 🧠💀)</t>
  </si>
  <si>
    <t>the deed is done — the numbers are cooked, seasoned, and (mostly) behaving 🧠💀
your taste now echoes through the hallowed halls of natia, forever etched into the Book of Rot™ ✨
ok slay bestie, your votes are in 😭💅 if anything looks off or the math ain’t mathing, dm us and we’ll uncurse the spreadsheet asap 📊🧙‍♀️</t>
  </si>
  <si>
    <t>anyway, bye spreadsheet closed. dopamine chase engaged. otters out and scrolling 🧠💅</t>
  </si>
  <si>
    <t>ok</t>
  </si>
  <si>
    <t>Tír an Abhainn</t>
  </si>
  <si>
    <t>Aimūlli</t>
  </si>
  <si>
    <t>[FONT=courier new]</t>
  </si>
  <si>
    <t>[/FONT]</t>
  </si>
  <si>
    <t>Draw</t>
  </si>
  <si>
    <t>Column 6</t>
  </si>
  <si>
    <t>Column 7</t>
  </si>
  <si>
    <t>Column 8</t>
  </si>
  <si>
    <t>Column 9</t>
  </si>
  <si>
    <t>Column 10</t>
  </si>
  <si>
    <t>Column 11</t>
  </si>
  <si>
    <t>Column 12</t>
  </si>
  <si>
    <t>Column 13</t>
  </si>
  <si>
    <t>HIGHER SCORE</t>
  </si>
  <si>
    <t>KIMMYSTAN</t>
  </si>
  <si>
    <t xml:space="preserve"> Semi 1
:12:	MatiMati
:10:	Szimbaya Kingdom
:8:	Ugaly
:7:	Roxma Nova
:6:	Fierraria
:5:	Grand Duchy of Strenci
:4:	Halito
:3:	Sakuralia
:2:	Zombira
:1:	Tanoiro
Semi 2
:12:	Rumia
:10:	Balearica Island
:8:	Redwood Republic
:7:	Cydoni-Gibberia
:6:	Carpentaria
:5:	Perryfornia
:4:	Comino
:3:	Trollheimr
:2:	Inzinimirit
:1:	Tamausia &amp; Deltannor
</t>
  </si>
  <si>
    <t>FIERRARIA</t>
  </si>
  <si>
    <t>12 Szimbaya Kingdom
10 Kimmystan
08 Calypso
07 Rehi Kaita
06 Meridia
05 Orsa
04 Roxma Nova
03 Griffin Empire
02 Halito
01 Tanoiro</t>
  </si>
  <si>
    <t>NEW ACADIA</t>
  </si>
  <si>
    <t>Hello! 😊 here are my votes for SF 2
12 Rumia
10 Roseland
08 Tamausia
07 biflovatia
06 comino
05 TAA
04 Carpentaria
03 Trollheimr
02 Yaponesia
01 UK Destrion
11th Insomnea</t>
  </si>
  <si>
    <t>SZIMBAAY KJINGDOM</t>
  </si>
  <si>
    <t>Semi 1 regular votes
12 MatiMati
10 Endore
8 Adamsburg
7 Kordavian Islands
6 Tanoiro
5 Dwyforland
4 Ugaly
3 Marcobia
2 Meridia
1 Roxma Nova
Semi 2 reju votes
12 United Kingdom of Destrion
10 Roseland
8 Rumia
7 Insomnea
6 Tamausia &amp; Deltannor
5 Reym-L-Dneurb
4 Comino
3 Tir an Abhainn
2 Begonia
1 Perryfornia</t>
  </si>
  <si>
    <t>DALISSKA</t>
  </si>
  <si>
    <t>Hi here are Dalisska's reju votes for semi one:
12 - Meridia
10 - Kimmystan
08 - Adamsburg
07 - Tanoiro
06 - Calypso
05 - Roxma Nova
04 - Orsa
03 - Sakuralia
02 - Fierraria
01 - Xochimilia</t>
  </si>
  <si>
    <t>Hi here are the semi two votes from Dalisska:
12 - Aimulli
10 - Papendink
08 - Insomnea
07 - Inzinimirit
06 - Carpentaria
05 - Tamausia &amp; Deltannor
04 - Oosingimaed
03 - Roseland
02 - Begonia
01 - Comino</t>
  </si>
  <si>
    <t>GRIFIFN EMPIRE</t>
  </si>
  <si>
    <t>12 Vermilion
10 Adamsburg
08 Calypso
07 Dwyforland
06 Zombira
05 Ugaly
04 Svobodnia
03 Xochimilia
02 Szimbaya Kingdom
01 Halito
——
00 Kimmystan</t>
  </si>
  <si>
    <t>KAMANDE</t>
  </si>
  <si>
    <t xml:space="preserve">
Le Bruit
Well-known member
Joined
October 2, 2009
Posts
900
Location
Québec City
Friday at 21:02
Heya, here are the votes from Kamandé (semi 2):
12 Rumia
10 Roseland
8 Aimulli
7 Papendink
6 Insomnéa
5 New Acadia
4 Reym-L-Dneurb
3 Redwood Republic
2 Perryfornia
1 Tamausia &amp; Deltannor</t>
  </si>
  <si>
    <t>UKOD</t>
  </si>
  <si>
    <t>15 New Acadia Gerdan Theatre По-за ночі - 12 poena
10 Rumia Sail North Tales of Luria - 10 poena
3 Carpentaria Rachel Chinouriri Garden of Eden - 8 poena
23 Begonia Dubinski MTSB - 7 poena
9 Tir an Abhainn Kean Kavanagh A Cowboy Song - 6 poena
2 Comino Wolf Alice The Sofa - 5 poena
6 Kamandé Naeleck &amp; Bombs Away Monster Paradise - 4 poena
17 Trollheimr Fleetwood Mac Silver Springs - 3 poena
20 Inzinimirit El Remolón ft. Brawlio Los Pájaros - 2 poena
16 Insomnéa Crimson Veins Under The Veil - 1 poen</t>
  </si>
  <si>
    <t>HALITO</t>
  </si>
  <si>
    <t>12pts - Svobodnia
10pts - Ugaly
8pts - Roxma Nova
7pts - Grand Duchy of Strenci
6pts - Rehi Kaita
5pts - Szimbaya Kingdom
4pts - Griffin Empire
3pts - MatiMati
2pts - Fierraria
1pt - Orsa</t>
  </si>
  <si>
    <t>EMSYFRNT</t>
  </si>
  <si>
    <t>12 Perryfornia
10 Reym-L-Dneurb
8 Roseland
7 Comino
6 Kamandé
5 Inzinimirit
4 Tamausia &amp; Deltannor
3 Redwood Republic
2 Balearica Island
1 Begonia
---</t>
  </si>
  <si>
    <t>MERIDIA</t>
  </si>
  <si>
    <t>12 Ugaly
10 Marcobia
08 Sakuralia
07 Kordavian Islands
06 Szimbaya Kingdom
05 Roxma Nova
04 Halito
03 Kimmystan
02 Griffin Empire
01 Endore</t>
  </si>
  <si>
    <t>COMINO</t>
  </si>
  <si>
    <t>Hi,
Insomnea 12
Trollheimr 10
C-G 8
Roseland 7
TAA 6
United Kingdom of Destrion 5
Begonia 4
Dalisska 3
Carpentaria 2
Inzinimirit 1
Thanks,
Luke :)</t>
  </si>
  <si>
    <t>REYM LD NEURB</t>
  </si>
  <si>
    <t>Hii
::rld
Semi 1 (Reju):
12 Calypso
10 Orsa
08 Kimmystan
07 Rehi Kaita
06 Roxma Nova
05 Meridia
04 Svobodnia
03 Xochimilia
02 GD Strenci
01 Zombira
Semi 2:
12 Papendink
10 Öösingimäed
08 Carpentaria
07 Yaponesia
06 Comino
05 Emsfrynt
04 Tír an Abhainn
03 Tamausia &amp; Deltannor
02 New Acadia
01 Cydoni-Gibberia</t>
  </si>
  <si>
    <t>BALEARICA ISLAND</t>
  </si>
  <si>
    <t xml:space="preserve">Hi!
Had to do this today, it's the only day this week I think I have time (and that's only because I needed a slow day after spending the weekend moving my stuff from an apartment to a house). So here are the ::bal votes for semi 2:
12. Kamandé (Naeleck &amp; Bombs Away - Monster Paradise)
10. Redwood Republic (Klaas - Paradiso)
8. Biflovatia (Modestep - Hang My Heart)
7. Roseland (Falling In Reverse feat. Marilyn Manson - God Is A Weapon)
6. Reym-L-Dneurb (FILLY - Do What I Want)
5. Öösingimäed (Aksel &amp; Aino - Reykjavik (Bell Towers Remix))
4. Tamausia &amp; Deltannor (Chrissy Chlapecka - Passionfruit)
3. Emsfrynt (EuskoPrincess - Euskañol)
2. Papendink (CrazY JulieT - Army Of The Bones)
1. Perryfornia (manifest - KTS)
</t>
  </si>
  <si>
    <t>DWYFORLAND</t>
  </si>
  <si>
    <t>Hi Strajker xwave
I hope you are well :) Here are the votes for NSC #245 Semi Finals from Dwyforland ::dwy
Semi 1
:12: ::szk Szimbaya Kingdom
:10: ::ugl Ugaly
:8: ::ver Vermilion
:7: ::hal Halito
:6: ::mrc Marcobia
:5: ::tan Tanoiro
:4: ::gds Grand Duchy of Strenci
:3: ::svo Svobodnia
:2: ::grf Griffin Empire
:1: ::mat MatiMati
Semi 2 (REJU)
:12: ::bif Biflovatia
:10: ::per Perryfornia
:8: ::rum Rumia
:7: ::com Comino
:6: ::tro Trollheimr
:5: ::cyd Cydoni-Gibberia
:4: ::cpt Carpentaria
:3: ::ins Insomnea
:2: ::ukd United Kingdom of Destrion
:1: ::red Redwood Republic
Best Wishes,
Rxllinson</t>
  </si>
  <si>
    <t>DEZ REPUBLIC</t>
  </si>
  <si>
    <t>Semifinal 1:
12 - Kordavian Islands - Katie Wave (Adam Asnik) - Na szczytach Tatr
10 - Vermilion - Halid Bešlić - Romanija
8 - Endórë - Silvàn Areg - À quoi bon sert
7 - Tanoiro - Danny L Harle ft. Caroline Polachek - Azimuth
6 - Svobodnia - Vernis Rouge - La Fille
5 - Roxma Nova - Emre Fel - Sallan
4 - Marcobia - Matt Maltese - As the World Caves In
3 - Rehi Kaita - Mona Kalina - Da Da Da
2 - Halito - Maggie Lindemann - one of the ones
1 - Ugaly - Madison Beer - yes baby
::dez
Semifinal 2 - REJU:
12 - United Kingdom of Destrion - Johnny Huynh - RED ROSE
10 - Perryfornia - manifest - KTS
8 - Rumia - Sail North - Tales of Luria
7 - Comino - Wolf Alice - The Sofa
6 - Roseland - Falling In Reverse feat. Marilyn Manson - God Is A Weapon
5 - Tamausia &amp; Deltannor - Chrissy Chlapecka - Passionfruit
4 - Biflovatia - Modestep - Hang My Heart
3 - Insomnéa - Crimson Veins - Under The Veil
2 - Dalisska - Sydney Valette ft. Lila Ehjä - Please
1 - Cydoni-Gibberia - Olivia Dean - Nice To Each Other</t>
  </si>
  <si>
    <t>SVOBODNIA</t>
  </si>
  <si>
    <t>Semi 1
12. Rehi Kaita Mona Kalina Da Da Da
10. Tanoiro Danny L Harle ft. Caroline Polachek Azimuth
08. Meridia Begonia Hotter Than The Sun
07. MatiMati Snotkop Cool Soos Koos Kombuis
06. Ugaly Madison Beer yes baby
05. Halito Maggie Lindemann one of the ones
04. Endórë Silvàn Areg À quoi bon sert
03. Szimbaya Kingdom Taylor Swift The Fate of Ophelia
02. Marcobia Matt Maltese As the World Caves In
01. Kimmystan Nusantara Beat Tamat</t>
  </si>
  <si>
    <t>ROSELAND</t>
  </si>
  <si>
    <t>Here are the votes from Roseland:
Semi 1 (REJU)
12 = Szimbaya Kingdom
10 = MatiMati
08 = Tanoiro
07 = Sakuralia
06 = Ugaly
05 = Kordavian Islands
04 = Marcobia
03 = Fervorosia
02 = Svobodnia
01 = Fierraria
Semi 2 (REGULAR)
12 = Papendink
10 = Perryfornia
08 = United Kingdom of Destrion
07 = Tamausia &amp; Deltannor
06 = Rumia
05 = Inzinimirit
04 = Redwood Republic
03 = Dalisska
02 = Emsfrynt
01 = Balearica Island</t>
  </si>
  <si>
    <t>REDWOOD REPUBLIC</t>
  </si>
  <si>
    <t>12 Rumia
10 Perryfornia
8 Aimulli
7 New Acadia
6 UK Destrion
5 Comino
4 Carpentaria
3 Inzinimirit
2 Tamausia &amp; Deltannor
1 Reym-L-Dnerub</t>
  </si>
  <si>
    <t>FERVOROSIA</t>
  </si>
  <si>
    <t>12 =&gt; Szimbaya Kingdom
10 =&gt; Ugaly
8 =&gt; Halito
7 =&gt; Grand Duchy of Strenci
6 =&gt; Roxma Nova
5 =&gt; Xochimilia
4 =&gt; MatiMati
3 =&gt; Sakuralia
2 =&gt; Tanoiro
1 =&gt; Meridia</t>
  </si>
  <si>
    <t>12 =&gt; Emsfrynt
10 =&gt; Reym-L-Dneurb
8 =&gt; Tamausia &amp; Deltannor
7 =&gt; Perryfornia
6 =&gt; Kamande
5 =&gt; Roseland
4 =&gt; Biflovatia
3 =&gt; Balearica Island
2 =&gt; Comino
1 =&gt; Tir an Abhain</t>
  </si>
  <si>
    <t>VYLKUZEME</t>
  </si>
  <si>
    <t>12 - Rumia: Sail North - Tales of Luria
10 - Trollheimr: Fleetwood Mac - Silver Springs
8 - Aimulli: Hagali - Mizlecca
7 - Doire: The Mary Wallopers - Building Up And Tearing England Down
6 - New Acadia: Gerdan Theatre - По-за ночі
5 - Dalisska: Sydney Valette ft. Lila Ehjä - Please
4 - Papendink: CrazY JulieT - Army of The Bones
3 - Roseland: Falling In Reverse feat. Marilyn Manson - God Is A Weapon
2 - Insomnéa: Crimson Veins - Under The Veil
1 - Yaponesia: Oki Dub Ainu Band - Sakhalin Rock</t>
  </si>
  <si>
    <t>SODERMALM</t>
  </si>
  <si>
    <t>12 Xochimilia Pulp - Got To Have Love
10 Griffin Empire Ki Klop - Duh u ormaru
08 Roxma Nova - Emre Fel – Sallan
07 Calypso Tiflis Transit - Misunderstandings / Consolidations
06 Orsa Roberto Musci - Water Music
05 Zombira Markus Kuusing, SAMO, RÜÜT - VIHMAKÕNÕ (VIP)
04 Ugaly Madison Beer - yes baby
03 Szimbaya Kingdom Taylor Swift - The Fate of Ophelia
02 Adamsburg Crying Day Care Choir - Dance It Out
01 Marcobia Matt Maltese - As the World Caves In</t>
  </si>
  <si>
    <t>GRAND DUCHY OF STRENIC</t>
  </si>
  <si>
    <t>12 – Sakuralia
10 – Kimmystan
8 – Fierraria
7 – Xochimilia
6 – Zombira
5 – Rehi Kaita
4 – Roxma Nova
3 – Griffin Empire
2 – Adamsburg
1 - Fervorosia</t>
  </si>
  <si>
    <t>REHI KAITA</t>
  </si>
  <si>
    <t>12 Orsa
10 Griffin Empire
8 Ugaly
7 Roxma Nova
6 Zombira
5 Fierraria
4 Tanoiro
3 Xochimilia
2 Vermilion
1 Grand Duchy of Strenci</t>
  </si>
  <si>
    <t>inzinimirit</t>
  </si>
  <si>
    <t xml:space="preserve">12 NEW ACADIA
10 YAPONESIA
8 AIMULLI
7 DALISSKA
6 RUMIA
5 TROLLHEIMR
4 INSOMNEA
3 ΒΑLEARICA ISL
2 TIR AN ABHAINN
1 OOSINGIMAED
</t>
  </si>
  <si>
    <t>aimulli</t>
  </si>
  <si>
    <t>12 New Acadia
10 Yaponesia
08 Rumia
07 Doire
06 Tamausia &amp; Deltannor
05 Kamande
04 Perryfornia
03 Emsfrynt
02 Biflovatia
01 Trollheimr</t>
  </si>
  <si>
    <t>tcher-racoi</t>
  </si>
  <si>
    <t>12 Xochimilia} Pulp - Got To Have Love
10 Svobodnia} Vernis Rouge - La Fille
08 Calypso} Tiflis Transit - Misunderstandings / Consolations
07 Sakuralia} Nemo - Unexplainable
06 Fierraria} The Vusa x Ziferblat feat. Artem Pivovarov - Bud' Zdorov
05 Endórë} Silvàn Areg - À quoi bon sert
04 Szimbaya Kingdom} Taylor Swift - The Fate of Ophelia
03 Rehi Kaita} Mona Kalina - Da Da Da
02 Halito} Maggie Lindemann - one of the ones
01 Grand Duchy of Strenci} La Oreja de Van Gogh - Cuídate</t>
  </si>
  <si>
    <t>matimati</t>
  </si>
  <si>
    <t>I had already given up hope of voting, but if you'll take them; sorry about the mess. xrose
12 Calypso
10 Kordavian Islands
8 Rehi Kaita
7 Kimmystan
6 Tanoiro
5 Zombira
4 Endórë
3 Roxma Nova
2 Fierraria
1 Orsa
xcheer</t>
  </si>
  <si>
    <t>roxma nova</t>
  </si>
  <si>
    <t>ere are the votes from ::rxn Roxma Nova:
SF 1 • REGULAR
12 Orsa
10 Kimmystan
08 Griffin Empire
07 Kordavian Islands
06 Calypso
05 Rehi Kaita
04 Xochimilia
03 Szimbaya Kingdom
02 Adamsburg
01 Dwyforland
SF 2 • REJU
12 Tir An Abhainn
10 Insomnea
08 Yaponesia
07 Trollheimr
06 Dalisska
05 Oosingimaed
04 Cydoni-Gibberia
03 Comino
02 Begonia
01 Inzinimirit</t>
  </si>
  <si>
    <t>insomniea</t>
  </si>
  <si>
    <t>Hey there,
Here are the votes from Insomnéa for semi 2 / Class 2 (regular):
12 Comino
10 Begonia
8 Tir an Abhainn
7 Carpentaria
6 Roseland
5 Inzinimirit
4 Dalisska
3 Aimulli
2 Cydoni-Gibberia
1 Yaponesia
Thanks,
Mozz</t>
  </si>
  <si>
    <t>taa</t>
  </si>
  <si>
    <t>12.Emsfrynt
10.Oosingimaed
8.RLD
7.Yaponesia
6.Dalisska
5.Balearica Island
4.Papendink
3.Begonia
2.Redwood Republic
1.Aimulli</t>
  </si>
  <si>
    <t>tamausa</t>
  </si>
  <si>
    <t>12 Cydoni-Gibberia
10 Carpentaria
8 Emsfrynt
7 Perryfornia
6 Comino
5 Balearica Island
4 Biflovatia
3 Insomnea
2 UKOD
1 Dalisska</t>
  </si>
  <si>
    <t>orsa</t>
  </si>
  <si>
    <t>Semi 1 (regular)
12 Kimmystan
10 Rehi Kaita
8 Tanoiro
7 Roxma Nova
6 Griffin Empire
5 Adamsburg
4 Meridia
3 Sakuralia
2 Calypso
1 Ugaly
Semi 2 (rest jury)
12 Yaponesia
10 Emsfrynt
8 Öösingimäed
7 Aimūlli
6 New Acadia
5 Inzinimirit
4 Reym-L-Dneurb
3 Comino
2 Papendink
1 Rumia</t>
  </si>
  <si>
    <t>xochi</t>
  </si>
  <si>
    <t xml:space="preserve">
:12: - Sakuralia
:10: - Endórë
:8: - Fierraria
:7: - Meridia
:6: - Vermilion
:5: - Calypso
:4: - Fervorosia
:3: - Marcobia
:2: - Tanoiro
:1: - MatiMati</t>
  </si>
  <si>
    <t>endore</t>
  </si>
  <si>
    <t>Hello otters, here go the votes from ::end :
:12: Dwyforland
:10: Kordavian Islands
:8: Grand Duci of Strenci
:7: MatiMati
:6: Szimbaya Kingdom
:5: Fierraria
:4: Adamsburg
:3: Tanoiro
:2: Ugaly
:1: Halito</t>
  </si>
  <si>
    <t>trollheimr</t>
  </si>
  <si>
    <t>Here are the Semi votes from Trollheimr:
Semi 1 REJU
12 Kordavian Islands
10 Vermilion
08 Grand Duchy of Strenci
07 Endórë
06 Marcobia
05 Dwyforland
04 Roxma Nova
03 Adamsburg
02 Kimmystan
01 Fervorosia
Semi 2
12 Rumia
10 Aimūlli
08 Doire
07 New Acadia
06 Insomnéa
05 Comino
04 Yaponesia
03 Begonia
02 Inzinimirit
01 Papendink</t>
  </si>
  <si>
    <t>F1 votes
12 =&gt; Szimbaya Kingdom
10 =&gt; Ugaly
8 =&gt; Halito
7 =&gt; Grand Duchy of Strenci
6 =&gt; Roxma Nova
5 =&gt; Xochimilia
4 =&gt; MatiMati
3 =&gt; Sakuralia
2 =&gt; Tanoiro
1 =&gt; Meridia
might reju vote as well but those would come tomorrow
 Like It  Quote ReplyReport
pyryniemifinland
pyryniemi
Well-known member
Joined
October 1, 2009
Posts
3,069
October 27, 2025
SF2
12 =&gt; Emsfrynt
10 =&gt; Reym-L-Dneurb
8 =&gt; Tamausia &amp; Deltannor
7 =&gt; Perryfornia
6 =&gt; Kamande
5 =&gt; Roseland
4 =&gt; Biflovatia
3 =&gt; Balearica Island
2 =&gt; Comino
1 =&gt; Tir an Abhainn</t>
  </si>
  <si>
    <t>pyry</t>
  </si>
  <si>
    <t>perryfornia</t>
  </si>
  <si>
    <t>::per Perryfornia ::per
12 Reym-L-Dneurb
10 Tamausia &amp; Deltannor
08 Cydonia-Gibberia
07 New Acadia
06 Comino
05 Carpentaria
04 United Kingdom of Destrion
03 Balearica Island
02 Rumia
01 Öösingimäed</t>
  </si>
  <si>
    <t>carpentaria</t>
  </si>
  <si>
    <t>12 Trollheimr: Fleetwood Mac - Silver Springs
10 New Acadia: Gerdan Theatre - По-за ночі
08 Comino: Wolf Alice - The Sofa
07 Tir an Abhainn: Kean Kavanagh - A Cowboy Song
06 Redwood Republic: Klaas - Paradiso
05 Insomnéa: Crimson Veins - Under The Veil
04 Aimulli: Hagali - Mizlecca
03 Balearica Island: JVG feat. Emma &amp; Matilda - Kävi Miten Kävi
02 Begonia: Dubinski - MTSB
01 Perryfornia: manifest - KTS</t>
  </si>
  <si>
    <t>yo [nation name] 😭🧠</t>
  </si>
  <si>
    <t>we got ur semi votes!! they’ve been through the washing machine, the blender, and the sacred spreadsheet of pain — and guess what? they counted 🫡✨</t>
  </si>
  <si>
    <t>thus it has been counted:</t>
  </si>
  <si>
    <t>(insert votes here)</t>
  </si>
  <si>
    <t>tysm for contributing  💅</t>
  </si>
  <si>
    <t>best wishes with 0 thoughts and 1 vibe</t>
  </si>
  <si>
    <t>the otters of administration 💀</t>
  </si>
  <si>
    <t xml:space="preserve">if the math ain’t mathing or something looks goofy or npc-coded, hit us up 😭 we’ll fix it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</si>
</sst>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b/>
      <color theme="1"/>
      <name val="Arial"/>
    </font>
    <font>
      <b/>
      <color theme="1"/>
      <name val="Arial"/>
      <scheme val="minor"/>
    </font>
    <font>
      <sz val="11.0"/>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9FC5E8"/>
        <bgColor rgb="FF9FC5E8"/>
      </patternFill>
    </fill>
    <fill>
      <patternFill patternType="solid">
        <fgColor theme="6"/>
        <bgColor theme="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0" fillId="0" fontId="2" numFmtId="0" xfId="0" applyAlignment="1" applyFont="1">
      <alignment horizontal="left" readingOrder="0" shrinkToFit="0" textRotation="90" vertical="bottom" wrapText="0"/>
    </xf>
    <xf borderId="0" fillId="0" fontId="3" numFmtId="0" xfId="0" applyAlignment="1" applyFont="1">
      <alignment horizontal="left" readingOrder="0" shrinkToFit="0" textRotation="90" vertical="bottom" wrapText="0"/>
    </xf>
    <xf borderId="0" fillId="0" fontId="2" numFmtId="0" xfId="0" applyAlignment="1" applyFont="1">
      <alignment horizontal="left" readingOrder="0" shrinkToFit="0" textRotation="90" vertical="bottom" wrapText="0"/>
    </xf>
    <xf borderId="0" fillId="0" fontId="1" numFmtId="49" xfId="0" applyAlignment="1" applyFont="1" applyNumberFormat="1">
      <alignment horizontal="left" readingOrder="0" shrinkToFit="0" textRotation="90" vertical="center" wrapText="0"/>
    </xf>
    <xf borderId="1" fillId="0" fontId="1" numFmtId="0" xfId="0" applyAlignment="1" applyBorder="1" applyFont="1">
      <alignment horizontal="left" readingOrder="0" shrinkToFit="0" textRotation="90" vertical="center" wrapText="0"/>
    </xf>
    <xf borderId="1" fillId="0" fontId="1" numFmtId="0" xfId="0" applyAlignment="1" applyBorder="1" applyFon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horizontal="right" shrinkToFit="0" vertical="bottom" wrapText="0"/>
    </xf>
    <xf borderId="0" fillId="2" fontId="2" numFmtId="0" xfId="0" applyAlignment="1" applyFont="1">
      <alignment shrinkToFit="0" vertical="bottom" wrapText="0"/>
    </xf>
    <xf borderId="0" fillId="2" fontId="3" numFmtId="0" xfId="0" applyAlignment="1" applyFont="1">
      <alignment readingOrder="0" shrinkToFit="0" vertical="bottom" wrapText="0"/>
    </xf>
    <xf borderId="1" fillId="2" fontId="1" numFmtId="0" xfId="0" applyAlignment="1" applyBorder="1" applyFont="1">
      <alignment readingOrder="0" shrinkToFit="0" vertical="center" wrapText="0"/>
    </xf>
    <xf borderId="1" fillId="2" fontId="1" numFmtId="0" xfId="0" applyAlignment="1" applyBorder="1" applyFont="1">
      <alignment shrinkToFit="0" vertical="center" wrapText="0"/>
    </xf>
    <xf borderId="0" fillId="2" fontId="1" numFmtId="0" xfId="0" applyAlignment="1" applyFont="1">
      <alignment shrinkToFit="0" vertical="center" wrapText="0"/>
    </xf>
    <xf borderId="0" fillId="0" fontId="2" numFmtId="0" xfId="0" applyAlignment="1" applyFont="1">
      <alignment horizontal="right" shrinkToFit="0" vertical="bottom" wrapText="0"/>
    </xf>
    <xf borderId="0" fillId="0" fontId="3" numFmtId="0" xfId="0" applyAlignment="1" applyFont="1">
      <alignment readingOrder="0" shrinkToFit="0" vertical="bottom"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1" numFmtId="0" xfId="0" applyAlignment="1" applyFont="1">
      <alignment shrinkToFit="0" vertical="center" wrapText="0"/>
    </xf>
    <xf borderId="0" fillId="0" fontId="2" numFmtId="0" xfId="0" applyAlignment="1" applyFont="1">
      <alignment shrinkToFit="0" vertical="bottom" wrapText="0"/>
    </xf>
    <xf borderId="0" fillId="0" fontId="2" numFmtId="0" xfId="0" applyAlignment="1" applyFont="1">
      <alignment shrinkToFit="0" vertical="bottom" wrapText="0"/>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0" fillId="0" fontId="1" numFmtId="0" xfId="0" applyAlignment="1" applyFont="1">
      <alignment shrinkToFit="0" vertical="center" wrapText="0"/>
    </xf>
    <xf borderId="0" fillId="2" fontId="2" numFmtId="0" xfId="0" applyAlignment="1" applyFont="1">
      <alignment shrinkToFit="0" vertical="bottom" wrapText="0"/>
    </xf>
    <xf borderId="0" fillId="0" fontId="2" numFmtId="0" xfId="0" applyAlignment="1" applyFont="1">
      <alignment horizontal="right" shrinkToFit="0" vertical="bottom" wrapText="0"/>
    </xf>
    <xf borderId="0" fillId="0" fontId="3" numFmtId="0" xfId="0" applyAlignment="1" applyFont="1">
      <alignment shrinkToFit="0" vertical="bottom" wrapText="0"/>
    </xf>
    <xf borderId="1" fillId="0" fontId="2" numFmtId="0" xfId="0" applyAlignment="1" applyBorder="1" applyFont="1">
      <alignment readingOrder="0" shrinkToFit="0" vertical="bottom" wrapText="0"/>
    </xf>
    <xf borderId="0" fillId="0" fontId="1" numFmtId="0" xfId="0" applyAlignment="1" applyFont="1">
      <alignment readingOrder="0"/>
    </xf>
    <xf borderId="0" fillId="0" fontId="1" numFmtId="0" xfId="0" applyFont="1"/>
    <xf borderId="0" fillId="0" fontId="3" numFmtId="0" xfId="0" applyAlignment="1" applyFont="1">
      <alignment readingOrder="0" vertical="bottom"/>
    </xf>
    <xf borderId="0" fillId="0" fontId="3" numFmtId="0" xfId="0" applyAlignment="1" applyFont="1">
      <alignment vertical="bottom"/>
    </xf>
    <xf borderId="0" fillId="0" fontId="1" numFmtId="0" xfId="0" applyAlignment="1" applyFont="1">
      <alignment readingOrder="0"/>
    </xf>
    <xf borderId="0" fillId="0" fontId="1" numFmtId="49" xfId="0" applyAlignment="1" applyFont="1" applyNumberFormat="1">
      <alignment readingOrder="0"/>
    </xf>
    <xf borderId="0" fillId="2" fontId="3" numFmtId="0" xfId="0" applyAlignment="1" applyFont="1">
      <alignment readingOrder="0" vertical="bottom"/>
    </xf>
    <xf borderId="0" fillId="2" fontId="3" numFmtId="0" xfId="0" applyAlignment="1" applyFont="1">
      <alignment vertical="bottom"/>
    </xf>
    <xf borderId="0" fillId="3" fontId="2" numFmtId="0" xfId="0" applyAlignment="1" applyFill="1" applyFont="1">
      <alignment horizontal="right" shrinkToFit="0" vertical="bottom" wrapText="0"/>
    </xf>
    <xf borderId="0" fillId="3" fontId="2" numFmtId="0" xfId="0" applyAlignment="1" applyFont="1">
      <alignment shrinkToFit="0" vertical="bottom" wrapText="0"/>
    </xf>
    <xf borderId="0" fillId="3" fontId="3" numFmtId="0" xfId="0" applyAlignment="1" applyFont="1">
      <alignment readingOrder="0" shrinkToFit="0" vertical="bottom" wrapText="0"/>
    </xf>
    <xf borderId="1" fillId="3" fontId="1" numFmtId="0" xfId="0" applyAlignment="1" applyBorder="1" applyFont="1">
      <alignment readingOrder="0" shrinkToFit="0" vertical="center" wrapText="0"/>
    </xf>
    <xf borderId="1" fillId="3" fontId="1" numFmtId="0" xfId="0" applyAlignment="1" applyBorder="1" applyFont="1">
      <alignment shrinkToFit="0" vertical="center" wrapText="0"/>
    </xf>
    <xf borderId="0" fillId="3" fontId="1" numFmtId="0" xfId="0" applyAlignment="1" applyFont="1">
      <alignment shrinkToFit="0" vertical="center" wrapText="0"/>
    </xf>
    <xf borderId="0" fillId="3" fontId="2" numFmtId="0" xfId="0" applyAlignment="1" applyFont="1">
      <alignment horizontal="right" shrinkToFit="0" vertical="bottom" wrapText="0"/>
    </xf>
    <xf borderId="0" fillId="3" fontId="2" numFmtId="0" xfId="0" applyAlignment="1" applyFont="1">
      <alignment shrinkToFit="0" vertical="bottom" wrapText="0"/>
    </xf>
    <xf borderId="0" fillId="0" fontId="3" numFmtId="0" xfId="0" applyAlignment="1" applyFont="1">
      <alignment shrinkToFit="0" vertical="bottom" wrapText="0"/>
    </xf>
    <xf borderId="0" fillId="3" fontId="3" numFmtId="0" xfId="0" applyAlignment="1" applyFont="1">
      <alignment readingOrder="0" vertical="bottom"/>
    </xf>
    <xf borderId="0" fillId="3" fontId="3" numFmtId="0" xfId="0" applyAlignment="1" applyFont="1">
      <alignment vertical="bottom"/>
    </xf>
    <xf borderId="1" fillId="0" fontId="4" numFmtId="0" xfId="0" applyAlignment="1" applyBorder="1" applyFont="1">
      <alignment horizontal="left" readingOrder="0" shrinkToFit="0" textRotation="90" vertical="center" wrapText="0"/>
    </xf>
    <xf borderId="1" fillId="0" fontId="2" numFmtId="0" xfId="0" applyAlignment="1" applyBorder="1" applyFont="1">
      <alignment horizontal="left" readingOrder="0" shrinkToFit="0" textRotation="90" vertical="bottom" wrapText="0"/>
    </xf>
    <xf borderId="1" fillId="0" fontId="2" numFmtId="0" xfId="0" applyAlignment="1" applyBorder="1" applyFont="1">
      <alignment horizontal="left" readingOrder="0" shrinkToFit="0" textRotation="90" vertical="bottom" wrapText="0"/>
    </xf>
    <xf borderId="0" fillId="2" fontId="2" numFmtId="0" xfId="0" applyAlignment="1" applyFont="1">
      <alignment horizontal="right" shrinkToFit="0" vertical="bottom" wrapText="0"/>
    </xf>
    <xf borderId="1" fillId="2" fontId="1" numFmtId="0" xfId="0" applyAlignment="1" applyBorder="1" applyFont="1">
      <alignment shrinkToFit="0" vertical="center" wrapText="0"/>
    </xf>
    <xf borderId="1" fillId="0" fontId="1" numFmtId="0" xfId="0" applyAlignment="1" applyBorder="1" applyFont="1">
      <alignment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bottom" wrapText="0"/>
    </xf>
    <xf borderId="0" fillId="0" fontId="1" numFmtId="0" xfId="0" applyFont="1"/>
    <xf borderId="1" fillId="0" fontId="1" numFmtId="0" xfId="0" applyAlignment="1" applyBorder="1" applyFont="1">
      <alignment horizontal="left" readingOrder="0" shrinkToFit="0" textRotation="90" vertical="center" wrapText="0"/>
    </xf>
    <xf borderId="0" fillId="4" fontId="2" numFmtId="0" xfId="0" applyAlignment="1" applyFill="1" applyFont="1">
      <alignment horizontal="right" shrinkToFit="0" vertical="bottom" wrapText="0"/>
    </xf>
    <xf borderId="0" fillId="4" fontId="2" numFmtId="0" xfId="0" applyAlignment="1" applyFont="1">
      <alignment shrinkToFit="0" vertical="bottom" wrapText="0"/>
    </xf>
    <xf borderId="0" fillId="4" fontId="3" numFmtId="0" xfId="0" applyAlignment="1" applyFont="1">
      <alignment readingOrder="0" shrinkToFit="0" vertical="bottom" wrapText="0"/>
    </xf>
    <xf borderId="1" fillId="4" fontId="1" numFmtId="0" xfId="0" applyAlignment="1" applyBorder="1" applyFont="1">
      <alignment readingOrder="0" shrinkToFit="0" vertical="center" wrapText="0"/>
    </xf>
    <xf borderId="1" fillId="4" fontId="1" numFmtId="0" xfId="0" applyAlignment="1" applyBorder="1" applyFont="1">
      <alignment shrinkToFit="0" vertical="center" wrapText="0"/>
    </xf>
    <xf borderId="0" fillId="4" fontId="1" numFmtId="0" xfId="0" applyAlignment="1" applyFont="1">
      <alignment shrinkToFit="0" vertical="center" wrapText="0"/>
    </xf>
    <xf borderId="0" fillId="4" fontId="3" numFmtId="0" xfId="0" applyAlignment="1" applyFont="1">
      <alignment readingOrder="0" vertical="bottom"/>
    </xf>
    <xf borderId="1" fillId="0" fontId="4" numFmtId="0" xfId="0" applyAlignment="1" applyBorder="1" applyFont="1">
      <alignment horizontal="left" readingOrder="0" shrinkToFit="0" vertical="center" wrapText="0"/>
    </xf>
    <xf quotePrefix="1" borderId="1" fillId="0" fontId="4" numFmtId="0" xfId="0" applyAlignment="1" applyBorder="1" applyFont="1">
      <alignment horizontal="left" readingOrder="0" shrinkToFit="0" vertical="center" wrapText="0"/>
    </xf>
    <xf borderId="1" fillId="0" fontId="1" numFmtId="0" xfId="0" applyAlignment="1" applyBorder="1" applyFont="1">
      <alignment horizontal="left" readingOrder="0" shrinkToFit="0" textRotation="90" vertical="center" wrapText="0"/>
    </xf>
    <xf borderId="1" fillId="0" fontId="1" numFmtId="49" xfId="0" applyAlignment="1" applyBorder="1" applyFont="1" applyNumberFormat="1">
      <alignment horizontal="left" readingOrder="0" shrinkToFit="0" textRotation="90" vertical="center" wrapText="0"/>
    </xf>
    <xf borderId="1" fillId="0" fontId="1" numFmtId="0" xfId="0" applyAlignment="1" applyBorder="1" applyFont="1">
      <alignment horizontal="left" readingOrder="0" shrinkToFit="0" textRotation="90" vertical="center" wrapText="0"/>
    </xf>
    <xf borderId="1" fillId="5" fontId="1" numFmtId="0" xfId="0" applyAlignment="1" applyBorder="1" applyFill="1" applyFont="1">
      <alignment shrinkToFit="0" vertical="center" wrapText="0"/>
    </xf>
    <xf borderId="1" fillId="5" fontId="3" numFmtId="0" xfId="0" applyAlignment="1" applyBorder="1" applyFont="1">
      <alignment shrinkToFit="0" vertical="bottom" wrapText="0"/>
    </xf>
    <xf borderId="1" fillId="5" fontId="2" numFmtId="0" xfId="0" applyAlignment="1" applyBorder="1" applyFont="1">
      <alignment shrinkToFit="0" vertical="bottom" wrapText="0"/>
    </xf>
    <xf borderId="1" fillId="5" fontId="3" numFmtId="0" xfId="0" applyAlignment="1" applyBorder="1" applyFont="1">
      <alignment readingOrder="0" shrinkToFit="0" vertical="bottom" wrapText="0"/>
    </xf>
    <xf borderId="1" fillId="5" fontId="1" numFmtId="0" xfId="0" applyAlignment="1" applyBorder="1" applyFont="1">
      <alignment readingOrder="0" shrinkToFit="0" vertical="center" wrapText="0"/>
    </xf>
    <xf borderId="0" fillId="5" fontId="1" numFmtId="0" xfId="0" applyAlignment="1" applyFont="1">
      <alignment shrinkToFit="0" vertical="center" wrapText="0"/>
    </xf>
    <xf borderId="1" fillId="2" fontId="3" numFmtId="0" xfId="0" applyAlignment="1" applyBorder="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readingOrder="0" shrinkToFit="0" vertical="bottom" wrapText="0"/>
    </xf>
    <xf borderId="1" fillId="0" fontId="3" numFmtId="0" xfId="0" applyAlignment="1" applyBorder="1" applyFont="1">
      <alignment shrinkToFit="0" vertical="bottom" wrapText="0"/>
    </xf>
    <xf borderId="1" fillId="0" fontId="2" numFmtId="0" xfId="0" applyAlignment="1" applyBorder="1" applyFont="1">
      <alignment shrinkToFit="0" vertical="bottom" wrapText="0"/>
    </xf>
    <xf borderId="1" fillId="0" fontId="3" numFmtId="0" xfId="0" applyAlignment="1" applyBorder="1" applyFont="1">
      <alignment readingOrder="0" shrinkToFit="0" vertical="bottom" wrapText="0"/>
    </xf>
    <xf borderId="1" fillId="0" fontId="3" numFmtId="0" xfId="0" applyAlignment="1" applyBorder="1" applyFont="1">
      <alignment shrinkToFit="0" vertical="bottom" wrapText="0"/>
    </xf>
    <xf borderId="1" fillId="0" fontId="2" numFmtId="0" xfId="0" applyAlignment="1" applyBorder="1" applyFont="1">
      <alignment shrinkToFit="0" vertical="bottom" wrapText="0"/>
    </xf>
    <xf borderId="0" fillId="0" fontId="4" numFmtId="0" xfId="0" applyFont="1"/>
    <xf borderId="0" fillId="0" fontId="4" numFmtId="0" xfId="0" applyAlignment="1" applyFont="1">
      <alignment readingOrder="0"/>
    </xf>
    <xf borderId="0" fillId="0" fontId="5" numFmtId="0" xfId="0" applyAlignment="1" applyFont="1">
      <alignment readingOrder="0"/>
    </xf>
    <xf borderId="0" fillId="0" fontId="1" numFmtId="0" xfId="0" applyAlignment="1" applyFont="1">
      <alignment shrinkToFit="0" wrapText="0"/>
    </xf>
    <xf borderId="0" fillId="0" fontId="4" numFmtId="0" xfId="0" applyAlignment="1" applyFont="1">
      <alignment shrinkToFit="0" wrapText="0"/>
    </xf>
    <xf borderId="0" fillId="0" fontId="5" numFmtId="0" xfId="0" applyAlignment="1" applyFont="1">
      <alignment readingOrder="0" shrinkToFit="0" wrapText="0"/>
    </xf>
    <xf borderId="1" fillId="0" fontId="3" numFmtId="1" xfId="0" applyAlignment="1" applyBorder="1" applyFont="1" applyNumberFormat="1">
      <alignment shrinkToFit="0" vertical="bottom" wrapText="0"/>
    </xf>
    <xf borderId="1" fillId="0" fontId="1" numFmtId="1" xfId="0" applyAlignment="1" applyBorder="1" applyFont="1" applyNumberFormat="1">
      <alignment readingOrder="0" shrinkToFit="0" vertical="center" wrapText="0"/>
    </xf>
    <xf borderId="1" fillId="0" fontId="1" numFmtId="1" xfId="0" applyAlignment="1" applyBorder="1" applyFont="1" applyNumberFormat="1">
      <alignment shrinkToFit="0" vertical="center" wrapText="0"/>
    </xf>
    <xf borderId="0" fillId="0" fontId="1" numFmtId="0" xfId="0" applyAlignment="1" applyFont="1">
      <alignment readingOrder="0" shrinkToFit="0" vertical="center" wrapText="0"/>
    </xf>
  </cellXfs>
  <cellStyles count="1">
    <cellStyle xfId="0" name="Normal" builtinId="0"/>
  </cellStyles>
  <dxfs count="7">
    <dxf>
      <font/>
      <fill>
        <patternFill patternType="none"/>
      </fill>
      <border/>
    </dxf>
    <dxf>
      <font/>
      <fill>
        <patternFill patternType="solid">
          <fgColor rgb="FF008FFF"/>
          <bgColor rgb="FF008FFF"/>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008FFF"/>
        </left>
        <right style="thin">
          <color rgb="FF008FFF"/>
        </right>
        <top style="thin">
          <color rgb="FF008FFF"/>
        </top>
        <bottom style="thin">
          <color rgb="FF008FFF"/>
        </bottom>
      </border>
    </dxf>
    <dxf>
      <font/>
      <fill>
        <patternFill patternType="solid">
          <fgColor rgb="FF535FC1"/>
          <bgColor rgb="FF535FC1"/>
        </patternFill>
      </fill>
      <border/>
    </dxf>
    <dxf>
      <font/>
      <fill>
        <patternFill patternType="solid">
          <fgColor rgb="FF4A568D"/>
          <bgColor rgb="FF4A568D"/>
        </patternFill>
      </fill>
      <border/>
    </dxf>
  </dxfs>
  <tableStyles count="16">
    <tableStyle count="4" pivot="0" name="Semi 1-style">
      <tableStyleElement dxfId="1" type="headerRow"/>
      <tableStyleElement dxfId="2" type="firstRowStripe"/>
      <tableStyleElement dxfId="3" type="secondRowStripe"/>
      <tableStyleElement dxfId="4" size="0" type="wholeTable"/>
    </tableStyle>
    <tableStyle count="2" pivot="0" name="Semi 1-style 2">
      <tableStyleElement dxfId="2" type="firstRowStripe"/>
      <tableStyleElement dxfId="3" type="secondRowStripe"/>
    </tableStyle>
    <tableStyle count="2" pivot="0" name="Semi 1-style 3">
      <tableStyleElement dxfId="2" type="firstRowStripe"/>
      <tableStyleElement dxfId="3" type="secondRowStripe"/>
    </tableStyle>
    <tableStyle count="4" pivot="0" name="Semi 2-style">
      <tableStyleElement dxfId="5" type="headerRow"/>
      <tableStyleElement dxfId="2" type="firstRowStripe"/>
      <tableStyleElement dxfId="3" type="secondRowStripe"/>
      <tableStyleElement dxfId="4" size="0" type="wholeTable"/>
    </tableStyle>
    <tableStyle count="2" pivot="0" name="Semi 2-style 2">
      <tableStyleElement dxfId="2" type="firstRowStripe"/>
      <tableStyleElement dxfId="3" type="secondRowStripe"/>
    </tableStyle>
    <tableStyle count="2" pivot="0" name="Semi 2-style 3">
      <tableStyleElement dxfId="2" type="firstRowStripe"/>
      <tableStyleElement dxfId="3" type="secondRowStripe"/>
    </tableStyle>
    <tableStyle count="4" pivot="0" name="Semi 1 RJ-style">
      <tableStyleElement dxfId="1" type="headerRow"/>
      <tableStyleElement dxfId="2" type="firstRowStripe"/>
      <tableStyleElement dxfId="3" type="secondRowStripe"/>
      <tableStyleElement dxfId="4" size="0" type="wholeTable"/>
    </tableStyle>
    <tableStyle count="2" pivot="0" name="Semi 1 RJ-style 2">
      <tableStyleElement dxfId="2" type="firstRowStripe"/>
      <tableStyleElement dxfId="3" type="secondRowStripe"/>
    </tableStyle>
    <tableStyle count="2" pivot="0" name="Semi 1 RJ-style 3">
      <tableStyleElement dxfId="2" type="firstRowStripe"/>
      <tableStyleElement dxfId="3" type="secondRowStripe"/>
    </tableStyle>
    <tableStyle count="4" pivot="0" name="Semi 2 RJ-style">
      <tableStyleElement dxfId="6" type="headerRow"/>
      <tableStyleElement dxfId="2" type="firstRowStripe"/>
      <tableStyleElement dxfId="3" type="secondRowStripe"/>
      <tableStyleElement dxfId="4" size="0" type="wholeTable"/>
    </tableStyle>
    <tableStyle count="2" pivot="0" name="Semi 2 RJ-style 2">
      <tableStyleElement dxfId="2" type="firstRowStripe"/>
      <tableStyleElement dxfId="3" type="secondRowStripe"/>
    </tableStyle>
    <tableStyle count="2" pivot="0" name="Semi 2 RJ-style 3">
      <tableStyleElement dxfId="2" type="firstRowStripe"/>
      <tableStyleElement dxfId="3" type="secondRowStripe"/>
    </tableStyle>
    <tableStyle count="2" pivot="0" name="Semi 2 RJ-style 4">
      <tableStyleElement dxfId="2" type="firstRowStripe"/>
      <tableStyleElement dxfId="3" type="secondRowStripe"/>
    </tableStyle>
    <tableStyle count="4" pivot="0" name="Final-style">
      <tableStyleElement dxfId="5" type="headerRow"/>
      <tableStyleElement dxfId="2" type="firstRowStripe"/>
      <tableStyleElement dxfId="3" type="secondRowStripe"/>
      <tableStyleElement dxfId="4" size="0" type="wholeTable"/>
    </tableStyle>
    <tableStyle count="4" pivot="0" name="results show-style">
      <tableStyleElement dxfId="5" type="headerRow"/>
      <tableStyleElement dxfId="2" type="firstRowStripe"/>
      <tableStyleElement dxfId="3" type="secondRowStripe"/>
      <tableStyleElement dxfId="4" size="0" type="wholeTable"/>
    </tableStyle>
    <tableStyle count="4" pivot="0" name="Waiting List-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28" displayName="Table_sf1" name="Table_sf1" id="1">
  <tableColumns count="40">
    <tableColumn name="W" id="1"/>
    <tableColumn name="Column 40" id="2"/>
    <tableColumn name="Nation" id="3"/>
    <tableColumn name="Adamsburg" id="4"/>
    <tableColumn name="Calypso" id="5"/>
    <tableColumn name="Dwyforland" id="6"/>
    <tableColumn name="Endórë" id="7"/>
    <tableColumn name="Fervorosia" id="8"/>
    <tableColumn name="Fierraria" id="9"/>
    <tableColumn name="Grand Duchy of Strenci" id="10"/>
    <tableColumn name="Griffin Empire" id="11"/>
    <tableColumn name="Halito" id="12"/>
    <tableColumn name="Kimmystan" id="13"/>
    <tableColumn name="Kordavian Islands" id="14"/>
    <tableColumn name="Marcobia" id="15"/>
    <tableColumn name="MatiMati" id="16"/>
    <tableColumn name="Meridia" id="17"/>
    <tableColumn name="Orsa" id="18"/>
    <tableColumn name="Rehi Kaita" id="19"/>
    <tableColumn name="Roxma Nova" id="20"/>
    <tableColumn name="Sakuralia" id="21"/>
    <tableColumn name="Svobodnia" id="22"/>
    <tableColumn name="Szimbaya Kingdom" id="23"/>
    <tableColumn name="Tanoiro" id="24"/>
    <tableColumn name="Ugaly" id="25"/>
    <tableColumn name="Vermilion" id="26"/>
    <tableColumn name="Xochimilia" id="27"/>
    <tableColumn name="Zombira" id="28"/>
    <tableColumn name="Dež Republic" id="29"/>
    <tableColumn name="Tcher-Racoi" id="30"/>
    <tableColumn name="Södermalm" id="31"/>
    <tableColumn name="Column 32" id="32"/>
    <tableColumn name="Sum" id="33"/>
    <tableColumn name="Rank" id="34"/>
    <tableColumn name="Voters" id="35"/>
    <tableColumn name="12s" id="36"/>
    <tableColumn name="10s" id="37"/>
    <tableColumn name="8s" id="38"/>
    <tableColumn name="Tiebreaker f" id="39"/>
    <tableColumn name="RANK TIEBREAK" id="40"/>
  </tableColumns>
  <tableStyleInfo name="Semi 1-style" showColumnStripes="0" showFirstColumn="1" showLastColumn="1" showRowStripes="1"/>
</table>
</file>

<file path=xl/tables/table2.xml><?xml version="1.0" encoding="utf-8"?>
<table xmlns="http://schemas.openxmlformats.org/spreadsheetml/2006/main" headerRowCount="0" ref="AH31:AK45" displayName="Table_1" name="Table_1" id="2">
  <tableColumns count="4">
    <tableColumn name="Column1" id="1"/>
    <tableColumn name="Column2" id="2"/>
    <tableColumn name="Column3" id="3"/>
    <tableColumn name="Column4" id="4"/>
  </tableColumns>
  <tableStyleInfo name="Semi 1-style 2" showColumnStripes="0" showFirstColumn="1" showLastColumn="1" showRowStripes="1"/>
</table>
</file>

<file path=xl/tables/table3.xml><?xml version="1.0" encoding="utf-8"?>
<table xmlns="http://schemas.openxmlformats.org/spreadsheetml/2006/main" headerRowCount="0" ref="AH51:AK75" displayName="Table_2" name="Table_2" id="3">
  <tableColumns count="4">
    <tableColumn name="Column1" id="1"/>
    <tableColumn name="Column2" id="2"/>
    <tableColumn name="Column3" id="3"/>
    <tableColumn name="Column4" id="4"/>
  </tableColumns>
  <tableStyleInfo name="Semi 1-style 3" showColumnStripes="0" showFirstColumn="1" showLastColumn="1" showRowStripes="1"/>
</table>
</file>

<file path=xl/tables/table4.xml><?xml version="1.0" encoding="utf-8"?>
<table xmlns="http://schemas.openxmlformats.org/spreadsheetml/2006/main" ref="A1:AO28" displayName="Table1" name="Table1" id="4">
  <tableColumns count="41">
    <tableColumn name="Score" id="1"/>
    <tableColumn name="Column 41" id="2"/>
    <tableColumn name="Nation" id="3"/>
    <tableColumn name="Aimulli" id="4"/>
    <tableColumn name="Balearica Island" id="5"/>
    <tableColumn name="Begonia" id="6"/>
    <tableColumn name="Biflovatia" id="7"/>
    <tableColumn name="Carpentaria" id="8"/>
    <tableColumn name="Comino" id="9"/>
    <tableColumn name="Cydoni-Gibberia" id="10"/>
    <tableColumn name="Dalisska" id="11"/>
    <tableColumn name="Doire" id="12"/>
    <tableColumn name="Emsfrynt" id="13"/>
    <tableColumn name="Insomnéa" id="14"/>
    <tableColumn name="Inzinimirit" id="15"/>
    <tableColumn name="Kamandé" id="16"/>
    <tableColumn name="New Acadia" id="17"/>
    <tableColumn name="Papendink" id="18"/>
    <tableColumn name="Perryfornia" id="19"/>
    <tableColumn name="Redwood Republic" id="20"/>
    <tableColumn name="Reym-L-Dneurb" id="21"/>
    <tableColumn name="Roseland" id="22"/>
    <tableColumn name="Rumia" id="23"/>
    <tableColumn name="Tamausia &amp; Deltannor" id="24"/>
    <tableColumn name="Tir an Abhainn" id="25"/>
    <tableColumn name="Trollheimr" id="26"/>
    <tableColumn name="United Kingdom of Destrion" id="27"/>
    <tableColumn name="Yaponesia" id="28"/>
    <tableColumn name="Öösingimäed" id="29"/>
    <tableColumn name="Waiting Iist of Shelley &amp; Nici" id="30"/>
    <tableColumn name="Vylkuzeme" id="31"/>
    <tableColumn name="New Bander State" id="32"/>
    <tableColumn name="Column 33" id="33"/>
    <tableColumn name="POINTS" id="34"/>
    <tableColumn name="Rank" id="35"/>
    <tableColumn name="Voters" id="36"/>
    <tableColumn name="12s" id="37"/>
    <tableColumn name="10s" id="38"/>
    <tableColumn name="8s" id="39"/>
    <tableColumn name="Tiebreaker f" id="40"/>
    <tableColumn name="RANK TIEBREAK" id="41"/>
  </tableColumns>
  <tableStyleInfo name="Semi 2-style" showColumnStripes="0" showFirstColumn="1" showLastColumn="1" showRowStripes="1"/>
</table>
</file>

<file path=xl/tables/table5.xml><?xml version="1.0" encoding="utf-8"?>
<table xmlns="http://schemas.openxmlformats.org/spreadsheetml/2006/main" headerRowCount="0" ref="AI33:AK48" displayName="Table_3" name="Table_3" id="5">
  <tableColumns count="3">
    <tableColumn name="Column1" id="1"/>
    <tableColumn name="Column2" id="2"/>
    <tableColumn name="Column3" id="3"/>
  </tableColumns>
  <tableStyleInfo name="Semi 2-style 2" showColumnStripes="0" showFirstColumn="1" showLastColumn="1" showRowStripes="1"/>
</table>
</file>

<file path=xl/tables/table6.xml><?xml version="1.0" encoding="utf-8"?>
<table xmlns="http://schemas.openxmlformats.org/spreadsheetml/2006/main" headerRowCount="0" ref="AI52:AL77" displayName="Table_4" name="Table_4" id="6">
  <tableColumns count="4">
    <tableColumn name="Column1" id="1"/>
    <tableColumn name="Column2" id="2"/>
    <tableColumn name="Column3" id="3"/>
    <tableColumn name="Column4" id="4"/>
  </tableColumns>
  <tableStyleInfo name="Semi 2-style 3" showColumnStripes="0" showFirstColumn="1" showLastColumn="1" showRowStripes="1"/>
</table>
</file>

<file path=xl/tables/table7.xml><?xml version="1.0" encoding="utf-8"?>
<table xmlns="http://schemas.openxmlformats.org/spreadsheetml/2006/main" ref="A1:AN28" displayName="Table_sf1_2" name="Table_sf1_2" id="7">
  <tableColumns count="40">
    <tableColumn name="Score" id="1"/>
    <tableColumn name="Column 40" id="2"/>
    <tableColumn name="Nation" id="3"/>
    <tableColumn name="6 points" id="4"/>
    <tableColumn name="WSN" id="5"/>
    <tableColumn name="Roseland" id="6"/>
    <tableColumn name="Reym-L-Dneurb" id="7"/>
    <tableColumn name="Dalisska" id="8"/>
    <tableColumn name="Papendink" id="9"/>
    <tableColumn name="Cydoni-Gibberia" id="10"/>
    <tableColumn name="New Bander State" id="11"/>
    <tableColumn name="Trollheimr" id="12"/>
    <tableColumn name="Doire" id="13"/>
    <tableColumn name="Yaponesia" id="14"/>
    <tableColumn name="Rumia" id="15"/>
    <tableColumn name="Column 16" id="16"/>
    <tableColumn name="Column 17" id="17"/>
    <tableColumn name="Column 18" id="18"/>
    <tableColumn name="Column 19" id="19"/>
    <tableColumn name="Column 20" id="20"/>
    <tableColumn name="Column 21" id="21"/>
    <tableColumn name="Column 21 2" id="22"/>
    <tableColumn name="Column 22" id="23"/>
    <tableColumn name="Column 23" id="24"/>
    <tableColumn name="Column 24" id="25"/>
    <tableColumn name="Column 25" id="26"/>
    <tableColumn name="Column 26" id="27"/>
    <tableColumn name="Column 27" id="28"/>
    <tableColumn name="Column 28" id="29"/>
    <tableColumn name="Column 29" id="30"/>
    <tableColumn name="Column 30" id="31"/>
    <tableColumn name="Sum" id="32"/>
    <tableColumn name="Rank" id="33"/>
    <tableColumn name="Voters" id="34"/>
    <tableColumn name="12s" id="35"/>
    <tableColumn name="10s" id="36"/>
    <tableColumn name="8s" id="37"/>
    <tableColumn name="Tiebreaker f" id="38"/>
    <tableColumn name="RANK TIEBREAK" id="39"/>
    <tableColumn name="Column 39" id="40"/>
  </tableColumns>
  <tableStyleInfo name="Semi 1 RJ-style" showColumnStripes="0" showFirstColumn="1" showLastColumn="1" showRowStripes="1"/>
</table>
</file>

<file path=xl/tables/table8.xml><?xml version="1.0" encoding="utf-8"?>
<table xmlns="http://schemas.openxmlformats.org/spreadsheetml/2006/main" headerRowCount="0" ref="AG41:AI65" displayName="Table_5" name="Table_5" id="8">
  <tableColumns count="3">
    <tableColumn name="Column1" id="1"/>
    <tableColumn name="Column2" id="2"/>
    <tableColumn name="Column3" id="3"/>
  </tableColumns>
  <tableStyleInfo name="Semi 1 RJ-style 2" showColumnStripes="0" showFirstColumn="1" showLastColumn="1" showRowStripes="1"/>
</table>
</file>

<file path=xl/tables/table9.xml><?xml version="1.0" encoding="utf-8"?>
<table xmlns="http://schemas.openxmlformats.org/spreadsheetml/2006/main" headerRowCount="0" ref="AE42:AE51" displayName="Table_6" name="Table_6" id="9">
  <tableColumns count="1">
    <tableColumn name="Column1" id="1"/>
  </tableColumns>
  <tableStyleInfo name="Semi 1 RJ-style 3" showColumnStripes="0" showFirstColumn="1" showLastColumn="1" showRowStripes="1"/>
</table>
</file>

<file path=xl/tables/table10.xml><?xml version="1.0" encoding="utf-8"?>
<table xmlns="http://schemas.openxmlformats.org/spreadsheetml/2006/main" ref="A1:AM28" displayName="Table1_2" name="Table1_2" id="10">
  <autoFilter ref="$A$1:$AM$28"/>
  <tableColumns count="39">
    <tableColumn name="Score" id="1"/>
    <tableColumn name="Column 39" id="2"/>
    <tableColumn name="Nation" id="3"/>
    <tableColumn name="6 points" id="4"/>
    <tableColumn name="Dez Reublic" id="5"/>
    <tableColumn name="Dwyforland" id="6"/>
    <tableColumn name="Szimbaya Kingdom" id="7"/>
    <tableColumn name="Marcobia" id="8"/>
    <tableColumn name="Ugaly" id="9"/>
    <tableColumn name="Kimmystan" id="10"/>
    <tableColumn name="Tanoiro" id="11"/>
    <tableColumn name="Fervorosia" id="12"/>
    <tableColumn name="Kordavian Islands" id="13"/>
    <tableColumn name="Orsa" id="14"/>
    <tableColumn name="Svobodnia" id="15"/>
    <tableColumn name="Roxma Nova" id="16"/>
    <tableColumn name="Calypso" id="17"/>
    <tableColumn name="Column 18" id="18"/>
    <tableColumn name="Column 19" id="19"/>
    <tableColumn name="Column 20" id="20"/>
    <tableColumn name="Column 21" id="21"/>
    <tableColumn name="Column 22" id="22"/>
    <tableColumn name="Column 23" id="23"/>
    <tableColumn name="Column 24" id="24"/>
    <tableColumn name="Column 25" id="25"/>
    <tableColumn name="Column 26" id="26"/>
    <tableColumn name="Column 27" id="27"/>
    <tableColumn name="Column 28" id="28"/>
    <tableColumn name="Column 29" id="29"/>
    <tableColumn name="Column 30" id="30"/>
    <tableColumn name="Column 31" id="31"/>
    <tableColumn name="Sum" id="32"/>
    <tableColumn name="Rank" id="33"/>
    <tableColumn name="Voters" id="34"/>
    <tableColumn name="12s" id="35"/>
    <tableColumn name="10s" id="36"/>
    <tableColumn name="8s" id="37"/>
    <tableColumn name="Tiebreaker f" id="38"/>
    <tableColumn name="RANK TIEBREAK" id="39"/>
  </tableColumns>
  <tableStyleInfo name="Semi 2 RJ-style" showColumnStripes="0" showFirstColumn="1" showLastColumn="1" showRowStripes="1"/>
</table>
</file>

<file path=xl/tables/table11.xml><?xml version="1.0" encoding="utf-8"?>
<table xmlns="http://schemas.openxmlformats.org/spreadsheetml/2006/main" headerRowCount="0" ref="AG33:AG58" displayName="Table_7" name="Table_7" id="11">
  <tableColumns count="1">
    <tableColumn name="Column1" id="1"/>
  </tableColumns>
  <tableStyleInfo name="Semi 2 RJ-style 2" showColumnStripes="0" showFirstColumn="1" showLastColumn="1" showRowStripes="1"/>
</table>
</file>

<file path=xl/tables/table12.xml><?xml version="1.0" encoding="utf-8"?>
<table xmlns="http://schemas.openxmlformats.org/spreadsheetml/2006/main" headerRowCount="0" ref="AH33:AI58" displayName="Table_8" name="Table_8" id="12">
  <tableColumns count="2">
    <tableColumn name="Column1" id="1"/>
    <tableColumn name="Column2" id="2"/>
  </tableColumns>
  <tableStyleInfo name="Semi 2 RJ-style 3" showColumnStripes="0" showFirstColumn="1" showLastColumn="1" showRowStripes="1"/>
</table>
</file>

<file path=xl/tables/table13.xml><?xml version="1.0" encoding="utf-8"?>
<table xmlns="http://schemas.openxmlformats.org/spreadsheetml/2006/main" headerRowCount="0" ref="AD34:AD43" displayName="Table_9" name="Table_9" id="13">
  <tableColumns count="1">
    <tableColumn name="Column1" id="1"/>
  </tableColumns>
  <tableStyleInfo name="Semi 2 RJ-style 4" showColumnStripes="0" showFirstColumn="1" showLastColumn="1" showRowStripes="1"/>
</table>
</file>

<file path=xl/tables/table14.xml><?xml version="1.0" encoding="utf-8"?>
<table xmlns="http://schemas.openxmlformats.org/spreadsheetml/2006/main" ref="A1:BU29" displayName="Table1_3" name="Table1_3" id="14">
  <tableColumns count="73">
    <tableColumn name="Draw res" id="1"/>
    <tableColumn name="Pts" id="2"/>
    <tableColumn name="Res" id="3"/>
    <tableColumn name="CURR VOTER" id="4"/>
    <tableColumn name="s votes have been counted as follows:" id="5"/>
    <tableColumn name="Waiting Iist of Shelley &amp; Nici" id="6"/>
    <tableColumn name="Dez Republic" id="7"/>
    <tableColumn name="Balearica Island" id="8"/>
    <tableColumn name="Roseland]" id="9"/>
    <tableColumn name="Szimbaya Kingdom" id="10"/>
    <tableColumn name="Svobodnia" id="11"/>
    <tableColumn name="Meridia" id="12"/>
    <tableColumn name="Sakuralia" id="13"/>
    <tableColumn name="Halito" id="14"/>
    <tableColumn name="Comino" id="15"/>
    <tableColumn name="Dalisska" id="16"/>
    <tableColumn name="Kamande" id="17"/>
    <tableColumn name="Griffin Empire" id="18"/>
    <tableColumn name="Kimmystan" id="19"/>
    <tableColumn name="Fierraria" id="20"/>
    <tableColumn name="Tamausia &amp; Deltannor" id="21"/>
    <tableColumn name="Emsfrynt" id="22"/>
    <tableColumn name="Sodermalm" id="23"/>
    <tableColumn name="Dwyforland" id="24"/>
    <tableColumn name="Tcher-Racoi" id="25"/>
    <tableColumn name="Kordavian Islands" id="26"/>
    <tableColumn name="Rumia" id="27"/>
    <tableColumn name="Grand Duchy of Strenci" id="28"/>
    <tableColumn name="Aimulli" id="29"/>
    <tableColumn name="RLD" id="30"/>
    <tableColumn name="Yaponesia" id="31"/>
    <tableColumn name="Begonia" id="32"/>
    <tableColumn name="New Acadia" id="33"/>
    <tableColumn name="Ugaly" id="34"/>
    <tableColumn name="Cydoni-Gibberia" id="35"/>
    <tableColumn name="Papendink" id="36"/>
    <tableColumn name="Adamsburg" id="37"/>
    <tableColumn name="Marcobia" id="38"/>
    <tableColumn name="Tanoiro" id="39"/>
    <tableColumn name="Roxma Nova" id="40"/>
    <tableColumn name="MatiMati" id="41"/>
    <tableColumn name="Xochimilia" id="42"/>
    <tableColumn name="Tir an Abhainn" id="43"/>
    <tableColumn name="Rehi Kaita" id="44"/>
    <tableColumn name="New Bander State" id="45"/>
    <tableColumn name="Inzinimirit" id="46"/>
    <tableColumn name="Redwood Republic" id="47"/>
    <tableColumn name="Fervorosia" id="48"/>
    <tableColumn name="Vylkuzeme" id="49"/>
    <tableColumn name="Trollheimr" id="50"/>
    <tableColumn name="Insomnea" id="51"/>
    <tableColumn name="Carpentaria" id="52"/>
    <tableColumn name="Oosingimaed" id="53"/>
    <tableColumn name="Doire" id="54"/>
    <tableColumn name="Orsa" id="55"/>
    <tableColumn name="Zombira" id="56"/>
    <tableColumn name="Calypso" id="57"/>
    <tableColumn name="Biflovatia" id="58"/>
    <tableColumn name="Endórë" id="59"/>
    <tableColumn name="Perryfornia" id="60"/>
    <tableColumn name="Column 61" id="61"/>
    <tableColumn name="Column 62" id="62"/>
    <tableColumn name="Column 63" id="63"/>
    <tableColumn name="Column 64" id="64"/>
    <tableColumn name="WAITING LIST" id="65"/>
    <tableColumn name="Sum" id="66"/>
    <tableColumn name="Rank" id="67"/>
    <tableColumn name="Voters" id="68"/>
    <tableColumn name="12s" id="69"/>
    <tableColumn name="10s" id="70"/>
    <tableColumn name="8s" id="71"/>
    <tableColumn name="Tiebreaker f" id="72"/>
    <tableColumn name="RANK TIEBREAK" id="73"/>
  </tableColumns>
  <tableStyleInfo name="Final-style" showColumnStripes="0" showFirstColumn="1" showLastColumn="1" showRowStripes="1"/>
</table>
</file>

<file path=xl/tables/table15.xml><?xml version="1.0" encoding="utf-8"?>
<table xmlns="http://schemas.openxmlformats.org/spreadsheetml/2006/main" ref="A1:BU29" displayName="Table1_5" name="Table1_5" id="15">
  <tableColumns count="73">
    <tableColumn name="Draw res" id="1"/>
    <tableColumn name="Pts" id="2"/>
    <tableColumn name="Res" id="3"/>
    <tableColumn name="CURR VOTER" id="4"/>
    <tableColumn name="s votes have been counted as follows:" id="5"/>
    <tableColumn name="Waiting Iist of Shelley &amp; Nici" id="6"/>
    <tableColumn name="Dež Republic" id="7"/>
    <tableColumn name="Balearica Island" id="8"/>
    <tableColumn name="Roseland" id="9"/>
    <tableColumn name="Szimbaya Kingdom" id="10"/>
    <tableColumn name="Svobodnia" id="11"/>
    <tableColumn name="Meridia" id="12"/>
    <tableColumn name="Adamsburg" id="13"/>
    <tableColumn name="Öösingimäed" id="14"/>
    <tableColumn name="Trollheimr" id="15"/>
    <tableColumn name="Halito" id="16"/>
    <tableColumn name="Comino" id="17"/>
    <tableColumn name="Redwood Republic" id="18"/>
    <tableColumn name="Tír an Abhainn" id="19"/>
    <tableColumn name="Dalisska" id="20"/>
    <tableColumn name="Kamandé" id="21"/>
    <tableColumn name="Griffin Empire" id="22"/>
    <tableColumn name="Fierraria" id="23"/>
    <tableColumn name="New Acadia" id="24"/>
    <tableColumn name="Emsfrynt" id="25"/>
    <tableColumn name="Sodermalm" id="26"/>
    <tableColumn name="Dwyforland" id="27"/>
    <tableColumn name="Marcobia" id="28"/>
    <tableColumn name="Rumia" id="29"/>
    <tableColumn name="Vylkuzeme" id="30"/>
    <tableColumn name="Grand Duchy of Strenci" id="31"/>
    <tableColumn name="Aimūlli" id="32"/>
    <tableColumn name="Reym-L-Dneurb" id="33"/>
    <tableColumn name="Yaponesia" id="34"/>
    <tableColumn name="Begonia" id="35"/>
    <tableColumn name="Sakuralia" id="36"/>
    <tableColumn name="Ugaly" id="37"/>
    <tableColumn name="Papendink" id="38"/>
    <tableColumn name="Kimmystan" id="39"/>
    <tableColumn name="Roxma Nova" id="40"/>
    <tableColumn name="Cydoni-Gibberia" id="41"/>
    <tableColumn name="MatiMati" id="42"/>
    <tableColumn name="Xochimilia" id="43"/>
    <tableColumn name="Rehi Kaita" id="44"/>
    <tableColumn name="New Bander State" id="45"/>
    <tableColumn name="Zombira" id="46"/>
    <tableColumn name="Tanoiro" id="47"/>
    <tableColumn name="Kordavian Islands" id="48"/>
    <tableColumn name="Inzinimirit" id="49"/>
    <tableColumn name="Fervorosia" id="50"/>
    <tableColumn name="Insomnea" id="51"/>
    <tableColumn name="Carpentaria" id="52"/>
    <tableColumn name="Doire" id="53"/>
    <tableColumn name="Orsa" id="54"/>
    <tableColumn name="Tcher-Racoi" id="55"/>
    <tableColumn name="Calypso" id="56"/>
    <tableColumn name="Biflovatia" id="57"/>
    <tableColumn name="Tamausia &amp; Deltannor" id="58"/>
    <tableColumn name="Endórë" id="59"/>
    <tableColumn name="Perryfornia" id="60"/>
    <tableColumn name="Column 61" id="61"/>
    <tableColumn name="Column 62" id="62"/>
    <tableColumn name="Column 63" id="63"/>
    <tableColumn name="Column 64" id="64"/>
    <tableColumn name="WAITING LIST" id="65"/>
    <tableColumn name="Sum" id="66"/>
    <tableColumn name="Rank" id="67"/>
    <tableColumn name="Voters" id="68"/>
    <tableColumn name="12s" id="69"/>
    <tableColumn name="10s" id="70"/>
    <tableColumn name="8s" id="71"/>
    <tableColumn name="Tiebreaker f" id="72"/>
    <tableColumn name="RANK TIEBREAK" id="73"/>
  </tableColumns>
  <tableStyleInfo name="results show-style" showColumnStripes="0" showFirstColumn="1" showLastColumn="1" showRowStripes="1"/>
</table>
</file>

<file path=xl/tables/table16.xml><?xml version="1.0" encoding="utf-8"?>
<table xmlns="http://schemas.openxmlformats.org/spreadsheetml/2006/main" ref="A1:V29" displayName="Table1_4" name="Table1_4" id="16">
  <tableColumns count="22">
    <tableColumn name="Draw res" id="1"/>
    <tableColumn name="Pts" id="2"/>
    <tableColumn name="Res" id="3"/>
    <tableColumn name="Draw" id="4"/>
    <tableColumn name="Nation" id="5"/>
    <tableColumn name="Column 6" id="6"/>
    <tableColumn name="Column 7" id="7"/>
    <tableColumn name="Column 8" id="8"/>
    <tableColumn name="Column 9" id="9"/>
    <tableColumn name="Column 10" id="10"/>
    <tableColumn name="Column 11" id="11"/>
    <tableColumn name="Column 12" id="12"/>
    <tableColumn name="Column 13" id="13"/>
    <tableColumn name="Sum" id="14"/>
    <tableColumn name="Rank" id="15"/>
    <tableColumn name="Voters" id="16"/>
    <tableColumn name="12s" id="17"/>
    <tableColumn name="10s" id="18"/>
    <tableColumn name="8s" id="19"/>
    <tableColumn name="HIGHER SCORE" id="20"/>
    <tableColumn name="Tiebreaker f" id="21"/>
    <tableColumn name="RANK TIEBREAK" id="22"/>
  </tableColumns>
  <tableStyleInfo name="Waiting Li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A86E8"/>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13.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63"/>
    <col customWidth="1" min="2" max="2" width="14.5"/>
    <col customWidth="1" min="3" max="3" width="18.5"/>
    <col customWidth="1" min="4" max="32" width="5.5"/>
    <col customWidth="1" min="33" max="33" width="8.88"/>
    <col customWidth="1" min="34" max="34" width="9.25"/>
    <col customWidth="1" min="35" max="35" width="10.38"/>
    <col customWidth="1" min="36" max="37" width="8.25"/>
    <col customWidth="1" min="38" max="40" width="7.25"/>
  </cols>
  <sheetData>
    <row r="1" ht="69.0" customHeight="1">
      <c r="A1" s="1" t="s">
        <v>0</v>
      </c>
      <c r="B1" s="1" t="s">
        <v>1</v>
      </c>
      <c r="C1" s="1" t="s">
        <v>2</v>
      </c>
      <c r="D1" s="2" t="s">
        <v>3</v>
      </c>
      <c r="E1" s="2" t="s">
        <v>4</v>
      </c>
      <c r="F1" s="2" t="s">
        <v>5</v>
      </c>
      <c r="G1" s="2" t="s">
        <v>6</v>
      </c>
      <c r="H1" s="2" t="s">
        <v>7</v>
      </c>
      <c r="I1" s="3" t="s">
        <v>8</v>
      </c>
      <c r="J1" s="2" t="s">
        <v>9</v>
      </c>
      <c r="K1" s="2" t="s">
        <v>10</v>
      </c>
      <c r="L1" s="4"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4" t="s">
        <v>27</v>
      </c>
      <c r="AC1" s="2" t="s">
        <v>28</v>
      </c>
      <c r="AD1" s="5" t="s">
        <v>29</v>
      </c>
      <c r="AE1" s="6" t="s">
        <v>30</v>
      </c>
      <c r="AF1" s="6" t="s">
        <v>31</v>
      </c>
      <c r="AG1" s="7" t="s">
        <v>32</v>
      </c>
      <c r="AH1" s="7" t="s">
        <v>33</v>
      </c>
      <c r="AI1" s="7" t="s">
        <v>34</v>
      </c>
      <c r="AJ1" s="7" t="s">
        <v>35</v>
      </c>
      <c r="AK1" s="7" t="s">
        <v>36</v>
      </c>
      <c r="AL1" s="7" t="s">
        <v>37</v>
      </c>
      <c r="AM1" s="8" t="s">
        <v>38</v>
      </c>
      <c r="AN1" s="8" t="s">
        <v>39</v>
      </c>
    </row>
    <row r="2" ht="16.5" customHeight="1">
      <c r="A2" s="9">
        <v>14.0</v>
      </c>
      <c r="B2" s="10"/>
      <c r="C2" s="11" t="s">
        <v>24</v>
      </c>
      <c r="D2" s="12">
        <v>5.0</v>
      </c>
      <c r="E2" s="12"/>
      <c r="F2" s="12">
        <v>10.0</v>
      </c>
      <c r="G2" s="12">
        <v>2.0</v>
      </c>
      <c r="H2" s="12">
        <v>10.0</v>
      </c>
      <c r="I2" s="12"/>
      <c r="J2" s="12"/>
      <c r="K2" s="12">
        <v>5.0</v>
      </c>
      <c r="L2" s="12">
        <v>10.0</v>
      </c>
      <c r="M2" s="12">
        <v>8.0</v>
      </c>
      <c r="N2" s="13"/>
      <c r="O2" s="12"/>
      <c r="P2" s="13"/>
      <c r="Q2" s="12">
        <v>12.0</v>
      </c>
      <c r="R2" s="12">
        <v>1.0</v>
      </c>
      <c r="S2" s="12">
        <v>8.0</v>
      </c>
      <c r="T2" s="12"/>
      <c r="U2" s="12"/>
      <c r="V2" s="12">
        <v>6.0</v>
      </c>
      <c r="W2" s="12">
        <v>4.0</v>
      </c>
      <c r="X2" s="12">
        <v>12.0</v>
      </c>
      <c r="Y2" s="12"/>
      <c r="Z2" s="12"/>
      <c r="AA2" s="13"/>
      <c r="AB2" s="12">
        <v>3.0</v>
      </c>
      <c r="AC2" s="12">
        <v>1.0</v>
      </c>
      <c r="AD2" s="13"/>
      <c r="AE2" s="12">
        <v>4.0</v>
      </c>
      <c r="AF2" s="12"/>
      <c r="AG2" s="13">
        <f t="shared" ref="AG2:AG28" si="1">SUM(D2:AF2)</f>
        <v>101</v>
      </c>
      <c r="AH2" s="13">
        <f t="shared" ref="AH2:AH28" si="2">RANK(AG2, $AG$2:$AG$28)
</f>
        <v>1</v>
      </c>
      <c r="AI2" s="13">
        <f t="shared" ref="AI2:AI28" si="3">COUNTIF(D2:AF2, "&gt;0")</f>
        <v>16</v>
      </c>
      <c r="AJ2" s="13">
        <f t="shared" ref="AJ2:AJ28" si="4">COUNTIF(D2:AF2, "12")</f>
        <v>2</v>
      </c>
      <c r="AK2" s="13">
        <f t="shared" ref="AK2:AK28" si="5">COUNTIF(D2:AF2, "10")</f>
        <v>3</v>
      </c>
      <c r="AL2" s="13">
        <f t="shared" ref="AL2:AL28" si="6">COUNTIF(D2:AF2, "8")</f>
        <v>2</v>
      </c>
      <c r="AM2" s="14">
        <f t="shared" ref="AM2:AM28" si="7">VALUE(AG2 &amp; TEXT(AI2, "00") &amp; TEXT(AJ2, "00") &amp; TEXT(AK2, "00") &amp; TEXT(AL2, "00"))
</f>
        <v>10116020302</v>
      </c>
      <c r="AN2" s="13">
        <f t="shared" ref="AN2:AN28" si="8">RANK(AM2, $AM$2:$AM$28)
</f>
        <v>1</v>
      </c>
    </row>
    <row r="3" ht="16.5" customHeight="1">
      <c r="A3" s="9">
        <v>6.0</v>
      </c>
      <c r="B3" s="10"/>
      <c r="C3" s="11" t="s">
        <v>18</v>
      </c>
      <c r="D3" s="12">
        <v>6.0</v>
      </c>
      <c r="E3" s="12"/>
      <c r="F3" s="12"/>
      <c r="G3" s="12"/>
      <c r="H3" s="12"/>
      <c r="I3" s="12">
        <v>7.0</v>
      </c>
      <c r="J3" s="12">
        <v>5.0</v>
      </c>
      <c r="K3" s="12"/>
      <c r="L3" s="12">
        <v>6.0</v>
      </c>
      <c r="M3" s="13"/>
      <c r="N3" s="12">
        <v>1.0</v>
      </c>
      <c r="O3" s="13"/>
      <c r="P3" s="12">
        <v>8.0</v>
      </c>
      <c r="Q3" s="12"/>
      <c r="R3" s="12">
        <v>10.0</v>
      </c>
      <c r="S3" s="12"/>
      <c r="T3" s="12">
        <v>5.0</v>
      </c>
      <c r="U3" s="13"/>
      <c r="V3" s="12">
        <v>12.0</v>
      </c>
      <c r="W3" s="12"/>
      <c r="X3" s="12">
        <v>10.0</v>
      </c>
      <c r="Y3" s="12">
        <v>10.0</v>
      </c>
      <c r="Z3" s="12"/>
      <c r="AA3" s="12"/>
      <c r="AB3" s="12">
        <v>7.0</v>
      </c>
      <c r="AC3" s="12">
        <v>3.0</v>
      </c>
      <c r="AD3" s="12">
        <v>3.0</v>
      </c>
      <c r="AE3" s="13"/>
      <c r="AF3" s="13"/>
      <c r="AG3" s="13">
        <f t="shared" si="1"/>
        <v>93</v>
      </c>
      <c r="AH3" s="13">
        <f t="shared" si="2"/>
        <v>2</v>
      </c>
      <c r="AI3" s="13">
        <f t="shared" si="3"/>
        <v>14</v>
      </c>
      <c r="AJ3" s="13">
        <f t="shared" si="4"/>
        <v>1</v>
      </c>
      <c r="AK3" s="13">
        <f t="shared" si="5"/>
        <v>3</v>
      </c>
      <c r="AL3" s="13">
        <f t="shared" si="6"/>
        <v>1</v>
      </c>
      <c r="AM3" s="14">
        <f t="shared" si="7"/>
        <v>9314010301</v>
      </c>
      <c r="AN3" s="13">
        <f t="shared" si="8"/>
        <v>2</v>
      </c>
    </row>
    <row r="4" ht="16.5" customHeight="1">
      <c r="A4" s="9">
        <v>7.0</v>
      </c>
      <c r="B4" s="10"/>
      <c r="C4" s="11" t="s">
        <v>26</v>
      </c>
      <c r="D4" s="12">
        <v>2.0</v>
      </c>
      <c r="E4" s="12">
        <v>10.0</v>
      </c>
      <c r="F4" s="12"/>
      <c r="G4" s="12"/>
      <c r="H4" s="12">
        <v>5.0</v>
      </c>
      <c r="I4" s="12"/>
      <c r="J4" s="12">
        <v>7.0</v>
      </c>
      <c r="K4" s="12">
        <v>3.0</v>
      </c>
      <c r="L4" s="13"/>
      <c r="M4" s="12"/>
      <c r="N4" s="12">
        <v>4.0</v>
      </c>
      <c r="O4" s="12">
        <v>4.0</v>
      </c>
      <c r="P4" s="13"/>
      <c r="Q4" s="13"/>
      <c r="R4" s="12"/>
      <c r="S4" s="12">
        <v>3.0</v>
      </c>
      <c r="T4" s="12">
        <v>4.0</v>
      </c>
      <c r="U4" s="12">
        <v>5.0</v>
      </c>
      <c r="V4" s="12"/>
      <c r="W4" s="12"/>
      <c r="X4" s="13"/>
      <c r="Y4" s="12">
        <v>7.0</v>
      </c>
      <c r="Z4" s="12"/>
      <c r="AA4" s="13"/>
      <c r="AB4" s="12">
        <v>6.0</v>
      </c>
      <c r="AC4" s="12"/>
      <c r="AD4" s="12">
        <v>12.0</v>
      </c>
      <c r="AE4" s="12">
        <v>12.0</v>
      </c>
      <c r="AF4" s="12"/>
      <c r="AG4" s="13">
        <f t="shared" si="1"/>
        <v>84</v>
      </c>
      <c r="AH4" s="13">
        <f t="shared" si="2"/>
        <v>3</v>
      </c>
      <c r="AI4" s="13">
        <f t="shared" si="3"/>
        <v>14</v>
      </c>
      <c r="AJ4" s="13">
        <f t="shared" si="4"/>
        <v>2</v>
      </c>
      <c r="AK4" s="13">
        <f t="shared" si="5"/>
        <v>1</v>
      </c>
      <c r="AL4" s="13">
        <f t="shared" si="6"/>
        <v>0</v>
      </c>
      <c r="AM4" s="14">
        <f t="shared" si="7"/>
        <v>8414020100</v>
      </c>
      <c r="AN4" s="13">
        <f t="shared" si="8"/>
        <v>3</v>
      </c>
    </row>
    <row r="5" ht="16.5" customHeight="1">
      <c r="A5" s="9">
        <v>23.0</v>
      </c>
      <c r="B5" s="10"/>
      <c r="C5" s="11" t="s">
        <v>19</v>
      </c>
      <c r="D5" s="13"/>
      <c r="E5" s="12">
        <v>7.0</v>
      </c>
      <c r="F5" s="12"/>
      <c r="G5" s="12"/>
      <c r="H5" s="12">
        <v>6.0</v>
      </c>
      <c r="I5" s="12">
        <v>4.0</v>
      </c>
      <c r="J5" s="12">
        <v>4.0</v>
      </c>
      <c r="K5" s="13"/>
      <c r="L5" s="12">
        <v>8.0</v>
      </c>
      <c r="M5" s="12">
        <v>7.0</v>
      </c>
      <c r="N5" s="12"/>
      <c r="O5" s="12">
        <v>8.0</v>
      </c>
      <c r="P5" s="12">
        <v>3.0</v>
      </c>
      <c r="Q5" s="12">
        <v>5.0</v>
      </c>
      <c r="R5" s="12">
        <v>7.0</v>
      </c>
      <c r="S5" s="12">
        <v>7.0</v>
      </c>
      <c r="T5" s="12"/>
      <c r="U5" s="12"/>
      <c r="V5" s="12"/>
      <c r="W5" s="12">
        <v>1.0</v>
      </c>
      <c r="X5" s="13"/>
      <c r="Y5" s="12">
        <v>2.0</v>
      </c>
      <c r="Z5" s="13"/>
      <c r="AA5" s="12"/>
      <c r="AB5" s="13"/>
      <c r="AC5" s="12">
        <v>5.0</v>
      </c>
      <c r="AD5" s="13"/>
      <c r="AE5" s="12">
        <v>8.0</v>
      </c>
      <c r="AF5" s="12"/>
      <c r="AG5" s="13">
        <f t="shared" si="1"/>
        <v>82</v>
      </c>
      <c r="AH5" s="13">
        <f t="shared" si="2"/>
        <v>4</v>
      </c>
      <c r="AI5" s="13">
        <f t="shared" si="3"/>
        <v>15</v>
      </c>
      <c r="AJ5" s="13">
        <f t="shared" si="4"/>
        <v>0</v>
      </c>
      <c r="AK5" s="13">
        <f t="shared" si="5"/>
        <v>0</v>
      </c>
      <c r="AL5" s="13">
        <f t="shared" si="6"/>
        <v>3</v>
      </c>
      <c r="AM5" s="14">
        <f t="shared" si="7"/>
        <v>8215000003</v>
      </c>
      <c r="AN5" s="13">
        <f t="shared" si="8"/>
        <v>4</v>
      </c>
    </row>
    <row r="6" ht="16.5" customHeight="1">
      <c r="A6" s="9">
        <v>12.0</v>
      </c>
      <c r="B6" s="10"/>
      <c r="C6" s="11" t="s">
        <v>8</v>
      </c>
      <c r="D6" s="12">
        <v>12.0</v>
      </c>
      <c r="E6" s="12">
        <v>5.0</v>
      </c>
      <c r="F6" s="12"/>
      <c r="G6" s="12">
        <v>5.0</v>
      </c>
      <c r="H6" s="12"/>
      <c r="I6" s="13"/>
      <c r="J6" s="12">
        <v>8.0</v>
      </c>
      <c r="K6" s="12"/>
      <c r="L6" s="12">
        <v>2.0</v>
      </c>
      <c r="M6" s="12">
        <v>6.0</v>
      </c>
      <c r="N6" s="12">
        <v>6.0</v>
      </c>
      <c r="O6" s="12">
        <v>3.0</v>
      </c>
      <c r="P6" s="12">
        <v>2.0</v>
      </c>
      <c r="Q6" s="13"/>
      <c r="R6" s="12"/>
      <c r="S6" s="12">
        <v>5.0</v>
      </c>
      <c r="T6" s="12"/>
      <c r="U6" s="12"/>
      <c r="V6" s="13"/>
      <c r="W6" s="13"/>
      <c r="X6" s="12">
        <v>6.0</v>
      </c>
      <c r="Y6" s="12"/>
      <c r="Z6" s="12"/>
      <c r="AA6" s="12">
        <v>8.0</v>
      </c>
      <c r="AB6" s="12">
        <v>8.0</v>
      </c>
      <c r="AC6" s="12"/>
      <c r="AD6" s="12">
        <v>6.0</v>
      </c>
      <c r="AE6" s="12"/>
      <c r="AF6" s="12"/>
      <c r="AG6" s="13">
        <f t="shared" si="1"/>
        <v>82</v>
      </c>
      <c r="AH6" s="13">
        <f t="shared" si="2"/>
        <v>4</v>
      </c>
      <c r="AI6" s="13">
        <f t="shared" si="3"/>
        <v>14</v>
      </c>
      <c r="AJ6" s="13">
        <f t="shared" si="4"/>
        <v>1</v>
      </c>
      <c r="AK6" s="13">
        <f t="shared" si="5"/>
        <v>0</v>
      </c>
      <c r="AL6" s="13">
        <f t="shared" si="6"/>
        <v>3</v>
      </c>
      <c r="AM6" s="14">
        <f t="shared" si="7"/>
        <v>8214010003</v>
      </c>
      <c r="AN6" s="13">
        <f t="shared" si="8"/>
        <v>5</v>
      </c>
    </row>
    <row r="7" ht="16.5" customHeight="1">
      <c r="A7" s="9">
        <v>13.0</v>
      </c>
      <c r="B7" s="10"/>
      <c r="C7" s="11" t="s">
        <v>12</v>
      </c>
      <c r="D7" s="12"/>
      <c r="E7" s="12">
        <v>12.0</v>
      </c>
      <c r="F7" s="12"/>
      <c r="G7" s="12"/>
      <c r="H7" s="12"/>
      <c r="I7" s="12">
        <v>10.0</v>
      </c>
      <c r="J7" s="12">
        <v>10.0</v>
      </c>
      <c r="K7" s="13"/>
      <c r="L7" s="13"/>
      <c r="M7" s="12"/>
      <c r="N7" s="12"/>
      <c r="O7" s="12">
        <v>7.0</v>
      </c>
      <c r="P7" s="12">
        <v>7.0</v>
      </c>
      <c r="Q7" s="12">
        <v>3.0</v>
      </c>
      <c r="R7" s="12">
        <v>12.0</v>
      </c>
      <c r="S7" s="12"/>
      <c r="T7" s="12">
        <v>10.0</v>
      </c>
      <c r="U7" s="12"/>
      <c r="V7" s="12">
        <v>1.0</v>
      </c>
      <c r="W7" s="12"/>
      <c r="X7" s="12">
        <v>8.0</v>
      </c>
      <c r="Y7" s="12">
        <v>1.0</v>
      </c>
      <c r="Z7" s="13"/>
      <c r="AA7" s="12"/>
      <c r="AB7" s="12"/>
      <c r="AC7" s="12"/>
      <c r="AD7" s="13"/>
      <c r="AE7" s="12"/>
      <c r="AF7" s="12"/>
      <c r="AG7" s="13">
        <f t="shared" si="1"/>
        <v>81</v>
      </c>
      <c r="AH7" s="13">
        <f t="shared" si="2"/>
        <v>6</v>
      </c>
      <c r="AI7" s="13">
        <f t="shared" si="3"/>
        <v>11</v>
      </c>
      <c r="AJ7" s="13">
        <f t="shared" si="4"/>
        <v>2</v>
      </c>
      <c r="AK7" s="13">
        <f t="shared" si="5"/>
        <v>3</v>
      </c>
      <c r="AL7" s="13">
        <f t="shared" si="6"/>
        <v>1</v>
      </c>
      <c r="AM7" s="14">
        <f t="shared" si="7"/>
        <v>8111020301</v>
      </c>
      <c r="AN7" s="13">
        <f t="shared" si="8"/>
        <v>6</v>
      </c>
    </row>
    <row r="8" ht="16.5" customHeight="1">
      <c r="A8" s="9">
        <v>1.0</v>
      </c>
      <c r="B8" s="10"/>
      <c r="C8" s="11" t="s">
        <v>13</v>
      </c>
      <c r="D8" s="13"/>
      <c r="E8" s="12"/>
      <c r="F8" s="12"/>
      <c r="G8" s="12">
        <v>10.0</v>
      </c>
      <c r="H8" s="13"/>
      <c r="I8" s="12"/>
      <c r="J8" s="12"/>
      <c r="K8" s="12"/>
      <c r="L8" s="13"/>
      <c r="M8" s="12"/>
      <c r="N8" s="13"/>
      <c r="O8" s="12">
        <v>6.0</v>
      </c>
      <c r="P8" s="12">
        <v>10.0</v>
      </c>
      <c r="Q8" s="12">
        <v>7.0</v>
      </c>
      <c r="R8" s="12"/>
      <c r="S8" s="12"/>
      <c r="T8" s="12">
        <v>7.0</v>
      </c>
      <c r="U8" s="12">
        <v>10.0</v>
      </c>
      <c r="V8" s="12"/>
      <c r="W8" s="12">
        <v>7.0</v>
      </c>
      <c r="X8" s="13"/>
      <c r="Y8" s="12"/>
      <c r="Z8" s="13"/>
      <c r="AA8" s="12"/>
      <c r="AB8" s="12">
        <v>12.0</v>
      </c>
      <c r="AC8" s="12">
        <v>12.0</v>
      </c>
      <c r="AD8" s="12"/>
      <c r="AE8" s="12"/>
      <c r="AF8" s="12"/>
      <c r="AG8" s="13">
        <f t="shared" si="1"/>
        <v>81</v>
      </c>
      <c r="AH8" s="13">
        <f t="shared" si="2"/>
        <v>6</v>
      </c>
      <c r="AI8" s="13">
        <f t="shared" si="3"/>
        <v>9</v>
      </c>
      <c r="AJ8" s="13">
        <f t="shared" si="4"/>
        <v>2</v>
      </c>
      <c r="AK8" s="13">
        <f t="shared" si="5"/>
        <v>3</v>
      </c>
      <c r="AL8" s="13">
        <f t="shared" si="6"/>
        <v>0</v>
      </c>
      <c r="AM8" s="14">
        <f t="shared" si="7"/>
        <v>8109020300</v>
      </c>
      <c r="AN8" s="13">
        <f t="shared" si="8"/>
        <v>7</v>
      </c>
    </row>
    <row r="9" ht="16.5" customHeight="1">
      <c r="A9" s="9">
        <v>8.0</v>
      </c>
      <c r="B9" s="10"/>
      <c r="C9" s="11" t="s">
        <v>22</v>
      </c>
      <c r="D9" s="12"/>
      <c r="E9" s="13"/>
      <c r="F9" s="12">
        <v>12.0</v>
      </c>
      <c r="G9" s="12">
        <v>6.0</v>
      </c>
      <c r="H9" s="12">
        <v>12.0</v>
      </c>
      <c r="I9" s="12">
        <v>12.0</v>
      </c>
      <c r="J9" s="12"/>
      <c r="K9" s="12">
        <v>2.0</v>
      </c>
      <c r="L9" s="12">
        <v>5.0</v>
      </c>
      <c r="M9" s="12">
        <v>10.0</v>
      </c>
      <c r="N9" s="12">
        <v>2.0</v>
      </c>
      <c r="O9" s="12"/>
      <c r="P9" s="13"/>
      <c r="Q9" s="12">
        <v>6.0</v>
      </c>
      <c r="R9" s="12"/>
      <c r="S9" s="12"/>
      <c r="T9" s="12">
        <v>3.0</v>
      </c>
      <c r="U9" s="12"/>
      <c r="V9" s="12">
        <v>3.0</v>
      </c>
      <c r="W9" s="12"/>
      <c r="X9" s="12"/>
      <c r="Y9" s="13"/>
      <c r="Z9" s="12"/>
      <c r="AA9" s="12"/>
      <c r="AB9" s="12"/>
      <c r="AC9" s="12"/>
      <c r="AD9" s="12">
        <v>4.0</v>
      </c>
      <c r="AE9" s="12">
        <v>3.0</v>
      </c>
      <c r="AF9" s="12"/>
      <c r="AG9" s="13">
        <f t="shared" si="1"/>
        <v>80</v>
      </c>
      <c r="AH9" s="13">
        <f t="shared" si="2"/>
        <v>8</v>
      </c>
      <c r="AI9" s="13">
        <f t="shared" si="3"/>
        <v>13</v>
      </c>
      <c r="AJ9" s="13">
        <f t="shared" si="4"/>
        <v>3</v>
      </c>
      <c r="AK9" s="13">
        <f t="shared" si="5"/>
        <v>1</v>
      </c>
      <c r="AL9" s="13">
        <f t="shared" si="6"/>
        <v>0</v>
      </c>
      <c r="AM9" s="14">
        <f t="shared" si="7"/>
        <v>8013030100</v>
      </c>
      <c r="AN9" s="13">
        <f t="shared" si="8"/>
        <v>8</v>
      </c>
    </row>
    <row r="10" ht="16.5" customHeight="1">
      <c r="A10" s="9">
        <v>22.0</v>
      </c>
      <c r="B10" s="10"/>
      <c r="C10" s="11" t="s">
        <v>23</v>
      </c>
      <c r="D10" s="12">
        <v>1.0</v>
      </c>
      <c r="E10" s="13"/>
      <c r="F10" s="12">
        <v>5.0</v>
      </c>
      <c r="G10" s="12">
        <v>3.0</v>
      </c>
      <c r="H10" s="12">
        <v>2.0</v>
      </c>
      <c r="I10" s="12">
        <v>1.0</v>
      </c>
      <c r="J10" s="12"/>
      <c r="K10" s="13"/>
      <c r="L10" s="12"/>
      <c r="M10" s="12">
        <v>1.0</v>
      </c>
      <c r="N10" s="12"/>
      <c r="O10" s="12"/>
      <c r="P10" s="12">
        <v>6.0</v>
      </c>
      <c r="Q10" s="12"/>
      <c r="R10" s="12">
        <v>8.0</v>
      </c>
      <c r="S10" s="12">
        <v>4.0</v>
      </c>
      <c r="T10" s="12"/>
      <c r="U10" s="12">
        <v>6.0</v>
      </c>
      <c r="V10" s="12">
        <v>10.0</v>
      </c>
      <c r="W10" s="12">
        <v>6.0</v>
      </c>
      <c r="X10" s="12"/>
      <c r="Y10" s="13"/>
      <c r="Z10" s="13"/>
      <c r="AA10" s="12">
        <v>2.0</v>
      </c>
      <c r="AB10" s="12">
        <v>10.0</v>
      </c>
      <c r="AC10" s="12">
        <v>7.0</v>
      </c>
      <c r="AD10" s="12"/>
      <c r="AE10" s="12"/>
      <c r="AF10" s="12"/>
      <c r="AG10" s="13">
        <f t="shared" si="1"/>
        <v>72</v>
      </c>
      <c r="AH10" s="13">
        <f t="shared" si="2"/>
        <v>9</v>
      </c>
      <c r="AI10" s="13">
        <f t="shared" si="3"/>
        <v>15</v>
      </c>
      <c r="AJ10" s="13">
        <f t="shared" si="4"/>
        <v>0</v>
      </c>
      <c r="AK10" s="13">
        <f t="shared" si="5"/>
        <v>2</v>
      </c>
      <c r="AL10" s="13">
        <f t="shared" si="6"/>
        <v>1</v>
      </c>
      <c r="AM10" s="14">
        <f t="shared" si="7"/>
        <v>7215000201</v>
      </c>
      <c r="AN10" s="13">
        <f t="shared" si="8"/>
        <v>9</v>
      </c>
    </row>
    <row r="11" ht="16.5" customHeight="1">
      <c r="A11" s="9">
        <v>18.0</v>
      </c>
      <c r="B11" s="10"/>
      <c r="C11" s="11" t="s">
        <v>9</v>
      </c>
      <c r="D11" s="12"/>
      <c r="E11" s="12">
        <v>3.0</v>
      </c>
      <c r="F11" s="12">
        <v>4.0</v>
      </c>
      <c r="G11" s="12">
        <v>8.0</v>
      </c>
      <c r="H11" s="12">
        <v>7.0</v>
      </c>
      <c r="I11" s="12"/>
      <c r="J11" s="12">
        <v>3.0</v>
      </c>
      <c r="K11" s="12"/>
      <c r="L11" s="12">
        <v>7.0</v>
      </c>
      <c r="M11" s="12">
        <v>5.0</v>
      </c>
      <c r="N11" s="12">
        <v>7.0</v>
      </c>
      <c r="O11" s="12">
        <v>12.0</v>
      </c>
      <c r="P11" s="12"/>
      <c r="Q11" s="13"/>
      <c r="R11" s="13"/>
      <c r="S11" s="12">
        <v>1.0</v>
      </c>
      <c r="T11" s="12"/>
      <c r="U11" s="12">
        <v>1.0</v>
      </c>
      <c r="V11" s="13"/>
      <c r="W11" s="12"/>
      <c r="X11" s="12">
        <v>4.0</v>
      </c>
      <c r="Y11" s="13"/>
      <c r="Z11" s="12"/>
      <c r="AA11" s="12"/>
      <c r="AB11" s="12">
        <v>5.0</v>
      </c>
      <c r="AC11" s="12"/>
      <c r="AD11" s="12">
        <v>1.0</v>
      </c>
      <c r="AE11" s="12"/>
      <c r="AF11" s="12"/>
      <c r="AG11" s="13">
        <f t="shared" si="1"/>
        <v>68</v>
      </c>
      <c r="AH11" s="13">
        <f t="shared" si="2"/>
        <v>10</v>
      </c>
      <c r="AI11" s="13">
        <f t="shared" si="3"/>
        <v>14</v>
      </c>
      <c r="AJ11" s="13">
        <f t="shared" si="4"/>
        <v>1</v>
      </c>
      <c r="AK11" s="13">
        <f t="shared" si="5"/>
        <v>0</v>
      </c>
      <c r="AL11" s="13">
        <f t="shared" si="6"/>
        <v>1</v>
      </c>
      <c r="AM11" s="14">
        <f t="shared" si="7"/>
        <v>6814010001</v>
      </c>
      <c r="AN11" s="13">
        <f t="shared" si="8"/>
        <v>10</v>
      </c>
    </row>
    <row r="12" ht="16.5" customHeight="1">
      <c r="A12" s="15">
        <v>2.0</v>
      </c>
      <c r="C12" s="16" t="s">
        <v>6</v>
      </c>
      <c r="D12" s="17">
        <v>4.0</v>
      </c>
      <c r="E12" s="17">
        <v>2.0</v>
      </c>
      <c r="F12" s="17"/>
      <c r="G12" s="18"/>
      <c r="H12" s="17"/>
      <c r="I12" s="17"/>
      <c r="J12" s="17"/>
      <c r="K12" s="17"/>
      <c r="L12" s="18"/>
      <c r="M12" s="17"/>
      <c r="N12" s="17">
        <v>8.0</v>
      </c>
      <c r="O12" s="17"/>
      <c r="P12" s="17">
        <v>4.0</v>
      </c>
      <c r="Q12" s="17">
        <v>1.0</v>
      </c>
      <c r="R12" s="17"/>
      <c r="S12" s="17"/>
      <c r="T12" s="17"/>
      <c r="U12" s="17">
        <v>7.0</v>
      </c>
      <c r="V12" s="17">
        <v>4.0</v>
      </c>
      <c r="W12" s="17">
        <v>10.0</v>
      </c>
      <c r="X12" s="17">
        <v>2.0</v>
      </c>
      <c r="Y12" s="17">
        <v>3.0</v>
      </c>
      <c r="Z12" s="18"/>
      <c r="AA12" s="17">
        <v>10.0</v>
      </c>
      <c r="AB12" s="17"/>
      <c r="AC12" s="17">
        <v>8.0</v>
      </c>
      <c r="AD12" s="17">
        <v>5.0</v>
      </c>
      <c r="AE12" s="17"/>
      <c r="AF12" s="17"/>
      <c r="AG12" s="18">
        <f t="shared" si="1"/>
        <v>68</v>
      </c>
      <c r="AH12" s="18">
        <f t="shared" si="2"/>
        <v>10</v>
      </c>
      <c r="AI12" s="18">
        <f t="shared" si="3"/>
        <v>13</v>
      </c>
      <c r="AJ12" s="18">
        <f t="shared" si="4"/>
        <v>0</v>
      </c>
      <c r="AK12" s="18">
        <f t="shared" si="5"/>
        <v>2</v>
      </c>
      <c r="AL12" s="18">
        <f t="shared" si="6"/>
        <v>2</v>
      </c>
      <c r="AM12" s="19">
        <f t="shared" si="7"/>
        <v>6813000202</v>
      </c>
      <c r="AN12" s="18">
        <f t="shared" si="8"/>
        <v>11</v>
      </c>
    </row>
    <row r="13" ht="16.5" customHeight="1">
      <c r="A13" s="15">
        <v>10.0</v>
      </c>
      <c r="B13" s="20"/>
      <c r="C13" s="16" t="s">
        <v>20</v>
      </c>
      <c r="D13" s="17">
        <v>7.0</v>
      </c>
      <c r="E13" s="17"/>
      <c r="F13" s="18"/>
      <c r="G13" s="17"/>
      <c r="H13" s="17">
        <v>3.0</v>
      </c>
      <c r="I13" s="17"/>
      <c r="J13" s="17">
        <v>12.0</v>
      </c>
      <c r="K13" s="17"/>
      <c r="L13" s="18"/>
      <c r="M13" s="17">
        <v>3.0</v>
      </c>
      <c r="N13" s="17">
        <v>12.0</v>
      </c>
      <c r="O13" s="17">
        <v>1.0</v>
      </c>
      <c r="P13" s="17"/>
      <c r="Q13" s="17">
        <v>8.0</v>
      </c>
      <c r="R13" s="17">
        <v>3.0</v>
      </c>
      <c r="S13" s="18"/>
      <c r="T13" s="17"/>
      <c r="U13" s="17"/>
      <c r="V13" s="17"/>
      <c r="W13" s="18"/>
      <c r="X13" s="18"/>
      <c r="Y13" s="18"/>
      <c r="Z13" s="17"/>
      <c r="AA13" s="17">
        <v>12.0</v>
      </c>
      <c r="AB13" s="17"/>
      <c r="AC13" s="18"/>
      <c r="AD13" s="17">
        <v>7.0</v>
      </c>
      <c r="AE13" s="18"/>
      <c r="AF13" s="18"/>
      <c r="AG13" s="18">
        <f t="shared" si="1"/>
        <v>68</v>
      </c>
      <c r="AH13" s="18">
        <f t="shared" si="2"/>
        <v>10</v>
      </c>
      <c r="AI13" s="18">
        <f t="shared" si="3"/>
        <v>10</v>
      </c>
      <c r="AJ13" s="18">
        <f t="shared" si="4"/>
        <v>3</v>
      </c>
      <c r="AK13" s="18">
        <f t="shared" si="5"/>
        <v>0</v>
      </c>
      <c r="AL13" s="18">
        <f t="shared" si="6"/>
        <v>1</v>
      </c>
      <c r="AM13" s="19">
        <f t="shared" si="7"/>
        <v>6810030001</v>
      </c>
      <c r="AN13" s="18">
        <f t="shared" si="8"/>
        <v>12</v>
      </c>
    </row>
    <row r="14" ht="16.5" customHeight="1">
      <c r="A14" s="15">
        <v>9.0</v>
      </c>
      <c r="B14" s="21"/>
      <c r="C14" s="16" t="s">
        <v>4</v>
      </c>
      <c r="D14" s="22"/>
      <c r="E14" s="23"/>
      <c r="F14" s="23"/>
      <c r="G14" s="22"/>
      <c r="H14" s="22"/>
      <c r="I14" s="22">
        <v>8.0</v>
      </c>
      <c r="J14" s="23"/>
      <c r="K14" s="22">
        <v>8.0</v>
      </c>
      <c r="L14" s="23"/>
      <c r="M14" s="22"/>
      <c r="N14" s="22"/>
      <c r="O14" s="23"/>
      <c r="P14" s="22">
        <v>12.0</v>
      </c>
      <c r="Q14" s="23"/>
      <c r="R14" s="22">
        <v>2.0</v>
      </c>
      <c r="S14" s="22"/>
      <c r="T14" s="22">
        <v>6.0</v>
      </c>
      <c r="U14" s="22">
        <v>2.0</v>
      </c>
      <c r="V14" s="23"/>
      <c r="W14" s="22"/>
      <c r="X14" s="22">
        <v>7.0</v>
      </c>
      <c r="Y14" s="22"/>
      <c r="Z14" s="22"/>
      <c r="AA14" s="22">
        <v>5.0</v>
      </c>
      <c r="AB14" s="23"/>
      <c r="AC14" s="23"/>
      <c r="AD14" s="22">
        <v>8.0</v>
      </c>
      <c r="AE14" s="22">
        <v>7.0</v>
      </c>
      <c r="AF14" s="23"/>
      <c r="AG14" s="23">
        <f t="shared" si="1"/>
        <v>65</v>
      </c>
      <c r="AH14" s="23">
        <f t="shared" si="2"/>
        <v>13</v>
      </c>
      <c r="AI14" s="23">
        <f t="shared" si="3"/>
        <v>10</v>
      </c>
      <c r="AJ14" s="23">
        <f t="shared" si="4"/>
        <v>1</v>
      </c>
      <c r="AK14" s="23">
        <f t="shared" si="5"/>
        <v>0</v>
      </c>
      <c r="AL14" s="23">
        <f t="shared" si="6"/>
        <v>3</v>
      </c>
      <c r="AM14" s="24">
        <f t="shared" si="7"/>
        <v>6510010003</v>
      </c>
      <c r="AN14" s="23">
        <f t="shared" si="8"/>
        <v>13</v>
      </c>
    </row>
    <row r="15" ht="16.5" customHeight="1">
      <c r="A15" s="15">
        <v>21.0</v>
      </c>
      <c r="B15" s="20"/>
      <c r="C15" s="16" t="s">
        <v>10</v>
      </c>
      <c r="D15" s="17"/>
      <c r="E15" s="17">
        <v>8.0</v>
      </c>
      <c r="F15" s="17">
        <v>2.0</v>
      </c>
      <c r="G15" s="18"/>
      <c r="H15" s="17"/>
      <c r="I15" s="17">
        <v>3.0</v>
      </c>
      <c r="J15" s="18"/>
      <c r="K15" s="17"/>
      <c r="L15" s="17">
        <v>4.0</v>
      </c>
      <c r="M15" s="17"/>
      <c r="N15" s="17"/>
      <c r="O15" s="18"/>
      <c r="P15" s="18"/>
      <c r="Q15" s="17">
        <v>2.0</v>
      </c>
      <c r="R15" s="17">
        <v>6.0</v>
      </c>
      <c r="S15" s="17">
        <v>10.0</v>
      </c>
      <c r="T15" s="17">
        <v>8.0</v>
      </c>
      <c r="U15" s="18"/>
      <c r="V15" s="17"/>
      <c r="W15" s="17"/>
      <c r="X15" s="18"/>
      <c r="Y15" s="17">
        <v>4.0</v>
      </c>
      <c r="Z15" s="17"/>
      <c r="AA15" s="17"/>
      <c r="AB15" s="17">
        <v>4.0</v>
      </c>
      <c r="AC15" s="17"/>
      <c r="AD15" s="17"/>
      <c r="AE15" s="17">
        <v>10.0</v>
      </c>
      <c r="AF15" s="17"/>
      <c r="AG15" s="18">
        <f t="shared" si="1"/>
        <v>61</v>
      </c>
      <c r="AH15" s="18">
        <f t="shared" si="2"/>
        <v>14</v>
      </c>
      <c r="AI15" s="18">
        <f t="shared" si="3"/>
        <v>11</v>
      </c>
      <c r="AJ15" s="18">
        <f t="shared" si="4"/>
        <v>0</v>
      </c>
      <c r="AK15" s="18">
        <f t="shared" si="5"/>
        <v>2</v>
      </c>
      <c r="AL15" s="18">
        <f t="shared" si="6"/>
        <v>2</v>
      </c>
      <c r="AM15" s="19">
        <f t="shared" si="7"/>
        <v>6111000202</v>
      </c>
      <c r="AN15" s="18">
        <f t="shared" si="8"/>
        <v>14</v>
      </c>
    </row>
    <row r="16" ht="16.5" customHeight="1">
      <c r="A16" s="15">
        <v>4.0</v>
      </c>
      <c r="B16" s="20"/>
      <c r="C16" s="16" t="s">
        <v>11</v>
      </c>
      <c r="D16" s="17">
        <v>10.0</v>
      </c>
      <c r="E16" s="17"/>
      <c r="F16" s="17">
        <v>7.0</v>
      </c>
      <c r="G16" s="17">
        <v>1.0</v>
      </c>
      <c r="H16" s="17">
        <v>8.0</v>
      </c>
      <c r="I16" s="17">
        <v>2.0</v>
      </c>
      <c r="J16" s="18"/>
      <c r="K16" s="17">
        <v>1.0</v>
      </c>
      <c r="L16" s="17"/>
      <c r="M16" s="17">
        <v>4.0</v>
      </c>
      <c r="N16" s="17"/>
      <c r="O16" s="17"/>
      <c r="P16" s="17"/>
      <c r="Q16" s="17">
        <v>4.0</v>
      </c>
      <c r="R16" s="17"/>
      <c r="S16" s="18"/>
      <c r="T16" s="17"/>
      <c r="U16" s="17"/>
      <c r="V16" s="17">
        <v>5.0</v>
      </c>
      <c r="W16" s="17"/>
      <c r="X16" s="17">
        <v>5.0</v>
      </c>
      <c r="Y16" s="17">
        <v>8.0</v>
      </c>
      <c r="Z16" s="17"/>
      <c r="AA16" s="18"/>
      <c r="AB16" s="17">
        <v>1.0</v>
      </c>
      <c r="AC16" s="17">
        <v>2.0</v>
      </c>
      <c r="AD16" s="17">
        <v>2.0</v>
      </c>
      <c r="AE16" s="17"/>
      <c r="AF16" s="17"/>
      <c r="AG16" s="18">
        <f t="shared" si="1"/>
        <v>60</v>
      </c>
      <c r="AH16" s="18">
        <f t="shared" si="2"/>
        <v>15</v>
      </c>
      <c r="AI16" s="18">
        <f t="shared" si="3"/>
        <v>14</v>
      </c>
      <c r="AJ16" s="18">
        <f t="shared" si="4"/>
        <v>0</v>
      </c>
      <c r="AK16" s="18">
        <f t="shared" si="5"/>
        <v>1</v>
      </c>
      <c r="AL16" s="18">
        <f t="shared" si="6"/>
        <v>2</v>
      </c>
      <c r="AM16" s="19">
        <f t="shared" si="7"/>
        <v>6014000102</v>
      </c>
      <c r="AN16" s="18">
        <f t="shared" si="8"/>
        <v>15</v>
      </c>
    </row>
    <row r="17" ht="16.5" customHeight="1">
      <c r="A17" s="15">
        <v>5.0</v>
      </c>
      <c r="B17" s="20"/>
      <c r="C17" s="16" t="s">
        <v>21</v>
      </c>
      <c r="D17" s="17">
        <v>8.0</v>
      </c>
      <c r="E17" s="17">
        <v>1.0</v>
      </c>
      <c r="F17" s="17">
        <v>3.0</v>
      </c>
      <c r="G17" s="18"/>
      <c r="H17" s="18"/>
      <c r="I17" s="17"/>
      <c r="J17" s="17"/>
      <c r="K17" s="17">
        <v>4.0</v>
      </c>
      <c r="L17" s="17">
        <v>12.0</v>
      </c>
      <c r="M17" s="17"/>
      <c r="N17" s="17"/>
      <c r="O17" s="17"/>
      <c r="P17" s="17"/>
      <c r="Q17" s="17"/>
      <c r="R17" s="17"/>
      <c r="S17" s="17"/>
      <c r="T17" s="18"/>
      <c r="U17" s="17"/>
      <c r="V17" s="17"/>
      <c r="W17" s="17"/>
      <c r="X17" s="17">
        <v>1.0</v>
      </c>
      <c r="Y17" s="17">
        <v>12.0</v>
      </c>
      <c r="Z17" s="18"/>
      <c r="AA17" s="18"/>
      <c r="AB17" s="17"/>
      <c r="AC17" s="17">
        <v>6.0</v>
      </c>
      <c r="AD17" s="17">
        <v>10.0</v>
      </c>
      <c r="AE17" s="17"/>
      <c r="AF17" s="18"/>
      <c r="AG17" s="18">
        <f t="shared" si="1"/>
        <v>57</v>
      </c>
      <c r="AH17" s="18">
        <f t="shared" si="2"/>
        <v>16</v>
      </c>
      <c r="AI17" s="18">
        <f t="shared" si="3"/>
        <v>9</v>
      </c>
      <c r="AJ17" s="18">
        <f t="shared" si="4"/>
        <v>2</v>
      </c>
      <c r="AK17" s="18">
        <f t="shared" si="5"/>
        <v>1</v>
      </c>
      <c r="AL17" s="18">
        <f t="shared" si="6"/>
        <v>1</v>
      </c>
      <c r="AM17" s="19">
        <f t="shared" si="7"/>
        <v>5709020101</v>
      </c>
      <c r="AN17" s="18">
        <f t="shared" si="8"/>
        <v>16</v>
      </c>
    </row>
    <row r="18" ht="16.5" customHeight="1">
      <c r="A18" s="15">
        <v>11.0</v>
      </c>
      <c r="B18" s="20"/>
      <c r="C18" s="16" t="s">
        <v>5</v>
      </c>
      <c r="D18" s="22"/>
      <c r="E18" s="22">
        <v>6.0</v>
      </c>
      <c r="F18" s="23"/>
      <c r="G18" s="22">
        <v>12.0</v>
      </c>
      <c r="H18" s="23"/>
      <c r="I18" s="23"/>
      <c r="J18" s="22"/>
      <c r="K18" s="22">
        <v>7.0</v>
      </c>
      <c r="L18" s="22"/>
      <c r="M18" s="23"/>
      <c r="N18" s="22">
        <v>10.0</v>
      </c>
      <c r="O18" s="22">
        <v>2.0</v>
      </c>
      <c r="P18" s="23"/>
      <c r="Q18" s="22"/>
      <c r="R18" s="23"/>
      <c r="S18" s="22"/>
      <c r="T18" s="22">
        <v>1.0</v>
      </c>
      <c r="U18" s="22">
        <v>12.0</v>
      </c>
      <c r="V18" s="22"/>
      <c r="W18" s="22">
        <v>5.0</v>
      </c>
      <c r="X18" s="22"/>
      <c r="Y18" s="22"/>
      <c r="Z18" s="23"/>
      <c r="AA18" s="22"/>
      <c r="AB18" s="22"/>
      <c r="AC18" s="23"/>
      <c r="AD18" s="22"/>
      <c r="AE18" s="22"/>
      <c r="AF18" s="23"/>
      <c r="AG18" s="23">
        <f t="shared" si="1"/>
        <v>55</v>
      </c>
      <c r="AH18" s="23">
        <f t="shared" si="2"/>
        <v>17</v>
      </c>
      <c r="AI18" s="23">
        <f t="shared" si="3"/>
        <v>8</v>
      </c>
      <c r="AJ18" s="23">
        <f t="shared" si="4"/>
        <v>2</v>
      </c>
      <c r="AK18" s="23">
        <f t="shared" si="5"/>
        <v>1</v>
      </c>
      <c r="AL18" s="23">
        <f t="shared" si="6"/>
        <v>0</v>
      </c>
      <c r="AM18" s="24">
        <f t="shared" si="7"/>
        <v>5508020100</v>
      </c>
      <c r="AN18" s="23">
        <f t="shared" si="8"/>
        <v>17</v>
      </c>
    </row>
    <row r="19" ht="16.5" customHeight="1">
      <c r="A19" s="15">
        <v>17.0</v>
      </c>
      <c r="B19" s="20"/>
      <c r="C19" s="16" t="s">
        <v>25</v>
      </c>
      <c r="D19" s="18"/>
      <c r="E19" s="18"/>
      <c r="F19" s="17">
        <v>8.0</v>
      </c>
      <c r="G19" s="17"/>
      <c r="H19" s="17"/>
      <c r="I19" s="18"/>
      <c r="J19" s="17"/>
      <c r="K19" s="17">
        <v>12.0</v>
      </c>
      <c r="L19" s="17"/>
      <c r="M19" s="17"/>
      <c r="N19" s="17">
        <v>3.0</v>
      </c>
      <c r="O19" s="17">
        <v>5.0</v>
      </c>
      <c r="P19" s="17"/>
      <c r="Q19" s="17"/>
      <c r="R19" s="18"/>
      <c r="S19" s="17">
        <v>2.0</v>
      </c>
      <c r="T19" s="18"/>
      <c r="U19" s="17">
        <v>8.0</v>
      </c>
      <c r="V19" s="18"/>
      <c r="W19" s="17"/>
      <c r="X19" s="17"/>
      <c r="Y19" s="18"/>
      <c r="Z19" s="17"/>
      <c r="AA19" s="17">
        <v>6.0</v>
      </c>
      <c r="AB19" s="17"/>
      <c r="AC19" s="17">
        <v>10.0</v>
      </c>
      <c r="AD19" s="18"/>
      <c r="AE19" s="18"/>
      <c r="AF19" s="17"/>
      <c r="AG19" s="18">
        <f t="shared" si="1"/>
        <v>54</v>
      </c>
      <c r="AH19" s="18">
        <f t="shared" si="2"/>
        <v>18</v>
      </c>
      <c r="AI19" s="18">
        <f t="shared" si="3"/>
        <v>8</v>
      </c>
      <c r="AJ19" s="18">
        <f t="shared" si="4"/>
        <v>1</v>
      </c>
      <c r="AK19" s="18">
        <f t="shared" si="5"/>
        <v>1</v>
      </c>
      <c r="AL19" s="18">
        <f t="shared" si="6"/>
        <v>2</v>
      </c>
      <c r="AM19" s="19">
        <f t="shared" si="7"/>
        <v>5408010102</v>
      </c>
      <c r="AN19" s="18">
        <f t="shared" si="8"/>
        <v>18</v>
      </c>
    </row>
    <row r="20" ht="16.5" customHeight="1">
      <c r="A20" s="15">
        <v>15.0</v>
      </c>
      <c r="B20" s="20"/>
      <c r="C20" s="16" t="s">
        <v>15</v>
      </c>
      <c r="D20" s="17"/>
      <c r="E20" s="17"/>
      <c r="F20" s="17">
        <v>1.0</v>
      </c>
      <c r="G20" s="17">
        <v>7.0</v>
      </c>
      <c r="H20" s="17">
        <v>4.0</v>
      </c>
      <c r="I20" s="17"/>
      <c r="J20" s="17"/>
      <c r="K20" s="17"/>
      <c r="L20" s="17">
        <v>3.0</v>
      </c>
      <c r="M20" s="17">
        <v>12.0</v>
      </c>
      <c r="N20" s="17"/>
      <c r="O20" s="17"/>
      <c r="P20" s="17"/>
      <c r="Q20" s="17"/>
      <c r="R20" s="18"/>
      <c r="S20" s="17"/>
      <c r="T20" s="17"/>
      <c r="U20" s="17"/>
      <c r="V20" s="17">
        <v>7.0</v>
      </c>
      <c r="W20" s="17">
        <v>12.0</v>
      </c>
      <c r="X20" s="17"/>
      <c r="Y20" s="17"/>
      <c r="Z20" s="17"/>
      <c r="AA20" s="17">
        <v>1.0</v>
      </c>
      <c r="AB20" s="17">
        <v>2.0</v>
      </c>
      <c r="AC20" s="17"/>
      <c r="AD20" s="17"/>
      <c r="AE20" s="17"/>
      <c r="AF20" s="17"/>
      <c r="AG20" s="18">
        <f t="shared" si="1"/>
        <v>49</v>
      </c>
      <c r="AH20" s="18">
        <f t="shared" si="2"/>
        <v>19</v>
      </c>
      <c r="AI20" s="18">
        <f t="shared" si="3"/>
        <v>9</v>
      </c>
      <c r="AJ20" s="18">
        <f t="shared" si="4"/>
        <v>2</v>
      </c>
      <c r="AK20" s="18">
        <f t="shared" si="5"/>
        <v>0</v>
      </c>
      <c r="AL20" s="18">
        <f t="shared" si="6"/>
        <v>0</v>
      </c>
      <c r="AM20" s="19">
        <f t="shared" si="7"/>
        <v>4909020000</v>
      </c>
      <c r="AN20" s="18">
        <f t="shared" si="8"/>
        <v>19</v>
      </c>
    </row>
    <row r="21" ht="16.5" customHeight="1">
      <c r="A21" s="9">
        <v>25.0</v>
      </c>
      <c r="B21" s="25"/>
      <c r="C21" s="11" t="s">
        <v>17</v>
      </c>
      <c r="D21" s="13"/>
      <c r="E21" s="12"/>
      <c r="F21" s="12"/>
      <c r="G21" s="12"/>
      <c r="H21" s="13"/>
      <c r="I21" s="12">
        <v>5.0</v>
      </c>
      <c r="J21" s="12"/>
      <c r="K21" s="12"/>
      <c r="L21" s="12">
        <v>1.0</v>
      </c>
      <c r="M21" s="13"/>
      <c r="N21" s="12"/>
      <c r="O21" s="13"/>
      <c r="P21" s="12">
        <v>1.0</v>
      </c>
      <c r="Q21" s="12"/>
      <c r="R21" s="12"/>
      <c r="S21" s="12">
        <v>12.0</v>
      </c>
      <c r="T21" s="12">
        <v>12.0</v>
      </c>
      <c r="U21" s="12">
        <v>4.0</v>
      </c>
      <c r="V21" s="12"/>
      <c r="W21" s="12"/>
      <c r="X21" s="12">
        <v>3.0</v>
      </c>
      <c r="Y21" s="12"/>
      <c r="Z21" s="13"/>
      <c r="AA21" s="12"/>
      <c r="AB21" s="13"/>
      <c r="AC21" s="13"/>
      <c r="AD21" s="12"/>
      <c r="AE21" s="12">
        <v>6.0</v>
      </c>
      <c r="AF21" s="12"/>
      <c r="AG21" s="13">
        <f t="shared" si="1"/>
        <v>44</v>
      </c>
      <c r="AH21" s="13">
        <f t="shared" si="2"/>
        <v>20</v>
      </c>
      <c r="AI21" s="13">
        <f t="shared" si="3"/>
        <v>8</v>
      </c>
      <c r="AJ21" s="13">
        <f t="shared" si="4"/>
        <v>2</v>
      </c>
      <c r="AK21" s="13">
        <f t="shared" si="5"/>
        <v>0</v>
      </c>
      <c r="AL21" s="13">
        <f t="shared" si="6"/>
        <v>0</v>
      </c>
      <c r="AM21" s="14">
        <f t="shared" si="7"/>
        <v>4408020000</v>
      </c>
      <c r="AN21" s="13">
        <f t="shared" si="8"/>
        <v>20</v>
      </c>
    </row>
    <row r="22" ht="16.5" customHeight="1">
      <c r="A22" s="15">
        <v>3.0</v>
      </c>
      <c r="B22" s="20"/>
      <c r="C22" s="16" t="s">
        <v>3</v>
      </c>
      <c r="D22" s="17"/>
      <c r="E22" s="17"/>
      <c r="F22" s="18"/>
      <c r="G22" s="17">
        <v>4.0</v>
      </c>
      <c r="H22" s="17"/>
      <c r="I22" s="17"/>
      <c r="J22" s="17">
        <v>2.0</v>
      </c>
      <c r="K22" s="17">
        <v>10.0</v>
      </c>
      <c r="L22" s="17"/>
      <c r="M22" s="17"/>
      <c r="N22" s="18"/>
      <c r="O22" s="17">
        <v>10.0</v>
      </c>
      <c r="P22" s="17"/>
      <c r="Q22" s="18"/>
      <c r="R22" s="17">
        <v>5.0</v>
      </c>
      <c r="S22" s="17"/>
      <c r="T22" s="17">
        <v>2.0</v>
      </c>
      <c r="U22" s="17"/>
      <c r="V22" s="17"/>
      <c r="W22" s="17">
        <v>8.0</v>
      </c>
      <c r="X22" s="17"/>
      <c r="Y22" s="18"/>
      <c r="Z22" s="18"/>
      <c r="AA22" s="17"/>
      <c r="AB22" s="17"/>
      <c r="AC22" s="18"/>
      <c r="AD22" s="17"/>
      <c r="AE22" s="17">
        <v>2.0</v>
      </c>
      <c r="AF22" s="18"/>
      <c r="AG22" s="18">
        <f t="shared" si="1"/>
        <v>43</v>
      </c>
      <c r="AH22" s="18">
        <f t="shared" si="2"/>
        <v>21</v>
      </c>
      <c r="AI22" s="18">
        <f t="shared" si="3"/>
        <v>8</v>
      </c>
      <c r="AJ22" s="18">
        <f t="shared" si="4"/>
        <v>0</v>
      </c>
      <c r="AK22" s="18">
        <f t="shared" si="5"/>
        <v>2</v>
      </c>
      <c r="AL22" s="18">
        <f t="shared" si="6"/>
        <v>1</v>
      </c>
      <c r="AM22" s="19">
        <f t="shared" si="7"/>
        <v>4308000201</v>
      </c>
      <c r="AN22" s="18">
        <f t="shared" si="8"/>
        <v>21</v>
      </c>
    </row>
    <row r="23" ht="16.5" customHeight="1">
      <c r="A23" s="15">
        <v>19.0</v>
      </c>
      <c r="B23" s="20"/>
      <c r="C23" s="16" t="s">
        <v>14</v>
      </c>
      <c r="D23" s="22">
        <v>3.0</v>
      </c>
      <c r="E23" s="22">
        <v>4.0</v>
      </c>
      <c r="F23" s="22">
        <v>6.0</v>
      </c>
      <c r="G23" s="23"/>
      <c r="H23" s="23"/>
      <c r="I23" s="23"/>
      <c r="J23" s="22"/>
      <c r="K23" s="22"/>
      <c r="L23" s="23"/>
      <c r="M23" s="23"/>
      <c r="N23" s="22">
        <v>5.0</v>
      </c>
      <c r="O23" s="22"/>
      <c r="P23" s="22"/>
      <c r="Q23" s="22">
        <v>10.0</v>
      </c>
      <c r="R23" s="23"/>
      <c r="S23" s="22"/>
      <c r="T23" s="23"/>
      <c r="U23" s="23"/>
      <c r="V23" s="22">
        <v>2.0</v>
      </c>
      <c r="W23" s="22">
        <v>3.0</v>
      </c>
      <c r="X23" s="23"/>
      <c r="Y23" s="22"/>
      <c r="Z23" s="22"/>
      <c r="AA23" s="22">
        <v>3.0</v>
      </c>
      <c r="AB23" s="22"/>
      <c r="AC23" s="22">
        <v>4.0</v>
      </c>
      <c r="AD23" s="22"/>
      <c r="AE23" s="22">
        <v>1.0</v>
      </c>
      <c r="AF23" s="22"/>
      <c r="AG23" s="23">
        <f t="shared" si="1"/>
        <v>41</v>
      </c>
      <c r="AH23" s="23">
        <f t="shared" si="2"/>
        <v>22</v>
      </c>
      <c r="AI23" s="23">
        <f t="shared" si="3"/>
        <v>10</v>
      </c>
      <c r="AJ23" s="23">
        <f t="shared" si="4"/>
        <v>0</v>
      </c>
      <c r="AK23" s="23">
        <f t="shared" si="5"/>
        <v>1</v>
      </c>
      <c r="AL23" s="23">
        <f t="shared" si="6"/>
        <v>0</v>
      </c>
      <c r="AM23" s="24">
        <f t="shared" si="7"/>
        <v>4110000100</v>
      </c>
      <c r="AN23" s="23">
        <f t="shared" si="8"/>
        <v>22</v>
      </c>
    </row>
    <row r="24" ht="16.5" customHeight="1">
      <c r="A24" s="15">
        <v>16.0</v>
      </c>
      <c r="B24" s="20"/>
      <c r="C24" s="16" t="s">
        <v>27</v>
      </c>
      <c r="D24" s="17"/>
      <c r="E24" s="17"/>
      <c r="F24" s="18"/>
      <c r="G24" s="17"/>
      <c r="H24" s="17"/>
      <c r="I24" s="17"/>
      <c r="J24" s="17">
        <v>6.0</v>
      </c>
      <c r="K24" s="17">
        <v>6.0</v>
      </c>
      <c r="L24" s="17"/>
      <c r="M24" s="17">
        <v>2.0</v>
      </c>
      <c r="N24" s="17"/>
      <c r="O24" s="17"/>
      <c r="P24" s="17">
        <v>5.0</v>
      </c>
      <c r="Q24" s="18"/>
      <c r="R24" s="18"/>
      <c r="S24" s="17">
        <v>6.0</v>
      </c>
      <c r="T24" s="17"/>
      <c r="U24" s="17"/>
      <c r="V24" s="18"/>
      <c r="W24" s="17"/>
      <c r="X24" s="17"/>
      <c r="Y24" s="17">
        <v>6.0</v>
      </c>
      <c r="Z24" s="17"/>
      <c r="AA24" s="17"/>
      <c r="AB24" s="17"/>
      <c r="AC24" s="17"/>
      <c r="AD24" s="17"/>
      <c r="AE24" s="17">
        <v>5.0</v>
      </c>
      <c r="AF24" s="17"/>
      <c r="AG24" s="18">
        <f t="shared" si="1"/>
        <v>36</v>
      </c>
      <c r="AH24" s="18">
        <f t="shared" si="2"/>
        <v>23</v>
      </c>
      <c r="AI24" s="18">
        <f t="shared" si="3"/>
        <v>7</v>
      </c>
      <c r="AJ24" s="18">
        <f t="shared" si="4"/>
        <v>0</v>
      </c>
      <c r="AK24" s="18">
        <f t="shared" si="5"/>
        <v>0</v>
      </c>
      <c r="AL24" s="18">
        <f t="shared" si="6"/>
        <v>0</v>
      </c>
      <c r="AM24" s="19">
        <f t="shared" si="7"/>
        <v>3607000000</v>
      </c>
      <c r="AN24" s="18">
        <f t="shared" si="8"/>
        <v>23</v>
      </c>
    </row>
    <row r="25" ht="16.5" customHeight="1">
      <c r="A25" s="15">
        <v>24.0</v>
      </c>
      <c r="B25" s="20"/>
      <c r="C25" s="16" t="s">
        <v>16</v>
      </c>
      <c r="D25" s="22"/>
      <c r="E25" s="23"/>
      <c r="F25" s="23"/>
      <c r="G25" s="22"/>
      <c r="H25" s="22">
        <v>1.0</v>
      </c>
      <c r="I25" s="22">
        <v>6.0</v>
      </c>
      <c r="J25" s="23"/>
      <c r="K25" s="22"/>
      <c r="L25" s="23"/>
      <c r="M25" s="23"/>
      <c r="N25" s="22"/>
      <c r="O25" s="23"/>
      <c r="P25" s="22"/>
      <c r="Q25" s="22"/>
      <c r="R25" s="22">
        <v>4.0</v>
      </c>
      <c r="S25" s="22"/>
      <c r="T25" s="22"/>
      <c r="U25" s="22"/>
      <c r="V25" s="22">
        <v>8.0</v>
      </c>
      <c r="W25" s="22">
        <v>2.0</v>
      </c>
      <c r="X25" s="22"/>
      <c r="Y25" s="22">
        <v>5.0</v>
      </c>
      <c r="Z25" s="22"/>
      <c r="AA25" s="22">
        <v>7.0</v>
      </c>
      <c r="AB25" s="23"/>
      <c r="AC25" s="23"/>
      <c r="AD25" s="22"/>
      <c r="AE25" s="23"/>
      <c r="AF25" s="22"/>
      <c r="AG25" s="23">
        <f t="shared" si="1"/>
        <v>33</v>
      </c>
      <c r="AH25" s="23">
        <f t="shared" si="2"/>
        <v>24</v>
      </c>
      <c r="AI25" s="23">
        <f t="shared" si="3"/>
        <v>7</v>
      </c>
      <c r="AJ25" s="23">
        <f t="shared" si="4"/>
        <v>0</v>
      </c>
      <c r="AK25" s="23">
        <f t="shared" si="5"/>
        <v>0</v>
      </c>
      <c r="AL25" s="23">
        <f t="shared" si="6"/>
        <v>1</v>
      </c>
      <c r="AM25" s="24">
        <f t="shared" si="7"/>
        <v>3307000001</v>
      </c>
      <c r="AN25" s="23">
        <f t="shared" si="8"/>
        <v>24</v>
      </c>
    </row>
    <row r="26" ht="16.5" customHeight="1">
      <c r="A26" s="15">
        <v>20.0</v>
      </c>
      <c r="B26" s="20"/>
      <c r="C26" s="16" t="s">
        <v>7</v>
      </c>
      <c r="D26" s="22"/>
      <c r="E26" s="22"/>
      <c r="F26" s="22"/>
      <c r="G26" s="22"/>
      <c r="H26" s="23"/>
      <c r="I26" s="23"/>
      <c r="J26" s="22">
        <v>1.0</v>
      </c>
      <c r="K26" s="23"/>
      <c r="L26" s="23"/>
      <c r="M26" s="22"/>
      <c r="N26" s="22"/>
      <c r="O26" s="22"/>
      <c r="P26" s="22"/>
      <c r="Q26" s="22"/>
      <c r="R26" s="22"/>
      <c r="S26" s="22"/>
      <c r="T26" s="23"/>
      <c r="U26" s="22">
        <v>3.0</v>
      </c>
      <c r="V26" s="22"/>
      <c r="W26" s="23"/>
      <c r="X26" s="22"/>
      <c r="Y26" s="22"/>
      <c r="Z26" s="23"/>
      <c r="AA26" s="22">
        <v>4.0</v>
      </c>
      <c r="AB26" s="22"/>
      <c r="AC26" s="23"/>
      <c r="AD26" s="23"/>
      <c r="AE26" s="23"/>
      <c r="AF26" s="22"/>
      <c r="AG26" s="23">
        <f t="shared" si="1"/>
        <v>8</v>
      </c>
      <c r="AH26" s="23">
        <f t="shared" si="2"/>
        <v>25</v>
      </c>
      <c r="AI26" s="23">
        <f t="shared" si="3"/>
        <v>3</v>
      </c>
      <c r="AJ26" s="23">
        <f t="shared" si="4"/>
        <v>0</v>
      </c>
      <c r="AK26" s="23">
        <f t="shared" si="5"/>
        <v>0</v>
      </c>
      <c r="AL26" s="23">
        <f t="shared" si="6"/>
        <v>0</v>
      </c>
      <c r="AM26" s="24">
        <f t="shared" si="7"/>
        <v>803000000</v>
      </c>
      <c r="AN26" s="23">
        <f t="shared" si="8"/>
        <v>25</v>
      </c>
    </row>
    <row r="27" ht="16.5" customHeight="1">
      <c r="A27" s="26">
        <v>26.0</v>
      </c>
      <c r="B27" s="20"/>
      <c r="C27" s="27"/>
      <c r="D27" s="22"/>
      <c r="E27" s="23"/>
      <c r="F27" s="23"/>
      <c r="G27" s="22"/>
      <c r="H27" s="22"/>
      <c r="I27" s="23"/>
      <c r="J27" s="22"/>
      <c r="K27" s="22"/>
      <c r="L27" s="22"/>
      <c r="M27" s="23"/>
      <c r="N27" s="23"/>
      <c r="O27" s="23"/>
      <c r="P27" s="23"/>
      <c r="Q27" s="22"/>
      <c r="R27" s="22"/>
      <c r="S27" s="22"/>
      <c r="T27" s="22"/>
      <c r="U27" s="23"/>
      <c r="V27" s="23"/>
      <c r="W27" s="22"/>
      <c r="X27" s="22"/>
      <c r="Y27" s="22"/>
      <c r="Z27" s="22"/>
      <c r="AA27" s="22"/>
      <c r="AB27" s="22"/>
      <c r="AC27" s="22"/>
      <c r="AD27" s="22"/>
      <c r="AE27" s="23"/>
      <c r="AF27" s="23"/>
      <c r="AG27" s="23">
        <f t="shared" si="1"/>
        <v>0</v>
      </c>
      <c r="AH27" s="23">
        <f t="shared" si="2"/>
        <v>26</v>
      </c>
      <c r="AI27" s="23">
        <f t="shared" si="3"/>
        <v>0</v>
      </c>
      <c r="AJ27" s="23">
        <f t="shared" si="4"/>
        <v>0</v>
      </c>
      <c r="AK27" s="23">
        <f t="shared" si="5"/>
        <v>0</v>
      </c>
      <c r="AL27" s="23">
        <f t="shared" si="6"/>
        <v>0</v>
      </c>
      <c r="AM27" s="24">
        <f t="shared" si="7"/>
        <v>0</v>
      </c>
      <c r="AN27" s="23">
        <f t="shared" si="8"/>
        <v>26</v>
      </c>
    </row>
    <row r="28" ht="16.5" customHeight="1">
      <c r="A28" s="22">
        <v>27.0</v>
      </c>
      <c r="B28" s="28"/>
      <c r="C28" s="28"/>
      <c r="D28" s="23"/>
      <c r="E28" s="23"/>
      <c r="F28" s="23"/>
      <c r="G28" s="23"/>
      <c r="H28" s="23"/>
      <c r="I28" s="23"/>
      <c r="J28" s="22"/>
      <c r="K28" s="23"/>
      <c r="L28" s="23"/>
      <c r="M28" s="23"/>
      <c r="N28" s="22"/>
      <c r="O28" s="22"/>
      <c r="P28" s="22"/>
      <c r="Q28" s="22"/>
      <c r="R28" s="23"/>
      <c r="S28" s="22"/>
      <c r="T28" s="23"/>
      <c r="U28" s="23"/>
      <c r="V28" s="23"/>
      <c r="W28" s="22"/>
      <c r="X28" s="23"/>
      <c r="Y28" s="23"/>
      <c r="Z28" s="22"/>
      <c r="AA28" s="23"/>
      <c r="AB28" s="22"/>
      <c r="AC28" s="23"/>
      <c r="AD28" s="22"/>
      <c r="AE28" s="22"/>
      <c r="AF28" s="23"/>
      <c r="AG28" s="23">
        <f t="shared" si="1"/>
        <v>0</v>
      </c>
      <c r="AH28" s="23">
        <f t="shared" si="2"/>
        <v>26</v>
      </c>
      <c r="AI28" s="23">
        <f t="shared" si="3"/>
        <v>0</v>
      </c>
      <c r="AJ28" s="23">
        <f t="shared" si="4"/>
        <v>0</v>
      </c>
      <c r="AK28" s="23">
        <f t="shared" si="5"/>
        <v>0</v>
      </c>
      <c r="AL28" s="23">
        <f t="shared" si="6"/>
        <v>0</v>
      </c>
      <c r="AM28" s="24">
        <f t="shared" si="7"/>
        <v>0</v>
      </c>
      <c r="AN28" s="23">
        <f t="shared" si="8"/>
        <v>26</v>
      </c>
    </row>
    <row r="30">
      <c r="C30" s="29" t="s">
        <v>40</v>
      </c>
      <c r="D30" s="30">
        <f t="shared" ref="D30:AF30" si="9">SUM(D2:D28)</f>
        <v>58</v>
      </c>
      <c r="E30" s="30">
        <f t="shared" si="9"/>
        <v>58</v>
      </c>
      <c r="F30" s="30">
        <f t="shared" si="9"/>
        <v>58</v>
      </c>
      <c r="G30" s="30">
        <f t="shared" si="9"/>
        <v>58</v>
      </c>
      <c r="H30" s="30">
        <f t="shared" si="9"/>
        <v>58</v>
      </c>
      <c r="I30" s="30">
        <f t="shared" si="9"/>
        <v>58</v>
      </c>
      <c r="J30" s="30">
        <f t="shared" si="9"/>
        <v>58</v>
      </c>
      <c r="K30" s="30">
        <f t="shared" si="9"/>
        <v>58</v>
      </c>
      <c r="L30" s="30">
        <f t="shared" si="9"/>
        <v>58</v>
      </c>
      <c r="M30" s="30">
        <f t="shared" si="9"/>
        <v>58</v>
      </c>
      <c r="N30" s="30">
        <f t="shared" si="9"/>
        <v>58</v>
      </c>
      <c r="O30" s="30">
        <f t="shared" si="9"/>
        <v>58</v>
      </c>
      <c r="P30" s="30">
        <f t="shared" si="9"/>
        <v>58</v>
      </c>
      <c r="Q30" s="30">
        <f t="shared" si="9"/>
        <v>58</v>
      </c>
      <c r="R30" s="30">
        <f t="shared" si="9"/>
        <v>58</v>
      </c>
      <c r="S30" s="30">
        <f t="shared" si="9"/>
        <v>58</v>
      </c>
      <c r="T30" s="30">
        <f t="shared" si="9"/>
        <v>58</v>
      </c>
      <c r="U30" s="30">
        <f t="shared" si="9"/>
        <v>58</v>
      </c>
      <c r="V30" s="30">
        <f t="shared" si="9"/>
        <v>58</v>
      </c>
      <c r="W30" s="30">
        <f t="shared" si="9"/>
        <v>58</v>
      </c>
      <c r="X30" s="30">
        <f t="shared" si="9"/>
        <v>58</v>
      </c>
      <c r="Y30" s="30">
        <f t="shared" si="9"/>
        <v>58</v>
      </c>
      <c r="Z30" s="30">
        <f t="shared" si="9"/>
        <v>0</v>
      </c>
      <c r="AA30" s="30">
        <f t="shared" si="9"/>
        <v>58</v>
      </c>
      <c r="AB30" s="30">
        <f t="shared" si="9"/>
        <v>58</v>
      </c>
      <c r="AC30" s="30">
        <f t="shared" si="9"/>
        <v>58</v>
      </c>
      <c r="AD30" s="30">
        <f t="shared" si="9"/>
        <v>58</v>
      </c>
      <c r="AE30" s="30">
        <f t="shared" si="9"/>
        <v>58</v>
      </c>
      <c r="AF30" s="30">
        <f t="shared" si="9"/>
        <v>0</v>
      </c>
      <c r="AH30" s="29" t="s">
        <v>41</v>
      </c>
      <c r="AI30" s="29">
        <v>68.0</v>
      </c>
      <c r="AJ30" s="29">
        <v>10.0</v>
      </c>
      <c r="AK30" s="30">
        <v>14.0</v>
      </c>
    </row>
    <row r="31">
      <c r="C31" s="29" t="s">
        <v>42</v>
      </c>
      <c r="D31" s="30" t="b">
        <f>IFERROR(__xludf.DUMMYFUNCTION("AND(COUNTIF(D2:D28, 1) = 1, 
    COUNTIF(D2:D28, 2) = 1, 
    COUNTIF(D2:D28, 3) = 1, 
    COUNTIF(D2:D28, 4) = 1, 
    COUNTIF(D2:D28, 5) = 1, 
    COUNTIF(D2:D28, 6) = 1, 
    COUNTIF(D2:D28, 7) = 1, 
    COUNTIF(D2:D28, 8) = 1, 
    COUNTIF(D2:D28, 10)"&amp;" = 1, 
    COUNTIF(D2:D28, 12) = 1, 
    COUNTUNIQUE(D2:D28) = 10)"),TRUE)</f>
        <v>1</v>
      </c>
      <c r="E31" s="30" t="b">
        <f>IFERROR(__xludf.DUMMYFUNCTION("AND(COUNTIF(E2:E28, 1) = 1, 
    COUNTIF(E2:E28, 2) = 1, 
    COUNTIF(E2:E28, 3) = 1, 
    COUNTIF(E2:E28, 4) = 1, 
    COUNTIF(E2:E28, 5) = 1, 
    COUNTIF(E2:E28, 6) = 1, 
    COUNTIF(E2:E28, 7) = 1, 
    COUNTIF(E2:E28, 8) = 1, 
    COUNTIF(E2:E28, 10)"&amp;" = 1, 
    COUNTIF(E2:E28, 12) = 1, 
    COUNTUNIQUE(E2:E28) = 10)"),TRUE)</f>
        <v>1</v>
      </c>
      <c r="F31" s="30" t="b">
        <f>IFERROR(__xludf.DUMMYFUNCTION("AND(COUNTIF(F2:F28, 1) = 1, 
    COUNTIF(F2:F28, 2) = 1, 
    COUNTIF(F2:F28, 3) = 1, 
    COUNTIF(F2:F28, 4) = 1, 
    COUNTIF(F2:F28, 5) = 1, 
    COUNTIF(F2:F28, 6) = 1, 
    COUNTIF(F2:F28, 7) = 1, 
    COUNTIF(F2:F28, 8) = 1, 
    COUNTIF(F2:F28, 10)"&amp;" = 1, 
    COUNTIF(F2:F28, 12) = 1, 
    COUNTUNIQUE(F2:F28) = 10)"),TRUE)</f>
        <v>1</v>
      </c>
      <c r="G31" s="30" t="b">
        <f>IFERROR(__xludf.DUMMYFUNCTION("AND(COUNTIF(G2:G28, 1) = 1, 
    COUNTIF(G2:G28, 2) = 1, 
    COUNTIF(G2:G28, 3) = 1, 
    COUNTIF(G2:G28, 4) = 1, 
    COUNTIF(G2:G28, 5) = 1, 
    COUNTIF(G2:G28, 6) = 1, 
    COUNTIF(G2:G28, 7) = 1, 
    COUNTIF(G2:G28, 8) = 1, 
    COUNTIF(G2:G28, 10)"&amp;" = 1, 
    COUNTIF(G2:G28, 12) = 1, 
    COUNTUNIQUE(G2:G28) = 10)"),TRUE)</f>
        <v>1</v>
      </c>
      <c r="H31" s="30" t="b">
        <f>IFERROR(__xludf.DUMMYFUNCTION("AND(COUNTIF(H2:H28, 1) = 1, 
    COUNTIF(H2:H28, 2) = 1, 
    COUNTIF(H2:H28, 3) = 1, 
    COUNTIF(H2:H28, 4) = 1, 
    COUNTIF(H2:H28, 5) = 1, 
    COUNTIF(H2:H28, 6) = 1, 
    COUNTIF(H2:H28, 7) = 1, 
    COUNTIF(H2:H28, 8) = 1, 
    COUNTIF(H2:H28, 10)"&amp;" = 1, 
    COUNTIF(H2:H28, 12) = 1, 
    COUNTUNIQUE(H2:H28) = 10)"),TRUE)</f>
        <v>1</v>
      </c>
      <c r="I31" s="30" t="b">
        <f>IFERROR(__xludf.DUMMYFUNCTION("AND(COUNTIF(I2:I28, 1) = 1, 
    COUNTIF(I2:I28, 2) = 1, 
    COUNTIF(I2:I28, 3) = 1, 
    COUNTIF(I2:I28, 4) = 1, 
    COUNTIF(I2:I28, 5) = 1, 
    COUNTIF(I2:I28, 6) = 1, 
    COUNTIF(I2:I28, 7) = 1, 
    COUNTIF(I2:I28, 8) = 1, 
    COUNTIF(I2:I28, 10)"&amp;" = 1, 
    COUNTIF(I2:I28, 12) = 1, 
    COUNTUNIQUE(I2:I28) = 10)"),TRUE)</f>
        <v>1</v>
      </c>
      <c r="J31" s="30" t="b">
        <f>IFERROR(__xludf.DUMMYFUNCTION("AND(COUNTIF(J2:J28, 1) = 1, 
    COUNTIF(J2:J28, 2) = 1, 
    COUNTIF(J2:J28, 3) = 1, 
    COUNTIF(J2:J28, 4) = 1, 
    COUNTIF(J2:J28, 5) = 1, 
    COUNTIF(J2:J28, 6) = 1, 
    COUNTIF(J2:J28, 7) = 1, 
    COUNTIF(J2:J28, 8) = 1, 
    COUNTIF(J2:J28, 10)"&amp;" = 1, 
    COUNTIF(J2:J28, 12) = 1, 
    COUNTUNIQUE(J2:J28) = 10)"),TRUE)</f>
        <v>1</v>
      </c>
      <c r="K31" s="30" t="b">
        <f>IFERROR(__xludf.DUMMYFUNCTION("AND(COUNTIF(K2:K28, 1) = 1, 
    COUNTIF(K2:K28, 2) = 1, 
    COUNTIF(K2:K28, 3) = 1, 
    COUNTIF(K2:K28, 4) = 1, 
    COUNTIF(K2:K28, 5) = 1, 
    COUNTIF(K2:K28, 6) = 1, 
    COUNTIF(K2:K28, 7) = 1, 
    COUNTIF(K2:K28, 8) = 1, 
    COUNTIF(K2:K28, 10)"&amp;" = 1, 
    COUNTIF(K2:K28, 12) = 1, 
    COUNTUNIQUE(K2:K28) = 10)"),TRUE)</f>
        <v>1</v>
      </c>
      <c r="L31" s="30" t="b">
        <f>IFERROR(__xludf.DUMMYFUNCTION("AND(COUNTIF(L2:L28, 1) = 1, 
    COUNTIF(L2:L28, 2) = 1, 
    COUNTIF(L2:L28, 3) = 1, 
    COUNTIF(L2:L28, 4) = 1, 
    COUNTIF(L2:L28, 5) = 1, 
    COUNTIF(L2:L28, 6) = 1, 
    COUNTIF(L2:L28, 7) = 1, 
    COUNTIF(L2:L28, 8) = 1, 
    COUNTIF(L2:L28, 10)"&amp;" = 1, 
    COUNTIF(L2:L28, 12) = 1, 
    COUNTUNIQUE(L2:L28) = 10)"),TRUE)</f>
        <v>1</v>
      </c>
      <c r="M31" s="30" t="b">
        <f>IFERROR(__xludf.DUMMYFUNCTION("AND(COUNTIF(M2:M28, 1) = 1, 
    COUNTIF(M2:M28, 2) = 1, 
    COUNTIF(M2:M28, 3) = 1, 
    COUNTIF(M2:M28, 4) = 1, 
    COUNTIF(M2:M28, 5) = 1, 
    COUNTIF(M2:M28, 6) = 1, 
    COUNTIF(M2:M28, 7) = 1, 
    COUNTIF(M2:M28, 8) = 1, 
    COUNTIF(M2:M28, 10)"&amp;" = 1, 
    COUNTIF(M2:M28, 12) = 1, 
    COUNTUNIQUE(M2:M28) = 10)"),TRUE)</f>
        <v>1</v>
      </c>
      <c r="N31" s="30" t="b">
        <f>IFERROR(__xludf.DUMMYFUNCTION("AND(COUNTIF(N2:N28, 1) = 1, 
    COUNTIF(N2:N28, 2) = 1, 
    COUNTIF(N2:N28, 3) = 1, 
    COUNTIF(N2:N28, 4) = 1, 
    COUNTIF(N2:N28, 5) = 1, 
    COUNTIF(N2:N28, 6) = 1, 
    COUNTIF(N2:N28, 7) = 1, 
    COUNTIF(N2:N28, 8) = 1, 
    COUNTIF(N2:N28, 10)"&amp;" = 1, 
    COUNTIF(N2:N28, 12) = 1, 
    COUNTUNIQUE(N2:N28) = 10)"),TRUE)</f>
        <v>1</v>
      </c>
      <c r="O31" s="30" t="b">
        <f>IFERROR(__xludf.DUMMYFUNCTION("AND(COUNTIF(O2:O28, 1) = 1, 
    COUNTIF(O2:O28, 2) = 1, 
    COUNTIF(O2:O28, 3) = 1, 
    COUNTIF(O2:O28, 4) = 1, 
    COUNTIF(O2:O28, 5) = 1, 
    COUNTIF(O2:O28, 6) = 1, 
    COUNTIF(O2:O28, 7) = 1, 
    COUNTIF(O2:O28, 8) = 1, 
    COUNTIF(O2:O28, 10)"&amp;" = 1, 
    COUNTIF(O2:O28, 12) = 1, 
    COUNTUNIQUE(O2:O28) = 10)"),TRUE)</f>
        <v>1</v>
      </c>
      <c r="P31" s="30" t="b">
        <f>IFERROR(__xludf.DUMMYFUNCTION("AND(COUNTIF(P2:P28, 1) = 1, 
    COUNTIF(P2:P28, 2) = 1, 
    COUNTIF(P2:P28, 3) = 1, 
    COUNTIF(P2:P28, 4) = 1, 
    COUNTIF(P2:P28, 5) = 1, 
    COUNTIF(P2:P28, 6) = 1, 
    COUNTIF(P2:P28, 7) = 1, 
    COUNTIF(P2:P28, 8) = 1, 
    COUNTIF(P2:P28, 10)"&amp;" = 1, 
    COUNTIF(P2:P28, 12) = 1, 
    COUNTUNIQUE(P2:P28) = 10)"),TRUE)</f>
        <v>1</v>
      </c>
      <c r="Q31" s="30" t="b">
        <f>IFERROR(__xludf.DUMMYFUNCTION("AND(COUNTIF(Q2:Q28, 1) = 1, 
    COUNTIF(Q2:Q28, 2) = 1, 
    COUNTIF(Q2:Q28, 3) = 1, 
    COUNTIF(Q2:Q28, 4) = 1, 
    COUNTIF(Q2:Q28, 5) = 1, 
    COUNTIF(Q2:Q28, 6) = 1, 
    COUNTIF(Q2:Q28, 7) = 1, 
    COUNTIF(Q2:Q28, 8) = 1, 
    COUNTIF(Q2:Q28, 10)"&amp;" = 1, 
    COUNTIF(Q2:Q28, 12) = 1, 
    COUNTUNIQUE(Q2:Q28) = 10)"),TRUE)</f>
        <v>1</v>
      </c>
      <c r="R31" s="30" t="b">
        <f>IFERROR(__xludf.DUMMYFUNCTION("AND(COUNTIF(R2:R28, 1) = 1, 
    COUNTIF(R2:R28, 2) = 1, 
    COUNTIF(R2:R28, 3) = 1, 
    COUNTIF(R2:R28, 4) = 1, 
    COUNTIF(R2:R28, 5) = 1, 
    COUNTIF(R2:R28, 6) = 1, 
    COUNTIF(R2:R28, 7) = 1, 
    COUNTIF(R2:R28, 8) = 1, 
    COUNTIF(R2:R28, 10)"&amp;" = 1, 
    COUNTIF(R2:R28, 12) = 1, 
    COUNTUNIQUE(R2:R28) = 10)"),TRUE)</f>
        <v>1</v>
      </c>
      <c r="S31" s="30" t="b">
        <f>IFERROR(__xludf.DUMMYFUNCTION("AND(COUNTIF(S2:S28, 1) = 1, 
    COUNTIF(S2:S28, 2) = 1, 
    COUNTIF(S2:S28, 3) = 1, 
    COUNTIF(S2:S28, 4) = 1, 
    COUNTIF(S2:S28, 5) = 1, 
    COUNTIF(S2:S28, 6) = 1, 
    COUNTIF(S2:S28, 7) = 1, 
    COUNTIF(S2:S28, 8) = 1, 
    COUNTIF(S2:S28, 10)"&amp;" = 1, 
    COUNTIF(S2:S28, 12) = 1, 
    COUNTUNIQUE(S2:S28) = 10)"),TRUE)</f>
        <v>1</v>
      </c>
      <c r="T31" s="30" t="b">
        <f>IFERROR(__xludf.DUMMYFUNCTION("AND(COUNTIF(T2:T28, 1) = 1, 
    COUNTIF(T2:T28, 2) = 1, 
    COUNTIF(T2:T28, 3) = 1, 
    COUNTIF(T2:T28, 4) = 1, 
    COUNTIF(T2:T28, 5) = 1, 
    COUNTIF(T2:T28, 6) = 1, 
    COUNTIF(T2:T28, 7) = 1, 
    COUNTIF(T2:T28, 8) = 1, 
    COUNTIF(T2:T28, 10)"&amp;" = 1, 
    COUNTIF(T2:T28, 12) = 1, 
    COUNTUNIQUE(T2:T28) = 10)"),TRUE)</f>
        <v>1</v>
      </c>
      <c r="U31" s="30" t="b">
        <f>IFERROR(__xludf.DUMMYFUNCTION("AND(COUNTIF(U2:U28, 1) = 1, 
    COUNTIF(U2:U28, 2) = 1, 
    COUNTIF(U2:U28, 3) = 1, 
    COUNTIF(U2:U28, 4) = 1, 
    COUNTIF(U2:U28, 5) = 1, 
    COUNTIF(U2:U28, 6) = 1, 
    COUNTIF(U2:U28, 7) = 1, 
    COUNTIF(U2:U28, 8) = 1, 
    COUNTIF(U2:U28, 10)"&amp;" = 1, 
    COUNTIF(U2:U28, 12) = 1, 
    COUNTUNIQUE(U2:U28) = 10)"),TRUE)</f>
        <v>1</v>
      </c>
      <c r="V31" s="30" t="b">
        <f>IFERROR(__xludf.DUMMYFUNCTION("AND(COUNTIF(V2:V28, 1) = 1, 
    COUNTIF(V2:V28, 2) = 1, 
    COUNTIF(V2:V28, 3) = 1, 
    COUNTIF(V2:V28, 4) = 1, 
    COUNTIF(V2:V28, 5) = 1, 
    COUNTIF(V2:V28, 6) = 1, 
    COUNTIF(V2:V28, 7) = 1, 
    COUNTIF(V2:V28, 8) = 1, 
    COUNTIF(V2:V28, 10)"&amp;" = 1, 
    COUNTIF(V2:V28, 12) = 1, 
    COUNTUNIQUE(V2:V28) = 10)"),TRUE)</f>
        <v>1</v>
      </c>
      <c r="W31" s="30" t="b">
        <f>IFERROR(__xludf.DUMMYFUNCTION("AND(COUNTIF(W2:W28, 1) = 1, 
    COUNTIF(W2:W28, 2) = 1, 
    COUNTIF(W2:W28, 3) = 1, 
    COUNTIF(W2:W28, 4) = 1, 
    COUNTIF(W2:W28, 5) = 1, 
    COUNTIF(W2:W28, 6) = 1, 
    COUNTIF(W2:W28, 7) = 1, 
    COUNTIF(W2:W28, 8) = 1, 
    COUNTIF(W2:W28, 10)"&amp;" = 1, 
    COUNTIF(W2:W28, 12) = 1, 
    COUNTUNIQUE(W2:W28) = 10)"),TRUE)</f>
        <v>1</v>
      </c>
      <c r="X31" s="30" t="b">
        <f>IFERROR(__xludf.DUMMYFUNCTION("AND(COUNTIF(X2:X28, 1) = 1, 
    COUNTIF(X2:X28, 2) = 1, 
    COUNTIF(X2:X28, 3) = 1, 
    COUNTIF(X2:X28, 4) = 1, 
    COUNTIF(X2:X28, 5) = 1, 
    COUNTIF(X2:X28, 6) = 1, 
    COUNTIF(X2:X28, 7) = 1, 
    COUNTIF(X2:X28, 8) = 1, 
    COUNTIF(X2:X28, 10)"&amp;" = 1, 
    COUNTIF(X2:X28, 12) = 1, 
    COUNTUNIQUE(X2:X28) = 10)"),TRUE)</f>
        <v>1</v>
      </c>
      <c r="Y31" s="30" t="b">
        <f>IFERROR(__xludf.DUMMYFUNCTION("AND(COUNTIF(Y2:Y28, 1) = 1, 
    COUNTIF(Y2:Y28, 2) = 1, 
    COUNTIF(Y2:Y28, 3) = 1, 
    COUNTIF(Y2:Y28, 4) = 1, 
    COUNTIF(Y2:Y28, 5) = 1, 
    COUNTIF(Y2:Y28, 6) = 1, 
    COUNTIF(Y2:Y28, 7) = 1, 
    COUNTIF(Y2:Y28, 8) = 1, 
    COUNTIF(Y2:Y28, 10)"&amp;" = 1, 
    COUNTIF(Y2:Y28, 12) = 1, 
    COUNTUNIQUE(Y2:Y28) = 10)"),TRUE)</f>
        <v>1</v>
      </c>
      <c r="Z31" s="30" t="b">
        <f>IFERROR(__xludf.DUMMYFUNCTION("AND(COUNTIF(Z2:Z28, 1) = 1, 
    COUNTIF(Z2:Z28, 2) = 1, 
    COUNTIF(Z2:Z28, 3) = 1, 
    COUNTIF(Z2:Z28, 4) = 1, 
    COUNTIF(Z2:Z28, 5) = 1, 
    COUNTIF(Z2:Z28, 6) = 1, 
    COUNTIF(Z2:Z28, 7) = 1, 
    COUNTIF(Z2:Z28, 8) = 1, 
    COUNTIF(Z2:Z28, 10)"&amp;" = 1, 
    COUNTIF(Z2:Z28, 12) = 1, 
    COUNTUNIQUE(Z2:Z28) = 10)"),FALSE)</f>
        <v>0</v>
      </c>
      <c r="AA31" s="30" t="b">
        <f>IFERROR(__xludf.DUMMYFUNCTION("AND(COUNTIF(AA2:AA28, 1) = 1, 
    COUNTIF(AA2:AA28, 2) = 1, 
    COUNTIF(AA2:AA28, 3) = 1, 
    COUNTIF(AA2:AA28, 4) = 1, 
    COUNTIF(AA2:AA28, 5) = 1, 
    COUNTIF(AA2:AA28, 6) = 1, 
    COUNTIF(AA2:AA28, 7) = 1, 
    COUNTIF(AA2:AA28, 8) = 1, 
    COU"&amp;"NTIF(AA2:AA28, 10) = 1, 
    COUNTIF(AA2:AA28, 12) = 1, 
    COUNTUNIQUE(AA2:AA28) = 10)"),TRUE)</f>
        <v>1</v>
      </c>
      <c r="AB31" s="30" t="b">
        <f>IFERROR(__xludf.DUMMYFUNCTION("AND(COUNTIF(AB2:AB28, 1) = 1, 
    COUNTIF(AB2:AB28, 2) = 1, 
    COUNTIF(AB2:AB28, 3) = 1, 
    COUNTIF(AB2:AB28, 4) = 1, 
    COUNTIF(AB2:AB28, 5) = 1, 
    COUNTIF(AB2:AB28, 6) = 1, 
    COUNTIF(AB2:AB28, 7) = 1, 
    COUNTIF(AB2:AB28, 8) = 1, 
    COU"&amp;"NTIF(AB2:AB28, 10) = 1, 
    COUNTIF(AB2:AB28, 12) = 1, 
    COUNTUNIQUE(AB2:AB28) = 10)"),TRUE)</f>
        <v>1</v>
      </c>
      <c r="AC31" s="30" t="b">
        <f>IFERROR(__xludf.DUMMYFUNCTION("AND(COUNTIF(AC2:AC28, 1) = 1, 
    COUNTIF(AC2:AC28, 2) = 1, 
    COUNTIF(AC2:AC28, 3) = 1, 
    COUNTIF(AC2:AC28, 4) = 1, 
    COUNTIF(AC2:AC28, 5) = 1, 
    COUNTIF(AC2:AC28, 6) = 1, 
    COUNTIF(AC2:AC28, 7) = 1, 
    COUNTIF(AC2:AC28, 8) = 1, 
    COU"&amp;"NTIF(AC2:AC28, 10) = 1, 
    COUNTIF(AC2:AC28, 12) = 1, 
    COUNTUNIQUE(AC2:AC28) = 10)"),TRUE)</f>
        <v>1</v>
      </c>
      <c r="AD31" s="30" t="b">
        <f>IFERROR(__xludf.DUMMYFUNCTION("AND(COUNTIF(AD2:AD28, 1) = 1, 
    COUNTIF(AD2:AD28, 2) = 1, 
    COUNTIF(AD2:AD28, 3) = 1, 
    COUNTIF(AD2:AD28, 4) = 1, 
    COUNTIF(AD2:AD28, 5) = 1, 
    COUNTIF(AD2:AD28, 6) = 1, 
    COUNTIF(AD2:AD28, 7) = 1, 
    COUNTIF(AD2:AD28, 8) = 1, 
    COU"&amp;"NTIF(AD2:AD28, 10) = 1, 
    COUNTIF(AD2:AD28, 12) = 1, 
    COUNTUNIQUE(AD2:AD28) = 10)"),TRUE)</f>
        <v>1</v>
      </c>
      <c r="AE31" s="30" t="b">
        <f>IFERROR(__xludf.DUMMYFUNCTION("AND(COUNTIF(AE2:AE28, 1) = 1, 
    COUNTIF(AE2:AE28, 2) = 1, 
    COUNTIF(AE2:AE28, 3) = 1, 
    COUNTIF(AE2:AE28, 4) = 1, 
    COUNTIF(AE2:AE28, 5) = 1, 
    COUNTIF(AE2:AE28, 6) = 1, 
    COUNTIF(AE2:AE28, 7) = 1, 
    COUNTIF(AE2:AE28, 8) = 1, 
    COU"&amp;"NTIF(AE2:AE28, 10) = 1, 
    COUNTIF(AE2:AE28, 12) = 1, 
    COUNTUNIQUE(AE2:AE28) = 10)"),TRUE)</f>
        <v>1</v>
      </c>
      <c r="AF31" s="30" t="b">
        <f>IFERROR(__xludf.DUMMYFUNCTION("AND(COUNTIF(AF2:AF28, 1) = 1, 
    COUNTIF(AF2:AF28, 2) = 1, 
    COUNTIF(AF2:AF28, 3) = 1, 
    COUNTIF(AF2:AF28, 4) = 1, 
    COUNTIF(AF2:AF28, 5) = 1, 
    COUNTIF(AF2:AF28, 6) = 1, 
    COUNTIF(AF2:AF28, 7) = 1, 
    COUNTIF(AF2:AF28, 8) = 1, 
    COU"&amp;"NTIF(AF2:AF28, 10) = 1, 
    COUNTIF(AF2:AF28, 12) = 1, 
    COUNTUNIQUE(AF2:AF28) = 10)"),FALSE)</f>
        <v>0</v>
      </c>
      <c r="AH31" s="31" t="s">
        <v>6</v>
      </c>
      <c r="AI31" s="32">
        <v>68.0</v>
      </c>
      <c r="AJ31" s="32">
        <v>10.0</v>
      </c>
      <c r="AK31" s="32">
        <v>13.0</v>
      </c>
    </row>
    <row r="32">
      <c r="C32" s="29" t="s">
        <v>43</v>
      </c>
      <c r="D32" s="30">
        <f t="shared" ref="D32:AF32" si="10">COUNT(D2:D28)</f>
        <v>10</v>
      </c>
      <c r="E32" s="30">
        <f t="shared" si="10"/>
        <v>10</v>
      </c>
      <c r="F32" s="30">
        <f t="shared" si="10"/>
        <v>10</v>
      </c>
      <c r="G32" s="30">
        <f t="shared" si="10"/>
        <v>10</v>
      </c>
      <c r="H32" s="30">
        <f t="shared" si="10"/>
        <v>10</v>
      </c>
      <c r="I32" s="30">
        <f t="shared" si="10"/>
        <v>10</v>
      </c>
      <c r="J32" s="30">
        <f t="shared" si="10"/>
        <v>10</v>
      </c>
      <c r="K32" s="30">
        <f t="shared" si="10"/>
        <v>10</v>
      </c>
      <c r="L32" s="30">
        <f t="shared" si="10"/>
        <v>10</v>
      </c>
      <c r="M32" s="30">
        <f t="shared" si="10"/>
        <v>10</v>
      </c>
      <c r="N32" s="30">
        <f t="shared" si="10"/>
        <v>10</v>
      </c>
      <c r="O32" s="30">
        <f t="shared" si="10"/>
        <v>10</v>
      </c>
      <c r="P32" s="30">
        <f t="shared" si="10"/>
        <v>10</v>
      </c>
      <c r="Q32" s="30">
        <f t="shared" si="10"/>
        <v>10</v>
      </c>
      <c r="R32" s="30">
        <f t="shared" si="10"/>
        <v>10</v>
      </c>
      <c r="S32" s="30">
        <f t="shared" si="10"/>
        <v>10</v>
      </c>
      <c r="T32" s="30">
        <f t="shared" si="10"/>
        <v>10</v>
      </c>
      <c r="U32" s="30">
        <f t="shared" si="10"/>
        <v>10</v>
      </c>
      <c r="V32" s="30">
        <f t="shared" si="10"/>
        <v>10</v>
      </c>
      <c r="W32" s="30">
        <f t="shared" si="10"/>
        <v>10</v>
      </c>
      <c r="X32" s="30">
        <f t="shared" si="10"/>
        <v>10</v>
      </c>
      <c r="Y32" s="30">
        <f t="shared" si="10"/>
        <v>10</v>
      </c>
      <c r="Z32" s="30">
        <f t="shared" si="10"/>
        <v>0</v>
      </c>
      <c r="AA32" s="30">
        <f t="shared" si="10"/>
        <v>10</v>
      </c>
      <c r="AB32" s="30">
        <f t="shared" si="10"/>
        <v>10</v>
      </c>
      <c r="AC32" s="30">
        <f t="shared" si="10"/>
        <v>10</v>
      </c>
      <c r="AD32" s="30">
        <f t="shared" si="10"/>
        <v>10</v>
      </c>
      <c r="AE32" s="30">
        <f t="shared" si="10"/>
        <v>10</v>
      </c>
      <c r="AF32" s="30">
        <f t="shared" si="10"/>
        <v>0</v>
      </c>
      <c r="AH32" s="31" t="s">
        <v>20</v>
      </c>
      <c r="AI32" s="32">
        <v>68.0</v>
      </c>
      <c r="AJ32" s="32">
        <v>10.0</v>
      </c>
      <c r="AK32" s="32">
        <v>10.0</v>
      </c>
    </row>
    <row r="33">
      <c r="D33" s="33" t="s">
        <v>3</v>
      </c>
      <c r="E33" s="33" t="s">
        <v>4</v>
      </c>
      <c r="F33" s="33" t="s">
        <v>5</v>
      </c>
      <c r="G33" s="33" t="s">
        <v>6</v>
      </c>
      <c r="H33" s="33" t="s">
        <v>7</v>
      </c>
      <c r="I33" s="33" t="s">
        <v>8</v>
      </c>
      <c r="J33" s="33" t="s">
        <v>9</v>
      </c>
      <c r="K33" s="33" t="s">
        <v>10</v>
      </c>
      <c r="L33" s="29" t="s">
        <v>11</v>
      </c>
      <c r="M33" s="33" t="s">
        <v>12</v>
      </c>
      <c r="N33" s="33" t="s">
        <v>13</v>
      </c>
      <c r="O33" s="33" t="s">
        <v>14</v>
      </c>
      <c r="P33" s="33" t="s">
        <v>15</v>
      </c>
      <c r="Q33" s="33" t="s">
        <v>16</v>
      </c>
      <c r="R33" s="33" t="s">
        <v>17</v>
      </c>
      <c r="S33" s="33" t="s">
        <v>18</v>
      </c>
      <c r="T33" s="33" t="s">
        <v>19</v>
      </c>
      <c r="U33" s="33" t="s">
        <v>20</v>
      </c>
      <c r="V33" s="33" t="s">
        <v>21</v>
      </c>
      <c r="W33" s="33" t="s">
        <v>22</v>
      </c>
      <c r="X33" s="33" t="s">
        <v>23</v>
      </c>
      <c r="Y33" s="33" t="s">
        <v>24</v>
      </c>
      <c r="Z33" s="33" t="s">
        <v>25</v>
      </c>
      <c r="AA33" s="33" t="s">
        <v>26</v>
      </c>
      <c r="AB33" s="29" t="s">
        <v>27</v>
      </c>
      <c r="AC33" s="33" t="s">
        <v>28</v>
      </c>
      <c r="AD33" s="34" t="s">
        <v>29</v>
      </c>
      <c r="AE33" s="29" t="s">
        <v>30</v>
      </c>
      <c r="AH33" s="31" t="s">
        <v>4</v>
      </c>
      <c r="AI33" s="32">
        <v>65.0</v>
      </c>
      <c r="AJ33" s="32">
        <v>13.0</v>
      </c>
      <c r="AK33" s="32"/>
    </row>
    <row r="34">
      <c r="AH34" s="31" t="s">
        <v>10</v>
      </c>
      <c r="AI34" s="32">
        <v>61.0</v>
      </c>
      <c r="AJ34" s="32">
        <v>14.0</v>
      </c>
      <c r="AK34" s="32"/>
    </row>
    <row r="35">
      <c r="AH35" s="31" t="s">
        <v>11</v>
      </c>
      <c r="AI35" s="32">
        <v>60.0</v>
      </c>
      <c r="AJ35" s="32">
        <v>15.0</v>
      </c>
      <c r="AK35" s="32"/>
    </row>
    <row r="36">
      <c r="AH36" s="31" t="s">
        <v>21</v>
      </c>
      <c r="AI36" s="32">
        <v>57.0</v>
      </c>
      <c r="AJ36" s="32">
        <v>16.0</v>
      </c>
      <c r="AK36" s="32"/>
    </row>
    <row r="37">
      <c r="AH37" s="31" t="s">
        <v>5</v>
      </c>
      <c r="AI37" s="32">
        <v>55.0</v>
      </c>
      <c r="AJ37" s="32">
        <v>17.0</v>
      </c>
      <c r="AK37" s="32"/>
    </row>
    <row r="38">
      <c r="AH38" s="31" t="s">
        <v>25</v>
      </c>
      <c r="AI38" s="32">
        <v>54.0</v>
      </c>
      <c r="AJ38" s="32">
        <v>18.0</v>
      </c>
      <c r="AK38" s="32"/>
    </row>
    <row r="39">
      <c r="AH39" s="31" t="s">
        <v>15</v>
      </c>
      <c r="AI39" s="32">
        <v>49.0</v>
      </c>
      <c r="AJ39" s="32">
        <v>19.0</v>
      </c>
      <c r="AK39" s="32"/>
    </row>
    <row r="40">
      <c r="AH40" s="35" t="s">
        <v>44</v>
      </c>
      <c r="AI40" s="36">
        <v>44.0</v>
      </c>
      <c r="AJ40" s="36">
        <v>20.0</v>
      </c>
      <c r="AK40" s="36"/>
    </row>
    <row r="41">
      <c r="AH41" s="31" t="s">
        <v>3</v>
      </c>
      <c r="AI41" s="32">
        <v>43.0</v>
      </c>
      <c r="AJ41" s="32">
        <v>21.0</v>
      </c>
      <c r="AK41" s="32"/>
    </row>
    <row r="42">
      <c r="AH42" s="31" t="s">
        <v>14</v>
      </c>
      <c r="AI42" s="32">
        <v>41.0</v>
      </c>
      <c r="AJ42" s="32">
        <v>22.0</v>
      </c>
      <c r="AK42" s="32"/>
    </row>
    <row r="43">
      <c r="AH43" s="31" t="s">
        <v>27</v>
      </c>
      <c r="AI43" s="32">
        <v>36.0</v>
      </c>
      <c r="AJ43" s="32">
        <v>23.0</v>
      </c>
      <c r="AK43" s="32"/>
    </row>
    <row r="44">
      <c r="AH44" s="31" t="s">
        <v>16</v>
      </c>
      <c r="AI44" s="32">
        <v>33.0</v>
      </c>
      <c r="AJ44" s="32">
        <v>24.0</v>
      </c>
      <c r="AK44" s="32"/>
    </row>
    <row r="45">
      <c r="AH45" s="31" t="s">
        <v>7</v>
      </c>
      <c r="AI45" s="32">
        <v>8.0</v>
      </c>
      <c r="AJ45" s="32">
        <v>25.0</v>
      </c>
      <c r="AK45" s="32"/>
    </row>
    <row r="50">
      <c r="AI50" s="29" t="s">
        <v>32</v>
      </c>
      <c r="AJ50" s="29" t="s">
        <v>33</v>
      </c>
      <c r="AK50" s="29" t="s">
        <v>34</v>
      </c>
    </row>
    <row r="51">
      <c r="AH51" s="35" t="s">
        <v>24</v>
      </c>
      <c r="AI51" s="36">
        <v>101.0</v>
      </c>
      <c r="AJ51" s="36">
        <v>1.0</v>
      </c>
      <c r="AK51" s="36">
        <v>16.0</v>
      </c>
    </row>
    <row r="52">
      <c r="AH52" s="35" t="s">
        <v>18</v>
      </c>
      <c r="AI52" s="36">
        <v>93.0</v>
      </c>
      <c r="AJ52" s="36">
        <v>2.0</v>
      </c>
      <c r="AK52" s="36">
        <v>14.0</v>
      </c>
    </row>
    <row r="53">
      <c r="AH53" s="35" t="s">
        <v>26</v>
      </c>
      <c r="AI53" s="36">
        <v>84.0</v>
      </c>
      <c r="AJ53" s="36">
        <v>3.0</v>
      </c>
      <c r="AK53" s="36">
        <v>14.0</v>
      </c>
    </row>
    <row r="54">
      <c r="AH54" s="35" t="s">
        <v>19</v>
      </c>
      <c r="AI54" s="36">
        <v>82.0</v>
      </c>
      <c r="AJ54" s="36">
        <v>4.0</v>
      </c>
      <c r="AK54" s="36">
        <v>15.0</v>
      </c>
    </row>
    <row r="55">
      <c r="AH55" s="35" t="s">
        <v>8</v>
      </c>
      <c r="AI55" s="36">
        <v>82.0</v>
      </c>
      <c r="AJ55" s="36">
        <v>4.0</v>
      </c>
      <c r="AK55" s="36">
        <v>14.0</v>
      </c>
    </row>
    <row r="56">
      <c r="AH56" s="35" t="s">
        <v>12</v>
      </c>
      <c r="AI56" s="36">
        <v>81.0</v>
      </c>
      <c r="AJ56" s="36">
        <v>6.0</v>
      </c>
      <c r="AK56" s="36">
        <v>11.0</v>
      </c>
    </row>
    <row r="57">
      <c r="AH57" s="35" t="s">
        <v>13</v>
      </c>
      <c r="AI57" s="36">
        <v>81.0</v>
      </c>
      <c r="AJ57" s="36">
        <v>6.0</v>
      </c>
      <c r="AK57" s="36">
        <v>9.0</v>
      </c>
    </row>
    <row r="58">
      <c r="AH58" s="35" t="s">
        <v>22</v>
      </c>
      <c r="AI58" s="36">
        <v>80.0</v>
      </c>
      <c r="AJ58" s="36">
        <v>8.0</v>
      </c>
      <c r="AK58" s="36">
        <v>13.0</v>
      </c>
    </row>
    <row r="59">
      <c r="AH59" s="35" t="s">
        <v>23</v>
      </c>
      <c r="AI59" s="36">
        <v>72.0</v>
      </c>
      <c r="AJ59" s="36">
        <v>9.0</v>
      </c>
      <c r="AK59" s="36">
        <v>15.0</v>
      </c>
    </row>
    <row r="60">
      <c r="AH60" s="35" t="s">
        <v>9</v>
      </c>
      <c r="AI60" s="36">
        <v>68.0</v>
      </c>
      <c r="AJ60" s="36">
        <v>10.0</v>
      </c>
      <c r="AK60" s="36">
        <v>14.0</v>
      </c>
    </row>
    <row r="61">
      <c r="AH61" s="31" t="s">
        <v>6</v>
      </c>
      <c r="AI61" s="32">
        <v>68.0</v>
      </c>
      <c r="AJ61" s="32">
        <v>10.0</v>
      </c>
      <c r="AK61" s="32">
        <v>13.0</v>
      </c>
    </row>
    <row r="62">
      <c r="AH62" s="31" t="s">
        <v>20</v>
      </c>
      <c r="AI62" s="32">
        <v>68.0</v>
      </c>
      <c r="AJ62" s="32">
        <v>10.0</v>
      </c>
      <c r="AK62" s="32">
        <v>10.0</v>
      </c>
    </row>
    <row r="63">
      <c r="AH63" s="31" t="s">
        <v>4</v>
      </c>
      <c r="AI63" s="32">
        <v>65.0</v>
      </c>
      <c r="AJ63" s="32">
        <v>13.0</v>
      </c>
      <c r="AK63" s="32">
        <v>10.0</v>
      </c>
    </row>
    <row r="64">
      <c r="AH64" s="31" t="s">
        <v>10</v>
      </c>
      <c r="AI64" s="32">
        <v>61.0</v>
      </c>
      <c r="AJ64" s="32">
        <v>14.0</v>
      </c>
      <c r="AK64" s="32">
        <v>11.0</v>
      </c>
    </row>
    <row r="65">
      <c r="AH65" s="31" t="s">
        <v>11</v>
      </c>
      <c r="AI65" s="32">
        <v>60.0</v>
      </c>
      <c r="AJ65" s="32">
        <v>15.0</v>
      </c>
      <c r="AK65" s="32">
        <v>14.0</v>
      </c>
    </row>
    <row r="66">
      <c r="AH66" s="31" t="s">
        <v>21</v>
      </c>
      <c r="AI66" s="32">
        <v>57.0</v>
      </c>
      <c r="AJ66" s="32">
        <v>16.0</v>
      </c>
      <c r="AK66" s="32">
        <v>9.0</v>
      </c>
    </row>
    <row r="67">
      <c r="AH67" s="31" t="s">
        <v>5</v>
      </c>
      <c r="AI67" s="32">
        <v>55.0</v>
      </c>
      <c r="AJ67" s="32">
        <v>17.0</v>
      </c>
      <c r="AK67" s="32">
        <v>8.0</v>
      </c>
    </row>
    <row r="68">
      <c r="AH68" s="31" t="s">
        <v>25</v>
      </c>
      <c r="AI68" s="32">
        <v>54.0</v>
      </c>
      <c r="AJ68" s="32">
        <v>18.0</v>
      </c>
      <c r="AK68" s="32">
        <v>8.0</v>
      </c>
    </row>
    <row r="69">
      <c r="AH69" s="31" t="s">
        <v>15</v>
      </c>
      <c r="AI69" s="32">
        <v>49.0</v>
      </c>
      <c r="AJ69" s="32">
        <v>19.0</v>
      </c>
      <c r="AK69" s="32">
        <v>9.0</v>
      </c>
    </row>
    <row r="70">
      <c r="AH70" s="35" t="s">
        <v>17</v>
      </c>
      <c r="AI70" s="36">
        <v>44.0</v>
      </c>
      <c r="AJ70" s="36">
        <v>20.0</v>
      </c>
      <c r="AK70" s="36">
        <v>8.0</v>
      </c>
    </row>
    <row r="71">
      <c r="AH71" s="31" t="s">
        <v>3</v>
      </c>
      <c r="AI71" s="32">
        <v>43.0</v>
      </c>
      <c r="AJ71" s="32">
        <v>21.0</v>
      </c>
      <c r="AK71" s="32">
        <v>8.0</v>
      </c>
    </row>
    <row r="72">
      <c r="AH72" s="31" t="s">
        <v>14</v>
      </c>
      <c r="AI72" s="32">
        <v>41.0</v>
      </c>
      <c r="AJ72" s="32">
        <v>22.0</v>
      </c>
      <c r="AK72" s="32">
        <v>10.0</v>
      </c>
    </row>
    <row r="73">
      <c r="AH73" s="31" t="s">
        <v>27</v>
      </c>
      <c r="AI73" s="32">
        <v>36.0</v>
      </c>
      <c r="AJ73" s="32">
        <v>23.0</v>
      </c>
      <c r="AK73" s="32">
        <v>7.0</v>
      </c>
    </row>
    <row r="74">
      <c r="AH74" s="31" t="s">
        <v>16</v>
      </c>
      <c r="AI74" s="32">
        <v>33.0</v>
      </c>
      <c r="AJ74" s="32">
        <v>24.0</v>
      </c>
      <c r="AK74" s="32">
        <v>7.0</v>
      </c>
    </row>
    <row r="75">
      <c r="AH75" s="31" t="s">
        <v>7</v>
      </c>
      <c r="AI75" s="32">
        <v>8.0</v>
      </c>
      <c r="AJ75" s="32">
        <v>25.0</v>
      </c>
      <c r="AK75" s="32">
        <v>3.0</v>
      </c>
    </row>
  </sheetData>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63"/>
    <col customWidth="1" min="2" max="2" width="9.38"/>
    <col customWidth="1" min="3" max="3" width="18.5"/>
    <col customWidth="1" min="4" max="33" width="5.5"/>
    <col customWidth="1" min="34" max="34" width="8.88"/>
    <col customWidth="1" min="35" max="35" width="9.25"/>
    <col customWidth="1" min="36" max="36" width="10.38"/>
    <col customWidth="1" min="37" max="38" width="8.25"/>
    <col customWidth="1" min="39" max="41" width="7.25"/>
  </cols>
  <sheetData>
    <row r="1" ht="69.0" customHeight="1">
      <c r="A1" s="1" t="s">
        <v>45</v>
      </c>
      <c r="B1" s="1" t="s">
        <v>46</v>
      </c>
      <c r="C1" s="1" t="s">
        <v>2</v>
      </c>
      <c r="D1" s="2" t="s">
        <v>47</v>
      </c>
      <c r="E1" s="2" t="s">
        <v>48</v>
      </c>
      <c r="F1" s="2" t="s">
        <v>49</v>
      </c>
      <c r="G1" s="2" t="s">
        <v>50</v>
      </c>
      <c r="H1" s="2" t="s">
        <v>51</v>
      </c>
      <c r="I1" s="2" t="s">
        <v>52</v>
      </c>
      <c r="J1" s="2" t="s">
        <v>53</v>
      </c>
      <c r="K1" s="2" t="s">
        <v>54</v>
      </c>
      <c r="L1" s="2" t="s">
        <v>55</v>
      </c>
      <c r="M1" s="2" t="s">
        <v>56</v>
      </c>
      <c r="N1" s="2" t="s">
        <v>57</v>
      </c>
      <c r="O1" s="2" t="s">
        <v>58</v>
      </c>
      <c r="P1" s="2" t="s">
        <v>59</v>
      </c>
      <c r="Q1" s="2" t="s">
        <v>60</v>
      </c>
      <c r="R1" s="2" t="s">
        <v>61</v>
      </c>
      <c r="S1" s="2" t="s">
        <v>62</v>
      </c>
      <c r="T1" s="2" t="s">
        <v>63</v>
      </c>
      <c r="U1" s="4" t="s">
        <v>64</v>
      </c>
      <c r="V1" s="2" t="s">
        <v>65</v>
      </c>
      <c r="W1" s="2" t="s">
        <v>66</v>
      </c>
      <c r="X1" s="2" t="s">
        <v>67</v>
      </c>
      <c r="Y1" s="2" t="s">
        <v>68</v>
      </c>
      <c r="Z1" s="2" t="s">
        <v>69</v>
      </c>
      <c r="AA1" s="2" t="s">
        <v>70</v>
      </c>
      <c r="AB1" s="2" t="s">
        <v>71</v>
      </c>
      <c r="AC1" s="2" t="s">
        <v>72</v>
      </c>
      <c r="AD1" s="2" t="s">
        <v>73</v>
      </c>
      <c r="AE1" s="5" t="s">
        <v>74</v>
      </c>
      <c r="AF1" s="6" t="s">
        <v>75</v>
      </c>
      <c r="AG1" s="6" t="s">
        <v>76</v>
      </c>
      <c r="AH1" s="6" t="s">
        <v>77</v>
      </c>
      <c r="AI1" s="7" t="s">
        <v>33</v>
      </c>
      <c r="AJ1" s="7" t="s">
        <v>34</v>
      </c>
      <c r="AK1" s="7" t="s">
        <v>35</v>
      </c>
      <c r="AL1" s="7" t="s">
        <v>36</v>
      </c>
      <c r="AM1" s="7" t="s">
        <v>37</v>
      </c>
      <c r="AN1" s="8" t="s">
        <v>38</v>
      </c>
      <c r="AO1" s="8" t="s">
        <v>39</v>
      </c>
    </row>
    <row r="2" ht="16.5" customHeight="1">
      <c r="A2" s="37">
        <v>15.0</v>
      </c>
      <c r="B2" s="38"/>
      <c r="C2" s="39" t="s">
        <v>60</v>
      </c>
      <c r="D2" s="40">
        <v>12.0</v>
      </c>
      <c r="E2" s="40"/>
      <c r="F2" s="40"/>
      <c r="G2" s="40">
        <v>1.0</v>
      </c>
      <c r="H2" s="40">
        <v>10.0</v>
      </c>
      <c r="I2" s="41"/>
      <c r="J2" s="40"/>
      <c r="K2" s="40"/>
      <c r="L2" s="40">
        <v>3.0</v>
      </c>
      <c r="M2" s="41"/>
      <c r="N2" s="41"/>
      <c r="O2" s="40">
        <v>12.0</v>
      </c>
      <c r="P2" s="40">
        <v>5.0</v>
      </c>
      <c r="Q2" s="41"/>
      <c r="R2" s="40"/>
      <c r="S2" s="40">
        <v>7.0</v>
      </c>
      <c r="T2" s="40">
        <v>7.0</v>
      </c>
      <c r="U2" s="40">
        <v>2.0</v>
      </c>
      <c r="V2" s="40"/>
      <c r="W2" s="40">
        <v>7.0</v>
      </c>
      <c r="X2" s="41"/>
      <c r="Y2" s="40"/>
      <c r="Z2" s="40">
        <v>7.0</v>
      </c>
      <c r="AA2" s="40">
        <v>12.0</v>
      </c>
      <c r="AB2" s="40">
        <v>3.0</v>
      </c>
      <c r="AC2" s="40">
        <v>6.0</v>
      </c>
      <c r="AD2" s="40"/>
      <c r="AE2" s="40">
        <v>6.0</v>
      </c>
      <c r="AF2" s="40">
        <v>7.0</v>
      </c>
      <c r="AG2" s="40"/>
      <c r="AH2" s="41">
        <f t="shared" ref="AH2:AH28" si="1">SUM(D2:AG2)</f>
        <v>107</v>
      </c>
      <c r="AI2" s="41">
        <f t="shared" ref="AI2:AI28" si="2">RANK(AH2, $AH$2:$AH$28)
</f>
        <v>1</v>
      </c>
      <c r="AJ2" s="41">
        <f t="shared" ref="AJ2:AJ28" si="3">COUNTIF(D2:AH2, "&gt;0")</f>
        <v>17</v>
      </c>
      <c r="AK2" s="41">
        <f t="shared" ref="AK2:AK28" si="4">COUNTIF(D2:AH2, "12")</f>
        <v>3</v>
      </c>
      <c r="AL2" s="41">
        <f t="shared" ref="AL2:AL28" si="5">COUNTIF(D2:AH2, "10")</f>
        <v>1</v>
      </c>
      <c r="AM2" s="41">
        <f t="shared" ref="AM2:AM28" si="6">COUNTIF(D2:AH2, "8")</f>
        <v>0</v>
      </c>
      <c r="AN2" s="42">
        <f t="shared" ref="AN2:AN28" si="7">VALUE(AH2 &amp; TEXT(AJ2, "00") &amp; TEXT(AK2, "00") &amp; TEXT(AL2, "00") &amp; TEXT(AM2, "00"))
</f>
        <v>10717030100</v>
      </c>
      <c r="AO2" s="41">
        <f t="shared" ref="AO2:AO28" si="8">RANK(AN2, $AN$2:$AN$28)
</f>
        <v>1</v>
      </c>
    </row>
    <row r="3" ht="16.5" customHeight="1">
      <c r="A3" s="37">
        <v>10.0</v>
      </c>
      <c r="B3" s="38"/>
      <c r="C3" s="39" t="s">
        <v>66</v>
      </c>
      <c r="D3" s="40">
        <v>8.0</v>
      </c>
      <c r="E3" s="40"/>
      <c r="F3" s="40"/>
      <c r="G3" s="40">
        <v>2.0</v>
      </c>
      <c r="H3" s="40"/>
      <c r="I3" s="40"/>
      <c r="J3" s="40"/>
      <c r="K3" s="40"/>
      <c r="L3" s="40">
        <v>1.0</v>
      </c>
      <c r="M3" s="41"/>
      <c r="N3" s="40"/>
      <c r="O3" s="40">
        <v>6.0</v>
      </c>
      <c r="P3" s="40">
        <v>12.0</v>
      </c>
      <c r="Q3" s="40">
        <v>12.0</v>
      </c>
      <c r="R3" s="40">
        <v>6.0</v>
      </c>
      <c r="S3" s="40">
        <v>2.0</v>
      </c>
      <c r="T3" s="40">
        <v>12.0</v>
      </c>
      <c r="U3" s="40"/>
      <c r="V3" s="40">
        <v>6.0</v>
      </c>
      <c r="W3" s="40"/>
      <c r="X3" s="41"/>
      <c r="Y3" s="40"/>
      <c r="Z3" s="40">
        <v>12.0</v>
      </c>
      <c r="AA3" s="40">
        <v>10.0</v>
      </c>
      <c r="AB3" s="40"/>
      <c r="AC3" s="40"/>
      <c r="AD3" s="40"/>
      <c r="AE3" s="40">
        <v>12.0</v>
      </c>
      <c r="AF3" s="40"/>
      <c r="AG3" s="40"/>
      <c r="AH3" s="41">
        <f t="shared" si="1"/>
        <v>101</v>
      </c>
      <c r="AI3" s="41">
        <f t="shared" si="2"/>
        <v>2</v>
      </c>
      <c r="AJ3" s="41">
        <f t="shared" si="3"/>
        <v>14</v>
      </c>
      <c r="AK3" s="41">
        <f t="shared" si="4"/>
        <v>5</v>
      </c>
      <c r="AL3" s="41">
        <f t="shared" si="5"/>
        <v>1</v>
      </c>
      <c r="AM3" s="41">
        <f t="shared" si="6"/>
        <v>1</v>
      </c>
      <c r="AN3" s="42">
        <f t="shared" si="7"/>
        <v>10114050101</v>
      </c>
      <c r="AO3" s="41">
        <f t="shared" si="8"/>
        <v>2</v>
      </c>
    </row>
    <row r="4" ht="16.5" customHeight="1">
      <c r="A4" s="37">
        <v>12.0</v>
      </c>
      <c r="B4" s="38"/>
      <c r="C4" s="39" t="s">
        <v>61</v>
      </c>
      <c r="D4" s="41"/>
      <c r="E4" s="40">
        <v>2.0</v>
      </c>
      <c r="F4" s="40">
        <v>10.0</v>
      </c>
      <c r="G4" s="40"/>
      <c r="H4" s="40"/>
      <c r="I4" s="41"/>
      <c r="J4" s="41"/>
      <c r="K4" s="40">
        <v>10.0</v>
      </c>
      <c r="L4" s="40">
        <v>7.0</v>
      </c>
      <c r="M4" s="40"/>
      <c r="N4" s="40"/>
      <c r="O4" s="41"/>
      <c r="P4" s="40">
        <v>7.0</v>
      </c>
      <c r="Q4" s="40"/>
      <c r="R4" s="40"/>
      <c r="S4" s="41"/>
      <c r="T4" s="40"/>
      <c r="U4" s="40">
        <v>12.0</v>
      </c>
      <c r="V4" s="40">
        <v>12.0</v>
      </c>
      <c r="W4" s="40">
        <v>10.0</v>
      </c>
      <c r="X4" s="41"/>
      <c r="Y4" s="40">
        <v>4.0</v>
      </c>
      <c r="Z4" s="40">
        <v>1.0</v>
      </c>
      <c r="AA4" s="40"/>
      <c r="AB4" s="40">
        <v>12.0</v>
      </c>
      <c r="AC4" s="41"/>
      <c r="AD4" s="40">
        <v>7.0</v>
      </c>
      <c r="AE4" s="40">
        <v>4.0</v>
      </c>
      <c r="AF4" s="40"/>
      <c r="AG4" s="41"/>
      <c r="AH4" s="41">
        <f t="shared" si="1"/>
        <v>98</v>
      </c>
      <c r="AI4" s="41">
        <f t="shared" si="2"/>
        <v>3</v>
      </c>
      <c r="AJ4" s="41">
        <f t="shared" si="3"/>
        <v>14</v>
      </c>
      <c r="AK4" s="41">
        <f t="shared" si="4"/>
        <v>3</v>
      </c>
      <c r="AL4" s="41">
        <f t="shared" si="5"/>
        <v>3</v>
      </c>
      <c r="AM4" s="41">
        <f t="shared" si="6"/>
        <v>0</v>
      </c>
      <c r="AN4" s="42">
        <f t="shared" si="7"/>
        <v>9814030300</v>
      </c>
      <c r="AO4" s="41">
        <f t="shared" si="8"/>
        <v>3</v>
      </c>
    </row>
    <row r="5" ht="16.5" customHeight="1">
      <c r="A5" s="37">
        <v>2.0</v>
      </c>
      <c r="B5" s="38"/>
      <c r="C5" s="39" t="s">
        <v>52</v>
      </c>
      <c r="D5" s="41"/>
      <c r="E5" s="41"/>
      <c r="F5" s="40">
        <v>1.0</v>
      </c>
      <c r="G5" s="40"/>
      <c r="H5" s="40">
        <v>8.0</v>
      </c>
      <c r="I5" s="40"/>
      <c r="J5" s="40">
        <v>4.0</v>
      </c>
      <c r="K5" s="40">
        <v>1.0</v>
      </c>
      <c r="L5" s="40">
        <v>6.0</v>
      </c>
      <c r="M5" s="40">
        <v>7.0</v>
      </c>
      <c r="N5" s="40">
        <v>12.0</v>
      </c>
      <c r="O5" s="41"/>
      <c r="P5" s="40"/>
      <c r="Q5" s="40">
        <v>6.0</v>
      </c>
      <c r="R5" s="40">
        <v>2.0</v>
      </c>
      <c r="S5" s="40">
        <v>6.0</v>
      </c>
      <c r="T5" s="40">
        <v>5.0</v>
      </c>
      <c r="U5" s="40">
        <v>6.0</v>
      </c>
      <c r="V5" s="40"/>
      <c r="W5" s="40"/>
      <c r="X5" s="40">
        <v>6.0</v>
      </c>
      <c r="Y5" s="40"/>
      <c r="Z5" s="40">
        <v>5.0</v>
      </c>
      <c r="AA5" s="40">
        <v>5.0</v>
      </c>
      <c r="AB5" s="40"/>
      <c r="AC5" s="40"/>
      <c r="AD5" s="40"/>
      <c r="AE5" s="40"/>
      <c r="AF5" s="40">
        <v>3.0</v>
      </c>
      <c r="AG5" s="40"/>
      <c r="AH5" s="41">
        <f t="shared" si="1"/>
        <v>83</v>
      </c>
      <c r="AI5" s="41">
        <f t="shared" si="2"/>
        <v>4</v>
      </c>
      <c r="AJ5" s="41">
        <f t="shared" si="3"/>
        <v>17</v>
      </c>
      <c r="AK5" s="41">
        <f t="shared" si="4"/>
        <v>1</v>
      </c>
      <c r="AL5" s="41">
        <f t="shared" si="5"/>
        <v>0</v>
      </c>
      <c r="AM5" s="41">
        <f t="shared" si="6"/>
        <v>1</v>
      </c>
      <c r="AN5" s="42">
        <f t="shared" si="7"/>
        <v>8317010001</v>
      </c>
      <c r="AO5" s="41">
        <f t="shared" si="8"/>
        <v>4</v>
      </c>
    </row>
    <row r="6" ht="16.5" customHeight="1">
      <c r="A6" s="43">
        <v>24.0</v>
      </c>
      <c r="B6" s="38"/>
      <c r="C6" s="39" t="s">
        <v>47</v>
      </c>
      <c r="D6" s="41"/>
      <c r="E6" s="40"/>
      <c r="F6" s="41"/>
      <c r="G6" s="40"/>
      <c r="H6" s="40">
        <v>4.0</v>
      </c>
      <c r="I6" s="40"/>
      <c r="J6" s="40"/>
      <c r="K6" s="40">
        <v>12.0</v>
      </c>
      <c r="L6" s="41"/>
      <c r="M6" s="41"/>
      <c r="N6" s="40">
        <v>3.0</v>
      </c>
      <c r="O6" s="40">
        <v>8.0</v>
      </c>
      <c r="P6" s="40">
        <v>8.0</v>
      </c>
      <c r="Q6" s="41"/>
      <c r="R6" s="40"/>
      <c r="S6" s="41"/>
      <c r="T6" s="40">
        <v>8.0</v>
      </c>
      <c r="U6" s="41"/>
      <c r="V6" s="40"/>
      <c r="W6" s="40">
        <v>12.0</v>
      </c>
      <c r="X6" s="40"/>
      <c r="Y6" s="40">
        <v>1.0</v>
      </c>
      <c r="Z6" s="40">
        <v>10.0</v>
      </c>
      <c r="AA6" s="41"/>
      <c r="AB6" s="40">
        <v>8.0</v>
      </c>
      <c r="AC6" s="40"/>
      <c r="AD6" s="40">
        <v>1.0</v>
      </c>
      <c r="AE6" s="40">
        <v>8.0</v>
      </c>
      <c r="AF6" s="41"/>
      <c r="AG6" s="40"/>
      <c r="AH6" s="41">
        <f t="shared" si="1"/>
        <v>83</v>
      </c>
      <c r="AI6" s="41">
        <f t="shared" si="2"/>
        <v>4</v>
      </c>
      <c r="AJ6" s="41">
        <f t="shared" si="3"/>
        <v>13</v>
      </c>
      <c r="AK6" s="41">
        <f t="shared" si="4"/>
        <v>2</v>
      </c>
      <c r="AL6" s="41">
        <f t="shared" si="5"/>
        <v>1</v>
      </c>
      <c r="AM6" s="41">
        <f t="shared" si="6"/>
        <v>5</v>
      </c>
      <c r="AN6" s="42">
        <f t="shared" si="7"/>
        <v>8313020105</v>
      </c>
      <c r="AO6" s="41">
        <f t="shared" si="8"/>
        <v>5</v>
      </c>
    </row>
    <row r="7" ht="16.5" customHeight="1">
      <c r="A7" s="37">
        <v>8.0</v>
      </c>
      <c r="B7" s="38"/>
      <c r="C7" s="39" t="s">
        <v>64</v>
      </c>
      <c r="D7" s="40"/>
      <c r="E7" s="40">
        <v>6.0</v>
      </c>
      <c r="F7" s="40">
        <v>2.0</v>
      </c>
      <c r="G7" s="40">
        <v>6.0</v>
      </c>
      <c r="H7" s="41"/>
      <c r="I7" s="40"/>
      <c r="J7" s="40">
        <v>2.0</v>
      </c>
      <c r="K7" s="41"/>
      <c r="L7" s="40"/>
      <c r="M7" s="40">
        <v>10.0</v>
      </c>
      <c r="N7" s="41"/>
      <c r="O7" s="40"/>
      <c r="P7" s="40">
        <v>4.0</v>
      </c>
      <c r="Q7" s="40"/>
      <c r="R7" s="41"/>
      <c r="S7" s="40">
        <v>12.0</v>
      </c>
      <c r="T7" s="40">
        <v>1.0</v>
      </c>
      <c r="U7" s="40"/>
      <c r="V7" s="40"/>
      <c r="W7" s="40"/>
      <c r="X7" s="40"/>
      <c r="Y7" s="40">
        <v>8.0</v>
      </c>
      <c r="Z7" s="40"/>
      <c r="AA7" s="40"/>
      <c r="AB7" s="40">
        <v>6.0</v>
      </c>
      <c r="AC7" s="40">
        <v>12.0</v>
      </c>
      <c r="AD7" s="40">
        <v>12.0</v>
      </c>
      <c r="AE7" s="40"/>
      <c r="AF7" s="41"/>
      <c r="AG7" s="40"/>
      <c r="AH7" s="41">
        <f t="shared" si="1"/>
        <v>81</v>
      </c>
      <c r="AI7" s="41">
        <f t="shared" si="2"/>
        <v>6</v>
      </c>
      <c r="AJ7" s="41">
        <f t="shared" si="3"/>
        <v>13</v>
      </c>
      <c r="AK7" s="41">
        <f t="shared" si="4"/>
        <v>3</v>
      </c>
      <c r="AL7" s="41">
        <f t="shared" si="5"/>
        <v>1</v>
      </c>
      <c r="AM7" s="41">
        <f t="shared" si="6"/>
        <v>1</v>
      </c>
      <c r="AN7" s="42">
        <f t="shared" si="7"/>
        <v>8113030101</v>
      </c>
      <c r="AO7" s="41">
        <f t="shared" si="8"/>
        <v>6</v>
      </c>
    </row>
    <row r="8" ht="16.5" customHeight="1">
      <c r="A8" s="37">
        <v>18.0</v>
      </c>
      <c r="B8" s="44"/>
      <c r="C8" s="39" t="s">
        <v>72</v>
      </c>
      <c r="D8" s="40"/>
      <c r="E8" s="40">
        <v>5.0</v>
      </c>
      <c r="F8" s="40">
        <v>4.0</v>
      </c>
      <c r="G8" s="40">
        <v>12.0</v>
      </c>
      <c r="H8" s="41"/>
      <c r="I8" s="40"/>
      <c r="J8" s="40">
        <v>7.0</v>
      </c>
      <c r="K8" s="40">
        <v>4.0</v>
      </c>
      <c r="L8" s="40">
        <v>12.0</v>
      </c>
      <c r="M8" s="40"/>
      <c r="N8" s="40"/>
      <c r="O8" s="40">
        <v>1.0</v>
      </c>
      <c r="P8" s="41"/>
      <c r="Q8" s="40"/>
      <c r="R8" s="40">
        <v>10.0</v>
      </c>
      <c r="S8" s="40">
        <v>1.0</v>
      </c>
      <c r="T8" s="41"/>
      <c r="U8" s="40">
        <v>10.0</v>
      </c>
      <c r="V8" s="41"/>
      <c r="W8" s="41"/>
      <c r="X8" s="40"/>
      <c r="Y8" s="40">
        <v>10.0</v>
      </c>
      <c r="Z8" s="40"/>
      <c r="AA8" s="40"/>
      <c r="AB8" s="40">
        <v>4.0</v>
      </c>
      <c r="AC8" s="41"/>
      <c r="AD8" s="41"/>
      <c r="AE8" s="41"/>
      <c r="AF8" s="40"/>
      <c r="AG8" s="40"/>
      <c r="AH8" s="41">
        <f t="shared" si="1"/>
        <v>80</v>
      </c>
      <c r="AI8" s="41">
        <f t="shared" si="2"/>
        <v>7</v>
      </c>
      <c r="AJ8" s="41">
        <f t="shared" si="3"/>
        <v>13</v>
      </c>
      <c r="AK8" s="41">
        <f t="shared" si="4"/>
        <v>2</v>
      </c>
      <c r="AL8" s="41">
        <f t="shared" si="5"/>
        <v>3</v>
      </c>
      <c r="AM8" s="41">
        <f t="shared" si="6"/>
        <v>0</v>
      </c>
      <c r="AN8" s="42">
        <f t="shared" si="7"/>
        <v>8013020300</v>
      </c>
      <c r="AO8" s="41">
        <f t="shared" si="8"/>
        <v>7</v>
      </c>
    </row>
    <row r="9" ht="16.5" customHeight="1">
      <c r="A9" s="43">
        <v>26.0</v>
      </c>
      <c r="B9" s="38"/>
      <c r="C9" s="39" t="s">
        <v>56</v>
      </c>
      <c r="D9" s="40">
        <v>3.0</v>
      </c>
      <c r="E9" s="40">
        <v>3.0</v>
      </c>
      <c r="F9" s="40">
        <v>8.0</v>
      </c>
      <c r="G9" s="40">
        <v>10.0</v>
      </c>
      <c r="H9" s="41"/>
      <c r="I9" s="40"/>
      <c r="J9" s="40">
        <v>10.0</v>
      </c>
      <c r="K9" s="40"/>
      <c r="L9" s="41"/>
      <c r="M9" s="40"/>
      <c r="N9" s="41"/>
      <c r="O9" s="41"/>
      <c r="P9" s="40"/>
      <c r="Q9" s="41"/>
      <c r="R9" s="40">
        <v>1.0</v>
      </c>
      <c r="S9" s="40"/>
      <c r="T9" s="40"/>
      <c r="U9" s="40">
        <v>5.0</v>
      </c>
      <c r="V9" s="40">
        <v>2.0</v>
      </c>
      <c r="W9" s="40"/>
      <c r="X9" s="40">
        <v>8.0</v>
      </c>
      <c r="Y9" s="40">
        <v>12.0</v>
      </c>
      <c r="Z9" s="40"/>
      <c r="AA9" s="41"/>
      <c r="AB9" s="40">
        <v>10.0</v>
      </c>
      <c r="AC9" s="40"/>
      <c r="AD9" s="40">
        <v>6.0</v>
      </c>
      <c r="AE9" s="40"/>
      <c r="AF9" s="40"/>
      <c r="AG9" s="41"/>
      <c r="AH9" s="41">
        <f t="shared" si="1"/>
        <v>78</v>
      </c>
      <c r="AI9" s="41">
        <f t="shared" si="2"/>
        <v>8</v>
      </c>
      <c r="AJ9" s="41">
        <f t="shared" si="3"/>
        <v>13</v>
      </c>
      <c r="AK9" s="41">
        <f t="shared" si="4"/>
        <v>1</v>
      </c>
      <c r="AL9" s="41">
        <f t="shared" si="5"/>
        <v>3</v>
      </c>
      <c r="AM9" s="41">
        <f t="shared" si="6"/>
        <v>2</v>
      </c>
      <c r="AN9" s="42">
        <f t="shared" si="7"/>
        <v>7813010302</v>
      </c>
      <c r="AO9" s="41">
        <f t="shared" si="8"/>
        <v>8</v>
      </c>
    </row>
    <row r="10" ht="16.5" customHeight="1">
      <c r="A10" s="37">
        <v>5.0</v>
      </c>
      <c r="B10" s="38"/>
      <c r="C10" s="39" t="s">
        <v>67</v>
      </c>
      <c r="D10" s="40">
        <v>6.0</v>
      </c>
      <c r="E10" s="40">
        <v>4.0</v>
      </c>
      <c r="F10" s="41"/>
      <c r="G10" s="40"/>
      <c r="H10" s="41"/>
      <c r="I10" s="40"/>
      <c r="J10" s="40">
        <v>5.0</v>
      </c>
      <c r="K10" s="40">
        <v>5.0</v>
      </c>
      <c r="L10" s="40"/>
      <c r="M10" s="40">
        <v>4.0</v>
      </c>
      <c r="N10" s="40"/>
      <c r="O10" s="41"/>
      <c r="P10" s="40">
        <v>1.0</v>
      </c>
      <c r="Q10" s="40">
        <v>8.0</v>
      </c>
      <c r="R10" s="40"/>
      <c r="S10" s="40">
        <v>10.0</v>
      </c>
      <c r="T10" s="40">
        <v>2.0</v>
      </c>
      <c r="U10" s="40">
        <v>3.0</v>
      </c>
      <c r="V10" s="40">
        <v>7.0</v>
      </c>
      <c r="W10" s="40"/>
      <c r="X10" s="41"/>
      <c r="Y10" s="40"/>
      <c r="Z10" s="41"/>
      <c r="AA10" s="40"/>
      <c r="AB10" s="40">
        <v>7.0</v>
      </c>
      <c r="AC10" s="40">
        <v>10.0</v>
      </c>
      <c r="AD10" s="40">
        <v>4.0</v>
      </c>
      <c r="AE10" s="41"/>
      <c r="AF10" s="41"/>
      <c r="AG10" s="41"/>
      <c r="AH10" s="41">
        <f t="shared" si="1"/>
        <v>76</v>
      </c>
      <c r="AI10" s="41">
        <f t="shared" si="2"/>
        <v>9</v>
      </c>
      <c r="AJ10" s="41">
        <f t="shared" si="3"/>
        <v>15</v>
      </c>
      <c r="AK10" s="41">
        <f t="shared" si="4"/>
        <v>0</v>
      </c>
      <c r="AL10" s="41">
        <f t="shared" si="5"/>
        <v>2</v>
      </c>
      <c r="AM10" s="41">
        <f t="shared" si="6"/>
        <v>1</v>
      </c>
      <c r="AN10" s="42">
        <f t="shared" si="7"/>
        <v>7615000201</v>
      </c>
      <c r="AO10" s="41">
        <f t="shared" si="8"/>
        <v>9</v>
      </c>
    </row>
    <row r="11" ht="16.5" customHeight="1">
      <c r="A11" s="37">
        <v>16.0</v>
      </c>
      <c r="B11" s="38"/>
      <c r="C11" s="39" t="s">
        <v>57</v>
      </c>
      <c r="D11" s="40"/>
      <c r="E11" s="41"/>
      <c r="F11" s="40">
        <v>7.0</v>
      </c>
      <c r="G11" s="40"/>
      <c r="H11" s="40">
        <v>5.0</v>
      </c>
      <c r="I11" s="40">
        <v>12.0</v>
      </c>
      <c r="J11" s="40"/>
      <c r="K11" s="40">
        <v>8.0</v>
      </c>
      <c r="L11" s="40">
        <v>5.0</v>
      </c>
      <c r="M11" s="40"/>
      <c r="N11" s="40"/>
      <c r="O11" s="40">
        <v>4.0</v>
      </c>
      <c r="P11" s="40">
        <v>6.0</v>
      </c>
      <c r="Q11" s="40"/>
      <c r="R11" s="41"/>
      <c r="S11" s="40"/>
      <c r="T11" s="41"/>
      <c r="U11" s="41"/>
      <c r="V11" s="41"/>
      <c r="W11" s="41"/>
      <c r="X11" s="40">
        <v>3.0</v>
      </c>
      <c r="Y11" s="41"/>
      <c r="Z11" s="40">
        <v>6.0</v>
      </c>
      <c r="AA11" s="40">
        <v>1.0</v>
      </c>
      <c r="AB11" s="40"/>
      <c r="AC11" s="40">
        <v>3.0</v>
      </c>
      <c r="AD11" s="41"/>
      <c r="AE11" s="40">
        <v>2.0</v>
      </c>
      <c r="AF11" s="40">
        <v>10.0</v>
      </c>
      <c r="AG11" s="40"/>
      <c r="AH11" s="41">
        <f t="shared" si="1"/>
        <v>72</v>
      </c>
      <c r="AI11" s="41">
        <f t="shared" si="2"/>
        <v>10</v>
      </c>
      <c r="AJ11" s="41">
        <f t="shared" si="3"/>
        <v>14</v>
      </c>
      <c r="AK11" s="41">
        <f t="shared" si="4"/>
        <v>1</v>
      </c>
      <c r="AL11" s="41">
        <f t="shared" si="5"/>
        <v>1</v>
      </c>
      <c r="AM11" s="41">
        <f t="shared" si="6"/>
        <v>1</v>
      </c>
      <c r="AN11" s="42">
        <f t="shared" si="7"/>
        <v>7214010101</v>
      </c>
      <c r="AO11" s="41">
        <f t="shared" si="8"/>
        <v>10</v>
      </c>
    </row>
    <row r="12" ht="16.5" customHeight="1">
      <c r="A12" s="15">
        <v>6.0</v>
      </c>
      <c r="B12" s="20"/>
      <c r="C12" s="16" t="s">
        <v>59</v>
      </c>
      <c r="D12" s="22">
        <v>5.0</v>
      </c>
      <c r="E12" s="22">
        <v>12.0</v>
      </c>
      <c r="F12" s="22">
        <v>6.0</v>
      </c>
      <c r="G12" s="22">
        <v>4.0</v>
      </c>
      <c r="H12" s="22"/>
      <c r="I12" s="23"/>
      <c r="J12" s="22">
        <v>3.0</v>
      </c>
      <c r="K12" s="22"/>
      <c r="L12" s="22"/>
      <c r="M12" s="22">
        <v>6.0</v>
      </c>
      <c r="N12" s="23"/>
      <c r="O12" s="22"/>
      <c r="P12" s="23"/>
      <c r="Q12" s="23"/>
      <c r="R12" s="22">
        <v>12.0</v>
      </c>
      <c r="S12" s="23"/>
      <c r="T12" s="23"/>
      <c r="U12" s="23"/>
      <c r="V12" s="22"/>
      <c r="W12" s="22">
        <v>6.0</v>
      </c>
      <c r="X12" s="22"/>
      <c r="Y12" s="22"/>
      <c r="Z12" s="23"/>
      <c r="AA12" s="22">
        <v>4.0</v>
      </c>
      <c r="AB12" s="22"/>
      <c r="AC12" s="22"/>
      <c r="AD12" s="22">
        <v>8.0</v>
      </c>
      <c r="AE12" s="22"/>
      <c r="AF12" s="23"/>
      <c r="AG12" s="22"/>
      <c r="AH12" s="23">
        <f t="shared" si="1"/>
        <v>66</v>
      </c>
      <c r="AI12" s="23">
        <f t="shared" si="2"/>
        <v>11</v>
      </c>
      <c r="AJ12" s="23">
        <f t="shared" si="3"/>
        <v>11</v>
      </c>
      <c r="AK12" s="23">
        <f t="shared" si="4"/>
        <v>2</v>
      </c>
      <c r="AL12" s="23">
        <f t="shared" si="5"/>
        <v>0</v>
      </c>
      <c r="AM12" s="23">
        <f t="shared" si="6"/>
        <v>1</v>
      </c>
      <c r="AN12" s="24">
        <f t="shared" si="7"/>
        <v>6611020001</v>
      </c>
      <c r="AO12" s="23">
        <f t="shared" si="8"/>
        <v>11</v>
      </c>
    </row>
    <row r="13" ht="16.5" customHeight="1">
      <c r="A13" s="15">
        <v>11.0</v>
      </c>
      <c r="B13" s="20"/>
      <c r="C13" s="16" t="s">
        <v>62</v>
      </c>
      <c r="D13" s="17">
        <v>4.0</v>
      </c>
      <c r="E13" s="17">
        <v>1.0</v>
      </c>
      <c r="F13" s="17"/>
      <c r="G13" s="17"/>
      <c r="H13" s="17">
        <v>1.0</v>
      </c>
      <c r="I13" s="17"/>
      <c r="J13" s="17"/>
      <c r="K13" s="17"/>
      <c r="L13" s="17"/>
      <c r="M13" s="17">
        <v>12.0</v>
      </c>
      <c r="N13" s="18"/>
      <c r="O13" s="17"/>
      <c r="P13" s="17">
        <v>2.0</v>
      </c>
      <c r="Q13" s="18"/>
      <c r="R13" s="17"/>
      <c r="S13" s="17"/>
      <c r="T13" s="17">
        <v>10.0</v>
      </c>
      <c r="U13" s="18"/>
      <c r="V13" s="17">
        <v>10.0</v>
      </c>
      <c r="W13" s="17">
        <v>1.0</v>
      </c>
      <c r="X13" s="17">
        <v>7.0</v>
      </c>
      <c r="Y13" s="17"/>
      <c r="Z13" s="17"/>
      <c r="AA13" s="17"/>
      <c r="AB13" s="17">
        <v>5.0</v>
      </c>
      <c r="AC13" s="18"/>
      <c r="AD13" s="17">
        <v>10.0</v>
      </c>
      <c r="AE13" s="17"/>
      <c r="AF13" s="18"/>
      <c r="AG13" s="17"/>
      <c r="AH13" s="18">
        <f t="shared" si="1"/>
        <v>63</v>
      </c>
      <c r="AI13" s="18">
        <f t="shared" si="2"/>
        <v>12</v>
      </c>
      <c r="AJ13" s="18">
        <f t="shared" si="3"/>
        <v>12</v>
      </c>
      <c r="AK13" s="18">
        <f t="shared" si="4"/>
        <v>1</v>
      </c>
      <c r="AL13" s="18">
        <f t="shared" si="5"/>
        <v>3</v>
      </c>
      <c r="AM13" s="18">
        <f t="shared" si="6"/>
        <v>0</v>
      </c>
      <c r="AN13" s="19">
        <f t="shared" si="7"/>
        <v>6312010300</v>
      </c>
      <c r="AO13" s="18">
        <f t="shared" si="8"/>
        <v>12</v>
      </c>
    </row>
    <row r="14" ht="16.5" customHeight="1">
      <c r="A14" s="15">
        <v>14.0</v>
      </c>
      <c r="B14" s="20"/>
      <c r="C14" s="16" t="s">
        <v>65</v>
      </c>
      <c r="D14" s="17"/>
      <c r="E14" s="17">
        <v>7.0</v>
      </c>
      <c r="F14" s="17"/>
      <c r="G14" s="17"/>
      <c r="H14" s="17"/>
      <c r="I14" s="17">
        <v>7.0</v>
      </c>
      <c r="J14" s="17"/>
      <c r="K14" s="17">
        <v>3.0</v>
      </c>
      <c r="L14" s="18"/>
      <c r="M14" s="17">
        <v>8.0</v>
      </c>
      <c r="N14" s="17">
        <v>6.0</v>
      </c>
      <c r="O14" s="17"/>
      <c r="P14" s="17">
        <v>10.0</v>
      </c>
      <c r="Q14" s="17">
        <v>10.0</v>
      </c>
      <c r="R14" s="18"/>
      <c r="S14" s="17"/>
      <c r="T14" s="17"/>
      <c r="U14" s="17"/>
      <c r="V14" s="18"/>
      <c r="W14" s="17">
        <v>2.0</v>
      </c>
      <c r="X14" s="18"/>
      <c r="Y14" s="17"/>
      <c r="Z14" s="17"/>
      <c r="AA14" s="18"/>
      <c r="AB14" s="17"/>
      <c r="AC14" s="17"/>
      <c r="AD14" s="17"/>
      <c r="AE14" s="17">
        <v>3.0</v>
      </c>
      <c r="AF14" s="17">
        <v>6.0</v>
      </c>
      <c r="AG14" s="17"/>
      <c r="AH14" s="18">
        <f t="shared" si="1"/>
        <v>62</v>
      </c>
      <c r="AI14" s="18">
        <f t="shared" si="2"/>
        <v>13</v>
      </c>
      <c r="AJ14" s="18">
        <f t="shared" si="3"/>
        <v>11</v>
      </c>
      <c r="AK14" s="18">
        <f t="shared" si="4"/>
        <v>0</v>
      </c>
      <c r="AL14" s="18">
        <f t="shared" si="5"/>
        <v>2</v>
      </c>
      <c r="AM14" s="18">
        <f t="shared" si="6"/>
        <v>1</v>
      </c>
      <c r="AN14" s="19">
        <f t="shared" si="7"/>
        <v>6211000201</v>
      </c>
      <c r="AO14" s="18">
        <f t="shared" si="8"/>
        <v>13</v>
      </c>
    </row>
    <row r="15" ht="16.5" customHeight="1">
      <c r="A15" s="15">
        <v>3.0</v>
      </c>
      <c r="B15" s="20"/>
      <c r="C15" s="16" t="s">
        <v>51</v>
      </c>
      <c r="D15" s="18"/>
      <c r="E15" s="17"/>
      <c r="F15" s="18"/>
      <c r="G15" s="17"/>
      <c r="H15" s="17"/>
      <c r="I15" s="17">
        <v>2.0</v>
      </c>
      <c r="J15" s="18"/>
      <c r="K15" s="17">
        <v>6.0</v>
      </c>
      <c r="L15" s="17"/>
      <c r="M15" s="17"/>
      <c r="N15" s="17">
        <v>7.0</v>
      </c>
      <c r="O15" s="17"/>
      <c r="P15" s="17"/>
      <c r="Q15" s="17">
        <v>4.0</v>
      </c>
      <c r="R15" s="17">
        <v>5.0</v>
      </c>
      <c r="S15" s="17">
        <v>5.0</v>
      </c>
      <c r="T15" s="17">
        <v>4.0</v>
      </c>
      <c r="U15" s="17">
        <v>8.0</v>
      </c>
      <c r="V15" s="17"/>
      <c r="W15" s="18"/>
      <c r="X15" s="17">
        <v>10.0</v>
      </c>
      <c r="Y15" s="18"/>
      <c r="Z15" s="17"/>
      <c r="AA15" s="17">
        <v>8.0</v>
      </c>
      <c r="AB15" s="18"/>
      <c r="AC15" s="17"/>
      <c r="AD15" s="17"/>
      <c r="AE15" s="17"/>
      <c r="AF15" s="17"/>
      <c r="AG15" s="17"/>
      <c r="AH15" s="18">
        <f t="shared" si="1"/>
        <v>59</v>
      </c>
      <c r="AI15" s="18">
        <f t="shared" si="2"/>
        <v>14</v>
      </c>
      <c r="AJ15" s="18">
        <f t="shared" si="3"/>
        <v>11</v>
      </c>
      <c r="AK15" s="18">
        <f t="shared" si="4"/>
        <v>0</v>
      </c>
      <c r="AL15" s="18">
        <f t="shared" si="5"/>
        <v>1</v>
      </c>
      <c r="AM15" s="18">
        <f t="shared" si="6"/>
        <v>2</v>
      </c>
      <c r="AN15" s="19">
        <f t="shared" si="7"/>
        <v>5911000102</v>
      </c>
      <c r="AO15" s="18">
        <f t="shared" si="8"/>
        <v>14</v>
      </c>
    </row>
    <row r="16" ht="16.5" customHeight="1">
      <c r="A16" s="15">
        <v>9.0</v>
      </c>
      <c r="B16" s="20"/>
      <c r="C16" s="16" t="s">
        <v>68</v>
      </c>
      <c r="D16" s="17"/>
      <c r="E16" s="17"/>
      <c r="F16" s="17"/>
      <c r="G16" s="17"/>
      <c r="H16" s="17">
        <v>7.0</v>
      </c>
      <c r="I16" s="17">
        <v>6.0</v>
      </c>
      <c r="J16" s="17">
        <v>6.0</v>
      </c>
      <c r="K16" s="17"/>
      <c r="L16" s="17">
        <v>10.0</v>
      </c>
      <c r="M16" s="17"/>
      <c r="N16" s="17">
        <v>8.0</v>
      </c>
      <c r="O16" s="17">
        <v>2.0</v>
      </c>
      <c r="P16" s="17"/>
      <c r="Q16" s="17">
        <v>5.0</v>
      </c>
      <c r="R16" s="17"/>
      <c r="S16" s="17"/>
      <c r="T16" s="17"/>
      <c r="U16" s="17">
        <v>4.0</v>
      </c>
      <c r="V16" s="17"/>
      <c r="W16" s="17">
        <v>3.0</v>
      </c>
      <c r="X16" s="17"/>
      <c r="Y16" s="18"/>
      <c r="Z16" s="17"/>
      <c r="AA16" s="17">
        <v>6.0</v>
      </c>
      <c r="AB16" s="18"/>
      <c r="AC16" s="17"/>
      <c r="AD16" s="18"/>
      <c r="AE16" s="18"/>
      <c r="AF16" s="17"/>
      <c r="AG16" s="18"/>
      <c r="AH16" s="18">
        <f t="shared" si="1"/>
        <v>57</v>
      </c>
      <c r="AI16" s="18">
        <f t="shared" si="2"/>
        <v>15</v>
      </c>
      <c r="AJ16" s="18">
        <f t="shared" si="3"/>
        <v>11</v>
      </c>
      <c r="AK16" s="18">
        <f t="shared" si="4"/>
        <v>0</v>
      </c>
      <c r="AL16" s="18">
        <f t="shared" si="5"/>
        <v>1</v>
      </c>
      <c r="AM16" s="18">
        <f t="shared" si="6"/>
        <v>1</v>
      </c>
      <c r="AN16" s="19">
        <f t="shared" si="7"/>
        <v>5711000101</v>
      </c>
      <c r="AO16" s="18">
        <f t="shared" si="8"/>
        <v>15</v>
      </c>
    </row>
    <row r="17" ht="16.5" customHeight="1">
      <c r="A17" s="15">
        <v>21.0</v>
      </c>
      <c r="B17" s="20"/>
      <c r="C17" s="16" t="s">
        <v>53</v>
      </c>
      <c r="D17" s="23"/>
      <c r="E17" s="22"/>
      <c r="F17" s="22">
        <v>5.0</v>
      </c>
      <c r="G17" s="22">
        <v>3.0</v>
      </c>
      <c r="H17" s="22"/>
      <c r="I17" s="22">
        <v>8.0</v>
      </c>
      <c r="J17" s="23"/>
      <c r="K17" s="22"/>
      <c r="L17" s="23"/>
      <c r="M17" s="23"/>
      <c r="N17" s="22">
        <v>2.0</v>
      </c>
      <c r="O17" s="23"/>
      <c r="P17" s="23"/>
      <c r="Q17" s="23"/>
      <c r="R17" s="22">
        <v>8.0</v>
      </c>
      <c r="S17" s="22">
        <v>8.0</v>
      </c>
      <c r="T17" s="23"/>
      <c r="U17" s="22">
        <v>1.0</v>
      </c>
      <c r="V17" s="22"/>
      <c r="W17" s="23"/>
      <c r="X17" s="22">
        <v>12.0</v>
      </c>
      <c r="Y17" s="22"/>
      <c r="Z17" s="22"/>
      <c r="AA17" s="22"/>
      <c r="AB17" s="23"/>
      <c r="AC17" s="22">
        <v>7.0</v>
      </c>
      <c r="AD17" s="22"/>
      <c r="AE17" s="23"/>
      <c r="AF17" s="22">
        <v>2.0</v>
      </c>
      <c r="AG17" s="22"/>
      <c r="AH17" s="23">
        <f t="shared" si="1"/>
        <v>56</v>
      </c>
      <c r="AI17" s="23">
        <f t="shared" si="2"/>
        <v>16</v>
      </c>
      <c r="AJ17" s="23">
        <f t="shared" si="3"/>
        <v>11</v>
      </c>
      <c r="AK17" s="23">
        <f t="shared" si="4"/>
        <v>1</v>
      </c>
      <c r="AL17" s="23">
        <f t="shared" si="5"/>
        <v>0</v>
      </c>
      <c r="AM17" s="23">
        <f t="shared" si="6"/>
        <v>3</v>
      </c>
      <c r="AN17" s="24">
        <f t="shared" si="7"/>
        <v>5611010003</v>
      </c>
      <c r="AO17" s="23">
        <f t="shared" si="8"/>
        <v>16</v>
      </c>
    </row>
    <row r="18" ht="16.5" customHeight="1">
      <c r="A18" s="26">
        <v>25.0</v>
      </c>
      <c r="B18" s="20"/>
      <c r="C18" s="16" t="s">
        <v>50</v>
      </c>
      <c r="D18" s="22">
        <v>2.0</v>
      </c>
      <c r="E18" s="22">
        <v>8.0</v>
      </c>
      <c r="F18" s="22">
        <v>12.0</v>
      </c>
      <c r="G18" s="23"/>
      <c r="H18" s="23"/>
      <c r="I18" s="22"/>
      <c r="J18" s="22">
        <v>8.0</v>
      </c>
      <c r="K18" s="22"/>
      <c r="L18" s="22"/>
      <c r="M18" s="23"/>
      <c r="N18" s="23"/>
      <c r="O18" s="23"/>
      <c r="P18" s="22"/>
      <c r="Q18" s="22">
        <v>7.0</v>
      </c>
      <c r="R18" s="22"/>
      <c r="S18" s="22"/>
      <c r="T18" s="22"/>
      <c r="U18" s="22"/>
      <c r="V18" s="23"/>
      <c r="W18" s="22"/>
      <c r="X18" s="22">
        <v>4.0</v>
      </c>
      <c r="Y18" s="23"/>
      <c r="Z18" s="22"/>
      <c r="AA18" s="22"/>
      <c r="AB18" s="22">
        <v>1.0</v>
      </c>
      <c r="AC18" s="22">
        <v>8.0</v>
      </c>
      <c r="AD18" s="22">
        <v>5.0</v>
      </c>
      <c r="AE18" s="22"/>
      <c r="AF18" s="23"/>
      <c r="AG18" s="22"/>
      <c r="AH18" s="23">
        <f t="shared" si="1"/>
        <v>55</v>
      </c>
      <c r="AI18" s="23">
        <f t="shared" si="2"/>
        <v>17</v>
      </c>
      <c r="AJ18" s="23">
        <f t="shared" si="3"/>
        <v>10</v>
      </c>
      <c r="AK18" s="23">
        <f t="shared" si="4"/>
        <v>1</v>
      </c>
      <c r="AL18" s="23">
        <f t="shared" si="5"/>
        <v>0</v>
      </c>
      <c r="AM18" s="23">
        <f t="shared" si="6"/>
        <v>3</v>
      </c>
      <c r="AN18" s="24">
        <f t="shared" si="7"/>
        <v>5510010003</v>
      </c>
      <c r="AO18" s="23">
        <f t="shared" si="8"/>
        <v>17</v>
      </c>
    </row>
    <row r="19" ht="16.5" customHeight="1">
      <c r="A19" s="15">
        <v>17.0</v>
      </c>
      <c r="B19" s="20"/>
      <c r="C19" s="16" t="s">
        <v>69</v>
      </c>
      <c r="D19" s="22">
        <v>1.0</v>
      </c>
      <c r="E19" s="23"/>
      <c r="F19" s="23"/>
      <c r="G19" s="23"/>
      <c r="H19" s="22">
        <v>12.0</v>
      </c>
      <c r="I19" s="22">
        <v>10.0</v>
      </c>
      <c r="J19" s="22"/>
      <c r="K19" s="23"/>
      <c r="L19" s="23"/>
      <c r="M19" s="22"/>
      <c r="N19" s="22"/>
      <c r="O19" s="22">
        <v>5.0</v>
      </c>
      <c r="P19" s="22"/>
      <c r="Q19" s="22">
        <v>3.0</v>
      </c>
      <c r="R19" s="22">
        <v>4.0</v>
      </c>
      <c r="S19" s="23"/>
      <c r="T19" s="23"/>
      <c r="U19" s="23"/>
      <c r="V19" s="23"/>
      <c r="W19" s="22"/>
      <c r="X19" s="22"/>
      <c r="Y19" s="23"/>
      <c r="Z19" s="23"/>
      <c r="AA19" s="22">
        <v>3.0</v>
      </c>
      <c r="AB19" s="23"/>
      <c r="AC19" s="22">
        <v>5.0</v>
      </c>
      <c r="AD19" s="23"/>
      <c r="AE19" s="22">
        <v>10.0</v>
      </c>
      <c r="AF19" s="23"/>
      <c r="AG19" s="23"/>
      <c r="AH19" s="23">
        <f t="shared" si="1"/>
        <v>53</v>
      </c>
      <c r="AI19" s="23">
        <f t="shared" si="2"/>
        <v>18</v>
      </c>
      <c r="AJ19" s="23">
        <f t="shared" si="3"/>
        <v>10</v>
      </c>
      <c r="AK19" s="23">
        <f t="shared" si="4"/>
        <v>1</v>
      </c>
      <c r="AL19" s="23">
        <f t="shared" si="5"/>
        <v>2</v>
      </c>
      <c r="AM19" s="23">
        <f t="shared" si="6"/>
        <v>0</v>
      </c>
      <c r="AN19" s="24">
        <f t="shared" si="7"/>
        <v>5310010200</v>
      </c>
      <c r="AO19" s="23">
        <f t="shared" si="8"/>
        <v>18</v>
      </c>
    </row>
    <row r="20" ht="16.5" customHeight="1">
      <c r="A20" s="15">
        <v>23.0</v>
      </c>
      <c r="B20" s="20"/>
      <c r="C20" s="16" t="s">
        <v>49</v>
      </c>
      <c r="D20" s="18"/>
      <c r="E20" s="17"/>
      <c r="F20" s="18"/>
      <c r="G20" s="17"/>
      <c r="H20" s="17">
        <v>2.0</v>
      </c>
      <c r="I20" s="17">
        <v>4.0</v>
      </c>
      <c r="J20" s="18"/>
      <c r="K20" s="17">
        <v>2.0</v>
      </c>
      <c r="L20" s="17">
        <v>8.0</v>
      </c>
      <c r="M20" s="17">
        <v>1.0</v>
      </c>
      <c r="N20" s="17">
        <v>10.0</v>
      </c>
      <c r="O20" s="17"/>
      <c r="P20" s="17"/>
      <c r="Q20" s="17"/>
      <c r="R20" s="17"/>
      <c r="S20" s="17"/>
      <c r="T20" s="17"/>
      <c r="U20" s="17"/>
      <c r="V20" s="18"/>
      <c r="W20" s="17"/>
      <c r="X20" s="18"/>
      <c r="Y20" s="17">
        <v>3.0</v>
      </c>
      <c r="Z20" s="17">
        <v>3.0</v>
      </c>
      <c r="AA20" s="17">
        <v>7.0</v>
      </c>
      <c r="AB20" s="17"/>
      <c r="AC20" s="17"/>
      <c r="AD20" s="17"/>
      <c r="AE20" s="17"/>
      <c r="AF20" s="17">
        <v>12.0</v>
      </c>
      <c r="AG20" s="17"/>
      <c r="AH20" s="18">
        <f t="shared" si="1"/>
        <v>52</v>
      </c>
      <c r="AI20" s="18">
        <f t="shared" si="2"/>
        <v>19</v>
      </c>
      <c r="AJ20" s="18">
        <f t="shared" si="3"/>
        <v>11</v>
      </c>
      <c r="AK20" s="18">
        <f t="shared" si="4"/>
        <v>1</v>
      </c>
      <c r="AL20" s="18">
        <f t="shared" si="5"/>
        <v>1</v>
      </c>
      <c r="AM20" s="18">
        <f t="shared" si="6"/>
        <v>1</v>
      </c>
      <c r="AN20" s="19">
        <f t="shared" si="7"/>
        <v>5211010101</v>
      </c>
      <c r="AO20" s="18">
        <f t="shared" si="8"/>
        <v>19</v>
      </c>
    </row>
    <row r="21" ht="16.5" customHeight="1">
      <c r="A21" s="15">
        <v>22.0</v>
      </c>
      <c r="B21" s="20"/>
      <c r="C21" s="16" t="s">
        <v>71</v>
      </c>
      <c r="D21" s="17">
        <v>10.0</v>
      </c>
      <c r="E21" s="17"/>
      <c r="F21" s="17"/>
      <c r="G21" s="18"/>
      <c r="H21" s="17"/>
      <c r="I21" s="18"/>
      <c r="J21" s="17"/>
      <c r="K21" s="17"/>
      <c r="L21" s="17">
        <v>4.0</v>
      </c>
      <c r="M21" s="17"/>
      <c r="N21" s="17">
        <v>1.0</v>
      </c>
      <c r="O21" s="17">
        <v>10.0</v>
      </c>
      <c r="P21" s="17"/>
      <c r="Q21" s="17">
        <v>2.0</v>
      </c>
      <c r="R21" s="17">
        <v>3.0</v>
      </c>
      <c r="S21" s="17"/>
      <c r="T21" s="17"/>
      <c r="U21" s="17">
        <v>7.0</v>
      </c>
      <c r="V21" s="18"/>
      <c r="W21" s="17"/>
      <c r="X21" s="17"/>
      <c r="Y21" s="17">
        <v>7.0</v>
      </c>
      <c r="Z21" s="17">
        <v>4.0</v>
      </c>
      <c r="AA21" s="18"/>
      <c r="AB21" s="18"/>
      <c r="AC21" s="18"/>
      <c r="AD21" s="18"/>
      <c r="AE21" s="17">
        <v>1.0</v>
      </c>
      <c r="AF21" s="17">
        <v>1.0</v>
      </c>
      <c r="AG21" s="18"/>
      <c r="AH21" s="18">
        <f t="shared" si="1"/>
        <v>50</v>
      </c>
      <c r="AI21" s="18">
        <f t="shared" si="2"/>
        <v>20</v>
      </c>
      <c r="AJ21" s="18">
        <f t="shared" si="3"/>
        <v>12</v>
      </c>
      <c r="AK21" s="18">
        <f t="shared" si="4"/>
        <v>0</v>
      </c>
      <c r="AL21" s="18">
        <f t="shared" si="5"/>
        <v>2</v>
      </c>
      <c r="AM21" s="18">
        <f t="shared" si="6"/>
        <v>0</v>
      </c>
      <c r="AN21" s="19">
        <f t="shared" si="7"/>
        <v>5012000200</v>
      </c>
      <c r="AO21" s="18">
        <f t="shared" si="8"/>
        <v>20</v>
      </c>
    </row>
    <row r="22" ht="16.5" customHeight="1">
      <c r="A22" s="15">
        <v>13.0</v>
      </c>
      <c r="B22" s="20"/>
      <c r="C22" s="16" t="s">
        <v>48</v>
      </c>
      <c r="D22" s="17"/>
      <c r="E22" s="17"/>
      <c r="F22" s="17"/>
      <c r="G22" s="17">
        <v>8.0</v>
      </c>
      <c r="H22" s="17">
        <v>3.0</v>
      </c>
      <c r="I22" s="17"/>
      <c r="J22" s="17">
        <v>12.0</v>
      </c>
      <c r="K22" s="17"/>
      <c r="L22" s="17"/>
      <c r="M22" s="17">
        <v>2.0</v>
      </c>
      <c r="N22" s="17"/>
      <c r="O22" s="17">
        <v>3.0</v>
      </c>
      <c r="P22" s="17"/>
      <c r="Q22" s="18"/>
      <c r="R22" s="17"/>
      <c r="S22" s="17">
        <v>3.0</v>
      </c>
      <c r="T22" s="17"/>
      <c r="U22" s="17"/>
      <c r="V22" s="17">
        <v>1.0</v>
      </c>
      <c r="W22" s="18"/>
      <c r="X22" s="17">
        <v>5.0</v>
      </c>
      <c r="Y22" s="17">
        <v>5.0</v>
      </c>
      <c r="Z22" s="17"/>
      <c r="AA22" s="17"/>
      <c r="AB22" s="17"/>
      <c r="AC22" s="17">
        <v>4.0</v>
      </c>
      <c r="AD22" s="17">
        <v>3.0</v>
      </c>
      <c r="AE22" s="18"/>
      <c r="AF22" s="17"/>
      <c r="AG22" s="17"/>
      <c r="AH22" s="18">
        <f t="shared" si="1"/>
        <v>49</v>
      </c>
      <c r="AI22" s="18">
        <f t="shared" si="2"/>
        <v>21</v>
      </c>
      <c r="AJ22" s="18">
        <f t="shared" si="3"/>
        <v>12</v>
      </c>
      <c r="AK22" s="18">
        <f t="shared" si="4"/>
        <v>1</v>
      </c>
      <c r="AL22" s="18">
        <f t="shared" si="5"/>
        <v>0</v>
      </c>
      <c r="AM22" s="18">
        <f t="shared" si="6"/>
        <v>1</v>
      </c>
      <c r="AN22" s="19">
        <f t="shared" si="7"/>
        <v>4912010001</v>
      </c>
      <c r="AO22" s="18">
        <f t="shared" si="8"/>
        <v>21</v>
      </c>
    </row>
    <row r="23" ht="16.5" customHeight="1">
      <c r="A23" s="15">
        <v>20.0</v>
      </c>
      <c r="B23" s="20"/>
      <c r="C23" s="16" t="s">
        <v>58</v>
      </c>
      <c r="D23" s="17"/>
      <c r="E23" s="17"/>
      <c r="F23" s="18"/>
      <c r="G23" s="17">
        <v>5.0</v>
      </c>
      <c r="H23" s="17"/>
      <c r="I23" s="17">
        <v>1.0</v>
      </c>
      <c r="J23" s="17"/>
      <c r="K23" s="17">
        <v>7.0</v>
      </c>
      <c r="L23" s="17">
        <v>2.0</v>
      </c>
      <c r="M23" s="17">
        <v>5.0</v>
      </c>
      <c r="N23" s="17">
        <v>5.0</v>
      </c>
      <c r="O23" s="17"/>
      <c r="P23" s="17"/>
      <c r="Q23" s="18"/>
      <c r="R23" s="17"/>
      <c r="S23" s="17"/>
      <c r="T23" s="17">
        <v>3.0</v>
      </c>
      <c r="U23" s="18"/>
      <c r="V23" s="17">
        <v>5.0</v>
      </c>
      <c r="W23" s="17">
        <v>5.0</v>
      </c>
      <c r="X23" s="17"/>
      <c r="Y23" s="18"/>
      <c r="Z23" s="17">
        <v>2.0</v>
      </c>
      <c r="AA23" s="17">
        <v>2.0</v>
      </c>
      <c r="AB23" s="18"/>
      <c r="AC23" s="17">
        <v>1.0</v>
      </c>
      <c r="AD23" s="17"/>
      <c r="AE23" s="17"/>
      <c r="AF23" s="17">
        <v>4.0</v>
      </c>
      <c r="AG23" s="18"/>
      <c r="AH23" s="18">
        <f t="shared" si="1"/>
        <v>47</v>
      </c>
      <c r="AI23" s="18">
        <f t="shared" si="2"/>
        <v>22</v>
      </c>
      <c r="AJ23" s="18">
        <f t="shared" si="3"/>
        <v>14</v>
      </c>
      <c r="AK23" s="18">
        <f t="shared" si="4"/>
        <v>0</v>
      </c>
      <c r="AL23" s="18">
        <f t="shared" si="5"/>
        <v>0</v>
      </c>
      <c r="AM23" s="18">
        <f t="shared" si="6"/>
        <v>0</v>
      </c>
      <c r="AN23" s="19">
        <f t="shared" si="7"/>
        <v>4714000000</v>
      </c>
      <c r="AO23" s="18">
        <f t="shared" si="8"/>
        <v>22</v>
      </c>
    </row>
    <row r="24" ht="16.5" customHeight="1">
      <c r="A24" s="15">
        <v>19.0</v>
      </c>
      <c r="B24" s="20"/>
      <c r="C24" s="16" t="s">
        <v>63</v>
      </c>
      <c r="D24" s="17"/>
      <c r="E24" s="17">
        <v>10.0</v>
      </c>
      <c r="F24" s="17">
        <v>3.0</v>
      </c>
      <c r="G24" s="17">
        <v>7.0</v>
      </c>
      <c r="H24" s="17">
        <v>6.0</v>
      </c>
      <c r="I24" s="17"/>
      <c r="J24" s="17">
        <v>1.0</v>
      </c>
      <c r="K24" s="18"/>
      <c r="L24" s="17"/>
      <c r="M24" s="17">
        <v>3.0</v>
      </c>
      <c r="N24" s="18"/>
      <c r="O24" s="18"/>
      <c r="P24" s="17">
        <v>3.0</v>
      </c>
      <c r="Q24" s="18"/>
      <c r="R24" s="17"/>
      <c r="S24" s="18"/>
      <c r="T24" s="17"/>
      <c r="U24" s="17"/>
      <c r="V24" s="17">
        <v>4.0</v>
      </c>
      <c r="W24" s="17"/>
      <c r="X24" s="17"/>
      <c r="Y24" s="17">
        <v>2.0</v>
      </c>
      <c r="Z24" s="17"/>
      <c r="AA24" s="18"/>
      <c r="AB24" s="17"/>
      <c r="AC24" s="17">
        <v>2.0</v>
      </c>
      <c r="AD24" s="17"/>
      <c r="AE24" s="17"/>
      <c r="AF24" s="17"/>
      <c r="AG24" s="18"/>
      <c r="AH24" s="18">
        <f t="shared" si="1"/>
        <v>41</v>
      </c>
      <c r="AI24" s="18">
        <f t="shared" si="2"/>
        <v>23</v>
      </c>
      <c r="AJ24" s="18">
        <f t="shared" si="3"/>
        <v>11</v>
      </c>
      <c r="AK24" s="18">
        <f t="shared" si="4"/>
        <v>0</v>
      </c>
      <c r="AL24" s="18">
        <f t="shared" si="5"/>
        <v>1</v>
      </c>
      <c r="AM24" s="18">
        <f t="shared" si="6"/>
        <v>0</v>
      </c>
      <c r="AN24" s="19">
        <f t="shared" si="7"/>
        <v>4111000100</v>
      </c>
      <c r="AO24" s="18">
        <f t="shared" si="8"/>
        <v>23</v>
      </c>
    </row>
    <row r="25" ht="16.5" customHeight="1">
      <c r="A25" s="15">
        <v>4.0</v>
      </c>
      <c r="B25" s="20"/>
      <c r="C25" s="16" t="s">
        <v>70</v>
      </c>
      <c r="D25" s="17"/>
      <c r="E25" s="17"/>
      <c r="F25" s="17"/>
      <c r="G25" s="18"/>
      <c r="H25" s="18"/>
      <c r="I25" s="17">
        <v>5.0</v>
      </c>
      <c r="J25" s="17"/>
      <c r="K25" s="18"/>
      <c r="L25" s="17"/>
      <c r="M25" s="17"/>
      <c r="N25" s="17"/>
      <c r="O25" s="17"/>
      <c r="P25" s="18"/>
      <c r="Q25" s="17">
        <v>1.0</v>
      </c>
      <c r="R25" s="18"/>
      <c r="S25" s="17">
        <v>4.0</v>
      </c>
      <c r="T25" s="17">
        <v>6.0</v>
      </c>
      <c r="U25" s="17"/>
      <c r="V25" s="17">
        <v>8.0</v>
      </c>
      <c r="W25" s="17">
        <v>4.0</v>
      </c>
      <c r="X25" s="17">
        <v>2.0</v>
      </c>
      <c r="Y25" s="17"/>
      <c r="Z25" s="17"/>
      <c r="AA25" s="18"/>
      <c r="AB25" s="17">
        <v>2.0</v>
      </c>
      <c r="AC25" s="17"/>
      <c r="AD25" s="17">
        <v>2.0</v>
      </c>
      <c r="AE25" s="17"/>
      <c r="AF25" s="17">
        <v>5.0</v>
      </c>
      <c r="AG25" s="17"/>
      <c r="AH25" s="18">
        <f t="shared" si="1"/>
        <v>39</v>
      </c>
      <c r="AI25" s="18">
        <f t="shared" si="2"/>
        <v>24</v>
      </c>
      <c r="AJ25" s="18">
        <f t="shared" si="3"/>
        <v>11</v>
      </c>
      <c r="AK25" s="18">
        <f t="shared" si="4"/>
        <v>0</v>
      </c>
      <c r="AL25" s="18">
        <f t="shared" si="5"/>
        <v>0</v>
      </c>
      <c r="AM25" s="18">
        <f t="shared" si="6"/>
        <v>1</v>
      </c>
      <c r="AN25" s="19">
        <f t="shared" si="7"/>
        <v>3911000001</v>
      </c>
      <c r="AO25" s="18">
        <f t="shared" si="8"/>
        <v>24</v>
      </c>
    </row>
    <row r="26" ht="16.5" customHeight="1">
      <c r="A26" s="37">
        <v>7.0</v>
      </c>
      <c r="B26" s="38"/>
      <c r="C26" s="39" t="s">
        <v>54</v>
      </c>
      <c r="D26" s="40"/>
      <c r="E26" s="40"/>
      <c r="F26" s="41"/>
      <c r="G26" s="40"/>
      <c r="H26" s="41"/>
      <c r="I26" s="40">
        <v>3.0</v>
      </c>
      <c r="J26" s="41"/>
      <c r="K26" s="41"/>
      <c r="L26" s="40"/>
      <c r="M26" s="41"/>
      <c r="N26" s="40">
        <v>4.0</v>
      </c>
      <c r="O26" s="40">
        <v>7.0</v>
      </c>
      <c r="P26" s="41"/>
      <c r="Q26" s="40"/>
      <c r="R26" s="40"/>
      <c r="S26" s="40"/>
      <c r="T26" s="40"/>
      <c r="U26" s="40"/>
      <c r="V26" s="40">
        <v>3.0</v>
      </c>
      <c r="W26" s="40"/>
      <c r="X26" s="40">
        <v>1.0</v>
      </c>
      <c r="Y26" s="40">
        <v>6.0</v>
      </c>
      <c r="Z26" s="40"/>
      <c r="AA26" s="41"/>
      <c r="AB26" s="40"/>
      <c r="AC26" s="40"/>
      <c r="AD26" s="40"/>
      <c r="AE26" s="40">
        <v>5.0</v>
      </c>
      <c r="AF26" s="40">
        <v>8.0</v>
      </c>
      <c r="AG26" s="41"/>
      <c r="AH26" s="41">
        <f t="shared" si="1"/>
        <v>37</v>
      </c>
      <c r="AI26" s="41">
        <f t="shared" si="2"/>
        <v>25</v>
      </c>
      <c r="AJ26" s="41">
        <f t="shared" si="3"/>
        <v>9</v>
      </c>
      <c r="AK26" s="41">
        <f t="shared" si="4"/>
        <v>0</v>
      </c>
      <c r="AL26" s="41">
        <f t="shared" si="5"/>
        <v>0</v>
      </c>
      <c r="AM26" s="41">
        <f t="shared" si="6"/>
        <v>1</v>
      </c>
      <c r="AN26" s="42">
        <f t="shared" si="7"/>
        <v>3709000001</v>
      </c>
      <c r="AO26" s="41">
        <f t="shared" si="8"/>
        <v>25</v>
      </c>
    </row>
    <row r="27" ht="16.5" customHeight="1">
      <c r="A27" s="15">
        <v>1.0</v>
      </c>
      <c r="B27" s="20"/>
      <c r="C27" s="16" t="s">
        <v>55</v>
      </c>
      <c r="D27" s="17">
        <v>7.0</v>
      </c>
      <c r="E27" s="18"/>
      <c r="F27" s="17"/>
      <c r="G27" s="17"/>
      <c r="H27" s="17"/>
      <c r="I27" s="17"/>
      <c r="J27" s="18"/>
      <c r="K27" s="18"/>
      <c r="L27" s="17"/>
      <c r="M27" s="17"/>
      <c r="N27" s="17"/>
      <c r="O27" s="17"/>
      <c r="P27" s="17"/>
      <c r="Q27" s="17"/>
      <c r="R27" s="17">
        <v>7.0</v>
      </c>
      <c r="S27" s="18"/>
      <c r="T27" s="17"/>
      <c r="U27" s="17"/>
      <c r="V27" s="18"/>
      <c r="W27" s="17">
        <v>8.0</v>
      </c>
      <c r="X27" s="18"/>
      <c r="Y27" s="17"/>
      <c r="Z27" s="17">
        <v>8.0</v>
      </c>
      <c r="AA27" s="18"/>
      <c r="AB27" s="17"/>
      <c r="AC27" s="17"/>
      <c r="AD27" s="17"/>
      <c r="AE27" s="17">
        <v>7.0</v>
      </c>
      <c r="AF27" s="18"/>
      <c r="AG27" s="17"/>
      <c r="AH27" s="18">
        <f t="shared" si="1"/>
        <v>37</v>
      </c>
      <c r="AI27" s="18">
        <f t="shared" si="2"/>
        <v>25</v>
      </c>
      <c r="AJ27" s="18">
        <f t="shared" si="3"/>
        <v>6</v>
      </c>
      <c r="AK27" s="18">
        <f t="shared" si="4"/>
        <v>0</v>
      </c>
      <c r="AL27" s="18">
        <f t="shared" si="5"/>
        <v>0</v>
      </c>
      <c r="AM27" s="18">
        <f t="shared" si="6"/>
        <v>2</v>
      </c>
      <c r="AN27" s="19">
        <f t="shared" si="7"/>
        <v>3706000002</v>
      </c>
      <c r="AO27" s="18">
        <f t="shared" si="8"/>
        <v>26</v>
      </c>
    </row>
    <row r="28" ht="16.5" customHeight="1">
      <c r="A28" s="26">
        <v>27.0</v>
      </c>
      <c r="B28" s="21" t="str">
        <f>W28</f>
        <v/>
      </c>
      <c r="C28" s="45"/>
      <c r="D28" s="17"/>
      <c r="E28" s="17"/>
      <c r="F28" s="17"/>
      <c r="G28" s="17"/>
      <c r="H28" s="17"/>
      <c r="I28" s="18"/>
      <c r="J28" s="18"/>
      <c r="K28" s="17"/>
      <c r="L28" s="18"/>
      <c r="M28" s="17"/>
      <c r="N28" s="17"/>
      <c r="O28" s="18"/>
      <c r="P28" s="17"/>
      <c r="Q28" s="17"/>
      <c r="R28" s="17"/>
      <c r="S28" s="18"/>
      <c r="T28" s="17"/>
      <c r="U28" s="17"/>
      <c r="V28" s="17"/>
      <c r="W28" s="18"/>
      <c r="X28" s="18"/>
      <c r="Y28" s="18"/>
      <c r="Z28" s="18"/>
      <c r="AA28" s="18"/>
      <c r="AB28" s="18"/>
      <c r="AC28" s="17"/>
      <c r="AD28" s="17"/>
      <c r="AE28" s="17"/>
      <c r="AF28" s="17"/>
      <c r="AG28" s="17"/>
      <c r="AH28" s="18">
        <f t="shared" si="1"/>
        <v>0</v>
      </c>
      <c r="AI28" s="18">
        <f t="shared" si="2"/>
        <v>27</v>
      </c>
      <c r="AJ28" s="18">
        <f t="shared" si="3"/>
        <v>0</v>
      </c>
      <c r="AK28" s="18">
        <f t="shared" si="4"/>
        <v>0</v>
      </c>
      <c r="AL28" s="18">
        <f t="shared" si="5"/>
        <v>0</v>
      </c>
      <c r="AM28" s="18">
        <f t="shared" si="6"/>
        <v>0</v>
      </c>
      <c r="AN28" s="19">
        <f t="shared" si="7"/>
        <v>0</v>
      </c>
      <c r="AO28" s="18">
        <f t="shared" si="8"/>
        <v>27</v>
      </c>
    </row>
    <row r="30">
      <c r="C30" s="29" t="s">
        <v>40</v>
      </c>
      <c r="D30" s="30">
        <f t="shared" ref="D30:AG30" si="9">SUM(D2:D28)</f>
        <v>58</v>
      </c>
      <c r="E30" s="30">
        <f t="shared" si="9"/>
        <v>58</v>
      </c>
      <c r="F30" s="30">
        <f t="shared" si="9"/>
        <v>58</v>
      </c>
      <c r="G30" s="30">
        <f t="shared" si="9"/>
        <v>58</v>
      </c>
      <c r="H30" s="30">
        <f t="shared" si="9"/>
        <v>58</v>
      </c>
      <c r="I30" s="30">
        <f t="shared" si="9"/>
        <v>58</v>
      </c>
      <c r="J30" s="30">
        <f t="shared" si="9"/>
        <v>58</v>
      </c>
      <c r="K30" s="30">
        <f t="shared" si="9"/>
        <v>58</v>
      </c>
      <c r="L30" s="30">
        <f t="shared" si="9"/>
        <v>58</v>
      </c>
      <c r="M30" s="30">
        <f t="shared" si="9"/>
        <v>58</v>
      </c>
      <c r="N30" s="30">
        <f t="shared" si="9"/>
        <v>58</v>
      </c>
      <c r="O30" s="30">
        <f t="shared" si="9"/>
        <v>58</v>
      </c>
      <c r="P30" s="30">
        <f t="shared" si="9"/>
        <v>58</v>
      </c>
      <c r="Q30" s="30">
        <f t="shared" si="9"/>
        <v>58</v>
      </c>
      <c r="R30" s="30">
        <f t="shared" si="9"/>
        <v>58</v>
      </c>
      <c r="S30" s="30">
        <f t="shared" si="9"/>
        <v>58</v>
      </c>
      <c r="T30" s="30">
        <f t="shared" si="9"/>
        <v>58</v>
      </c>
      <c r="U30" s="30">
        <f t="shared" si="9"/>
        <v>58</v>
      </c>
      <c r="V30" s="30">
        <f t="shared" si="9"/>
        <v>58</v>
      </c>
      <c r="W30" s="30">
        <f t="shared" si="9"/>
        <v>58</v>
      </c>
      <c r="X30" s="30">
        <f t="shared" si="9"/>
        <v>58</v>
      </c>
      <c r="Y30" s="30">
        <f t="shared" si="9"/>
        <v>58</v>
      </c>
      <c r="Z30" s="30">
        <f t="shared" si="9"/>
        <v>58</v>
      </c>
      <c r="AA30" s="30">
        <f t="shared" si="9"/>
        <v>58</v>
      </c>
      <c r="AB30" s="30">
        <f t="shared" si="9"/>
        <v>58</v>
      </c>
      <c r="AC30" s="30">
        <f t="shared" si="9"/>
        <v>58</v>
      </c>
      <c r="AD30" s="30">
        <f t="shared" si="9"/>
        <v>58</v>
      </c>
      <c r="AE30" s="30">
        <f t="shared" si="9"/>
        <v>58</v>
      </c>
      <c r="AF30" s="30">
        <f t="shared" si="9"/>
        <v>58</v>
      </c>
      <c r="AG30" s="30">
        <f t="shared" si="9"/>
        <v>0</v>
      </c>
    </row>
    <row r="31">
      <c r="B31" s="29"/>
      <c r="C31" s="29" t="s">
        <v>42</v>
      </c>
      <c r="D31" s="30" t="b">
        <f>IFERROR(__xludf.DUMMYFUNCTION("AND(COUNTIF(D2:D28, 1) = 1, 
    COUNTIF(D2:D28, 2) = 1, 
    COUNTIF(D2:D28, 3) = 1, 
    COUNTIF(D2:D28, 4) = 1, 
    COUNTIF(D2:D28, 5) = 1, 
    COUNTIF(D2:D28, 6) = 1, 
    COUNTIF(D2:D28, 7) = 1, 
    COUNTIF(D2:D28, 8) = 1, 
    COUNTIF(D2:D28, 10)"&amp;" = 1, 
    COUNTIF(D2:D28, 12) = 1, 
    COUNTUNIQUE(D2:D28) = 10)"),TRUE)</f>
        <v>1</v>
      </c>
      <c r="E31" s="30" t="b">
        <f>IFERROR(__xludf.DUMMYFUNCTION("AND(COUNTIF(E2:E28, 1) = 1, 
    COUNTIF(E2:E28, 2) = 1, 
    COUNTIF(E2:E28, 3) = 1, 
    COUNTIF(E2:E28, 4) = 1, 
    COUNTIF(E2:E28, 5) = 1, 
    COUNTIF(E2:E28, 6) = 1, 
    COUNTIF(E2:E28, 7) = 1, 
    COUNTIF(E2:E28, 8) = 1, 
    COUNTIF(E2:E28, 10)"&amp;" = 1, 
    COUNTIF(E2:E28, 12) = 1, 
    COUNTUNIQUE(E2:E28) = 10)"),TRUE)</f>
        <v>1</v>
      </c>
      <c r="F31" s="30" t="b">
        <f>IFERROR(__xludf.DUMMYFUNCTION("AND(COUNTIF(F2:F28, 1) = 1, 
    COUNTIF(F2:F28, 2) = 1, 
    COUNTIF(F2:F28, 3) = 1, 
    COUNTIF(F2:F28, 4) = 1, 
    COUNTIF(F2:F28, 5) = 1, 
    COUNTIF(F2:F28, 6) = 1, 
    COUNTIF(F2:F28, 7) = 1, 
    COUNTIF(F2:F28, 8) = 1, 
    COUNTIF(F2:F28, 10)"&amp;" = 1, 
    COUNTIF(F2:F28, 12) = 1, 
    COUNTUNIQUE(F2:F28) = 10)"),TRUE)</f>
        <v>1</v>
      </c>
      <c r="G31" s="30" t="b">
        <f>IFERROR(__xludf.DUMMYFUNCTION("AND(COUNTIF(G2:G28, 1) = 1, 
    COUNTIF(G2:G28, 2) = 1, 
    COUNTIF(G2:G28, 3) = 1, 
    COUNTIF(G2:G28, 4) = 1, 
    COUNTIF(G2:G28, 5) = 1, 
    COUNTIF(G2:G28, 6) = 1, 
    COUNTIF(G2:G28, 7) = 1, 
    COUNTIF(G2:G28, 8) = 1, 
    COUNTIF(G2:G28, 10)"&amp;" = 1, 
    COUNTIF(G2:G28, 12) = 1, 
    COUNTUNIQUE(G2:G28) = 10)"),TRUE)</f>
        <v>1</v>
      </c>
      <c r="H31" s="30" t="b">
        <f>IFERROR(__xludf.DUMMYFUNCTION("AND(COUNTIF(H2:H28, 1) = 1, 
    COUNTIF(H2:H28, 2) = 1, 
    COUNTIF(H2:H28, 3) = 1, 
    COUNTIF(H2:H28, 4) = 1, 
    COUNTIF(H2:H28, 5) = 1, 
    COUNTIF(H2:H28, 6) = 1, 
    COUNTIF(H2:H28, 7) = 1, 
    COUNTIF(H2:H28, 8) = 1, 
    COUNTIF(H2:H28, 10)"&amp;" = 1, 
    COUNTIF(H2:H28, 12) = 1, 
    COUNTUNIQUE(H2:H28) = 10)"),TRUE)</f>
        <v>1</v>
      </c>
      <c r="I31" s="30" t="b">
        <f>IFERROR(__xludf.DUMMYFUNCTION("AND(COUNTIF(I2:I28, 1) = 1, 
    COUNTIF(I2:I28, 2) = 1, 
    COUNTIF(I2:I28, 3) = 1, 
    COUNTIF(I2:I28, 4) = 1, 
    COUNTIF(I2:I28, 5) = 1, 
    COUNTIF(I2:I28, 6) = 1, 
    COUNTIF(I2:I28, 7) = 1, 
    COUNTIF(I2:I28, 8) = 1, 
    COUNTIF(I2:I28, 10)"&amp;" = 1, 
    COUNTIF(I2:I28, 12) = 1, 
    COUNTUNIQUE(I2:I28) = 10)"),TRUE)</f>
        <v>1</v>
      </c>
      <c r="J31" s="30" t="b">
        <f>IFERROR(__xludf.DUMMYFUNCTION("AND(COUNTIF(J2:J28, 1) = 1, 
    COUNTIF(J2:J28, 2) = 1, 
    COUNTIF(J2:J28, 3) = 1, 
    COUNTIF(J2:J28, 4) = 1, 
    COUNTIF(J2:J28, 5) = 1, 
    COUNTIF(J2:J28, 6) = 1, 
    COUNTIF(J2:J28, 7) = 1, 
    COUNTIF(J2:J28, 8) = 1, 
    COUNTIF(J2:J28, 10)"&amp;" = 1, 
    COUNTIF(J2:J28, 12) = 1, 
    COUNTUNIQUE(J2:J28) = 10)"),TRUE)</f>
        <v>1</v>
      </c>
      <c r="K31" s="30" t="b">
        <f>IFERROR(__xludf.DUMMYFUNCTION("AND(COUNTIF(K2:K28, 1) = 1, 
    COUNTIF(K2:K28, 2) = 1, 
    COUNTIF(K2:K28, 3) = 1, 
    COUNTIF(K2:K28, 4) = 1, 
    COUNTIF(K2:K28, 5) = 1, 
    COUNTIF(K2:K28, 6) = 1, 
    COUNTIF(K2:K28, 7) = 1, 
    COUNTIF(K2:K28, 8) = 1, 
    COUNTIF(K2:K28, 10)"&amp;" = 1, 
    COUNTIF(K2:K28, 12) = 1, 
    COUNTUNIQUE(K2:K28) = 10)"),TRUE)</f>
        <v>1</v>
      </c>
      <c r="L31" s="30" t="b">
        <f>IFERROR(__xludf.DUMMYFUNCTION("AND(COUNTIF(L2:L28, 1) = 1, 
    COUNTIF(L2:L28, 2) = 1, 
    COUNTIF(L2:L28, 3) = 1, 
    COUNTIF(L2:L28, 4) = 1, 
    COUNTIF(L2:L28, 5) = 1, 
    COUNTIF(L2:L28, 6) = 1, 
    COUNTIF(L2:L28, 7) = 1, 
    COUNTIF(L2:L28, 8) = 1, 
    COUNTIF(L2:L28, 10)"&amp;" = 1, 
    COUNTIF(L2:L28, 12) = 1, 
    COUNTUNIQUE(L2:L28) = 10)"),TRUE)</f>
        <v>1</v>
      </c>
      <c r="M31" s="30" t="b">
        <f>IFERROR(__xludf.DUMMYFUNCTION("AND(COUNTIF(M2:M28, 1) = 1, 
    COUNTIF(M2:M28, 2) = 1, 
    COUNTIF(M2:M28, 3) = 1, 
    COUNTIF(M2:M28, 4) = 1, 
    COUNTIF(M2:M28, 5) = 1, 
    COUNTIF(M2:M28, 6) = 1, 
    COUNTIF(M2:M28, 7) = 1, 
    COUNTIF(M2:M28, 8) = 1, 
    COUNTIF(M2:M28, 10)"&amp;" = 1, 
    COUNTIF(M2:M28, 12) = 1, 
    COUNTUNIQUE(M2:M28) = 10)"),TRUE)</f>
        <v>1</v>
      </c>
      <c r="N31" s="30" t="b">
        <f>IFERROR(__xludf.DUMMYFUNCTION("AND(COUNTIF(N2:N28, 1) = 1, 
    COUNTIF(N2:N28, 2) = 1, 
    COUNTIF(N2:N28, 3) = 1, 
    COUNTIF(N2:N28, 4) = 1, 
    COUNTIF(N2:N28, 5) = 1, 
    COUNTIF(N2:N28, 6) = 1, 
    COUNTIF(N2:N28, 7) = 1, 
    COUNTIF(N2:N28, 8) = 1, 
    COUNTIF(N2:N28, 10)"&amp;" = 1, 
    COUNTIF(N2:N28, 12) = 1, 
    COUNTUNIQUE(N2:N28) = 10)"),TRUE)</f>
        <v>1</v>
      </c>
      <c r="O31" s="30" t="b">
        <f>IFERROR(__xludf.DUMMYFUNCTION("AND(COUNTIF(O2:O28, 1) = 1, 
    COUNTIF(O2:O28, 2) = 1, 
    COUNTIF(O2:O28, 3) = 1, 
    COUNTIF(O2:O28, 4) = 1, 
    COUNTIF(O2:O28, 5) = 1, 
    COUNTIF(O2:O28, 6) = 1, 
    COUNTIF(O2:O28, 7) = 1, 
    COUNTIF(O2:O28, 8) = 1, 
    COUNTIF(O2:O28, 10)"&amp;" = 1, 
    COUNTIF(O2:O28, 12) = 1, 
    COUNTUNIQUE(O2:O28) = 10)"),TRUE)</f>
        <v>1</v>
      </c>
      <c r="P31" s="30" t="b">
        <f>IFERROR(__xludf.DUMMYFUNCTION("AND(COUNTIF(P2:P28, 1) = 1, 
    COUNTIF(P2:P28, 2) = 1, 
    COUNTIF(P2:P28, 3) = 1, 
    COUNTIF(P2:P28, 4) = 1, 
    COUNTIF(P2:P28, 5) = 1, 
    COUNTIF(P2:P28, 6) = 1, 
    COUNTIF(P2:P28, 7) = 1, 
    COUNTIF(P2:P28, 8) = 1, 
    COUNTIF(P2:P28, 10)"&amp;" = 1, 
    COUNTIF(P2:P28, 12) = 1, 
    COUNTUNIQUE(P2:P28) = 10)"),TRUE)</f>
        <v>1</v>
      </c>
      <c r="Q31" s="30" t="b">
        <f>IFERROR(__xludf.DUMMYFUNCTION("AND(COUNTIF(Q2:Q28, 1) = 1, 
    COUNTIF(Q2:Q28, 2) = 1, 
    COUNTIF(Q2:Q28, 3) = 1, 
    COUNTIF(Q2:Q28, 4) = 1, 
    COUNTIF(Q2:Q28, 5) = 1, 
    COUNTIF(Q2:Q28, 6) = 1, 
    COUNTIF(Q2:Q28, 7) = 1, 
    COUNTIF(Q2:Q28, 8) = 1, 
    COUNTIF(Q2:Q28, 10)"&amp;" = 1, 
    COUNTIF(Q2:Q28, 12) = 1, 
    COUNTUNIQUE(Q2:Q28) = 10)"),TRUE)</f>
        <v>1</v>
      </c>
      <c r="R31" s="30" t="b">
        <f>IFERROR(__xludf.DUMMYFUNCTION("AND(COUNTIF(R2:R28, 1) = 1, 
    COUNTIF(R2:R28, 2) = 1, 
    COUNTIF(R2:R28, 3) = 1, 
    COUNTIF(R2:R28, 4) = 1, 
    COUNTIF(R2:R28, 5) = 1, 
    COUNTIF(R2:R28, 6) = 1, 
    COUNTIF(R2:R28, 7) = 1, 
    COUNTIF(R2:R28, 8) = 1, 
    COUNTIF(R2:R28, 10)"&amp;" = 1, 
    COUNTIF(R2:R28, 12) = 1, 
    COUNTUNIQUE(R2:R28) = 10)"),TRUE)</f>
        <v>1</v>
      </c>
      <c r="S31" s="30" t="b">
        <f>IFERROR(__xludf.DUMMYFUNCTION("AND(COUNTIF(S2:S28, 1) = 1, 
    COUNTIF(S2:S28, 2) = 1, 
    COUNTIF(S2:S28, 3) = 1, 
    COUNTIF(S2:S28, 4) = 1, 
    COUNTIF(S2:S28, 5) = 1, 
    COUNTIF(S2:S28, 6) = 1, 
    COUNTIF(S2:S28, 7) = 1, 
    COUNTIF(S2:S28, 8) = 1, 
    COUNTIF(S2:S28, 10)"&amp;" = 1, 
    COUNTIF(S2:S28, 12) = 1, 
    COUNTUNIQUE(S2:S28) = 10)"),TRUE)</f>
        <v>1</v>
      </c>
      <c r="T31" s="30" t="b">
        <f>IFERROR(__xludf.DUMMYFUNCTION("AND(COUNTIF(T2:T28, 1) = 1, 
    COUNTIF(T2:T28, 2) = 1, 
    COUNTIF(T2:T28, 3) = 1, 
    COUNTIF(T2:T28, 4) = 1, 
    COUNTIF(T2:T28, 5) = 1, 
    COUNTIF(T2:T28, 6) = 1, 
    COUNTIF(T2:T28, 7) = 1, 
    COUNTIF(T2:T28, 8) = 1, 
    COUNTIF(T2:T28, 10)"&amp;" = 1, 
    COUNTIF(T2:T28, 12) = 1, 
    COUNTUNIQUE(T2:T28) = 10)"),TRUE)</f>
        <v>1</v>
      </c>
      <c r="U31" s="30" t="b">
        <f>IFERROR(__xludf.DUMMYFUNCTION("AND(COUNTIF(U2:U28, 1) = 1, 
    COUNTIF(U2:U28, 2) = 1, 
    COUNTIF(U2:U28, 3) = 1, 
    COUNTIF(U2:U28, 4) = 1, 
    COUNTIF(U2:U28, 5) = 1, 
    COUNTIF(U2:U28, 6) = 1, 
    COUNTIF(U2:U28, 7) = 1, 
    COUNTIF(U2:U28, 8) = 1, 
    COUNTIF(U2:U28, 10)"&amp;" = 1, 
    COUNTIF(U2:U28, 12) = 1, 
    COUNTUNIQUE(U2:U28) = 10)"),TRUE)</f>
        <v>1</v>
      </c>
      <c r="V31" s="30" t="b">
        <f>IFERROR(__xludf.DUMMYFUNCTION("AND(COUNTIF(V2:V28, 1) = 1, 
    COUNTIF(V2:V28, 2) = 1, 
    COUNTIF(V2:V28, 3) = 1, 
    COUNTIF(V2:V28, 4) = 1, 
    COUNTIF(V2:V28, 5) = 1, 
    COUNTIF(V2:V28, 6) = 1, 
    COUNTIF(V2:V28, 7) = 1, 
    COUNTIF(V2:V28, 8) = 1, 
    COUNTIF(V2:V28, 10)"&amp;" = 1, 
    COUNTIF(V2:V28, 12) = 1, 
    COUNTUNIQUE(V2:V28) = 10)"),TRUE)</f>
        <v>1</v>
      </c>
      <c r="W31" s="30" t="b">
        <f>IFERROR(__xludf.DUMMYFUNCTION("AND(COUNTIF(W2:W28, 1) = 1, 
    COUNTIF(W2:W28, 2) = 1, 
    COUNTIF(W2:W28, 3) = 1, 
    COUNTIF(W2:W28, 4) = 1, 
    COUNTIF(W2:W28, 5) = 1, 
    COUNTIF(W2:W28, 6) = 1, 
    COUNTIF(W2:W28, 7) = 1, 
    COUNTIF(W2:W28, 8) = 1, 
    COUNTIF(W2:W28, 10)"&amp;" = 1, 
    COUNTIF(W2:W28, 12) = 1, 
    COUNTUNIQUE(W2:W28) = 10)"),TRUE)</f>
        <v>1</v>
      </c>
      <c r="X31" s="30" t="b">
        <f>IFERROR(__xludf.DUMMYFUNCTION("AND(COUNTIF(X2:X28, 1) = 1, 
    COUNTIF(X2:X28, 2) = 1, 
    COUNTIF(X2:X28, 3) = 1, 
    COUNTIF(X2:X28, 4) = 1, 
    COUNTIF(X2:X28, 5) = 1, 
    COUNTIF(X2:X28, 6) = 1, 
    COUNTIF(X2:X28, 7) = 1, 
    COUNTIF(X2:X28, 8) = 1, 
    COUNTIF(X2:X28, 10)"&amp;" = 1, 
    COUNTIF(X2:X28, 12) = 1, 
    COUNTUNIQUE(X2:X28) = 10)"),TRUE)</f>
        <v>1</v>
      </c>
      <c r="Y31" s="30" t="b">
        <f>IFERROR(__xludf.DUMMYFUNCTION("AND(COUNTIF(Y2:Y28, 1) = 1, 
    COUNTIF(Y2:Y28, 2) = 1, 
    COUNTIF(Y2:Y28, 3) = 1, 
    COUNTIF(Y2:Y28, 4) = 1, 
    COUNTIF(Y2:Y28, 5) = 1, 
    COUNTIF(Y2:Y28, 6) = 1, 
    COUNTIF(Y2:Y28, 7) = 1, 
    COUNTIF(Y2:Y28, 8) = 1, 
    COUNTIF(Y2:Y28, 10)"&amp;" = 1, 
    COUNTIF(Y2:Y28, 12) = 1, 
    COUNTUNIQUE(Y2:Y28) = 10)"),TRUE)</f>
        <v>1</v>
      </c>
      <c r="Z31" s="30" t="b">
        <f>IFERROR(__xludf.DUMMYFUNCTION("AND(COUNTIF(Z2:Z28, 1) = 1, 
    COUNTIF(Z2:Z28, 2) = 1, 
    COUNTIF(Z2:Z28, 3) = 1, 
    COUNTIF(Z2:Z28, 4) = 1, 
    COUNTIF(Z2:Z28, 5) = 1, 
    COUNTIF(Z2:Z28, 6) = 1, 
    COUNTIF(Z2:Z28, 7) = 1, 
    COUNTIF(Z2:Z28, 8) = 1, 
    COUNTIF(Z2:Z28, 10)"&amp;" = 1, 
    COUNTIF(Z2:Z28, 12) = 1, 
    COUNTUNIQUE(Z2:Z28) = 10)"),TRUE)</f>
        <v>1</v>
      </c>
      <c r="AA31" s="30" t="b">
        <f>IFERROR(__xludf.DUMMYFUNCTION("AND(COUNTIF(AA2:AA28, 1) = 1, 
    COUNTIF(AA2:AA28, 2) = 1, 
    COUNTIF(AA2:AA28, 3) = 1, 
    COUNTIF(AA2:AA28, 4) = 1, 
    COUNTIF(AA2:AA28, 5) = 1, 
    COUNTIF(AA2:AA28, 6) = 1, 
    COUNTIF(AA2:AA28, 7) = 1, 
    COUNTIF(AA2:AA28, 8) = 1, 
    COU"&amp;"NTIF(AA2:AA28, 10) = 1, 
    COUNTIF(AA2:AA28, 12) = 1, 
    COUNTUNIQUE(AA2:AA28) = 10)"),TRUE)</f>
        <v>1</v>
      </c>
      <c r="AB31" s="30" t="b">
        <f>IFERROR(__xludf.DUMMYFUNCTION("AND(COUNTIF(AB2:AB28, 1) = 1, 
    COUNTIF(AB2:AB28, 2) = 1, 
    COUNTIF(AB2:AB28, 3) = 1, 
    COUNTIF(AB2:AB28, 4) = 1, 
    COUNTIF(AB2:AB28, 5) = 1, 
    COUNTIF(AB2:AB28, 6) = 1, 
    COUNTIF(AB2:AB28, 7) = 1, 
    COUNTIF(AB2:AB28, 8) = 1, 
    COU"&amp;"NTIF(AB2:AB28, 10) = 1, 
    COUNTIF(AB2:AB28, 12) = 1, 
    COUNTUNIQUE(AB2:AB28) = 10)"),TRUE)</f>
        <v>1</v>
      </c>
      <c r="AC31" s="30" t="b">
        <f>IFERROR(__xludf.DUMMYFUNCTION("AND(COUNTIF(AC2:AC28, 1) = 1, 
    COUNTIF(AC2:AC28, 2) = 1, 
    COUNTIF(AC2:AC28, 3) = 1, 
    COUNTIF(AC2:AC28, 4) = 1, 
    COUNTIF(AC2:AC28, 5) = 1, 
    COUNTIF(AC2:AC28, 6) = 1, 
    COUNTIF(AC2:AC28, 7) = 1, 
    COUNTIF(AC2:AC28, 8) = 1, 
    COU"&amp;"NTIF(AC2:AC28, 10) = 1, 
    COUNTIF(AC2:AC28, 12) = 1, 
    COUNTUNIQUE(AC2:AC28) = 10)"),TRUE)</f>
        <v>1</v>
      </c>
      <c r="AD31" s="30" t="b">
        <f>IFERROR(__xludf.DUMMYFUNCTION("AND(COUNTIF(AD2:AD28, 1) = 1, 
    COUNTIF(AD2:AD28, 2) = 1, 
    COUNTIF(AD2:AD28, 3) = 1, 
    COUNTIF(AD2:AD28, 4) = 1, 
    COUNTIF(AD2:AD28, 5) = 1, 
    COUNTIF(AD2:AD28, 6) = 1, 
    COUNTIF(AD2:AD28, 7) = 1, 
    COUNTIF(AD2:AD28, 8) = 1, 
    COU"&amp;"NTIF(AD2:AD28, 10) = 1, 
    COUNTIF(AD2:AD28, 12) = 1, 
    COUNTUNIQUE(AD2:AD28) = 10)"),TRUE)</f>
        <v>1</v>
      </c>
      <c r="AE31" s="30" t="b">
        <f>IFERROR(__xludf.DUMMYFUNCTION("AND(COUNTIF(AE2:AE28, 1) = 1, 
    COUNTIF(AE2:AE28, 2) = 1, 
    COUNTIF(AE2:AE28, 3) = 1, 
    COUNTIF(AE2:AE28, 4) = 1, 
    COUNTIF(AE2:AE28, 5) = 1, 
    COUNTIF(AE2:AE28, 6) = 1, 
    COUNTIF(AE2:AE28, 7) = 1, 
    COUNTIF(AE2:AE28, 8) = 1, 
    COU"&amp;"NTIF(AE2:AE28, 10) = 1, 
    COUNTIF(AE2:AE28, 12) = 1, 
    COUNTUNIQUE(AE2:AE28) = 10)"),TRUE)</f>
        <v>1</v>
      </c>
      <c r="AF31" s="30" t="b">
        <f>IFERROR(__xludf.DUMMYFUNCTION("AND(COUNTIF(AF2:AF28, 1) = 1, 
    COUNTIF(AF2:AF28, 2) = 1, 
    COUNTIF(AF2:AF28, 3) = 1, 
    COUNTIF(AF2:AF28, 4) = 1, 
    COUNTIF(AF2:AF28, 5) = 1, 
    COUNTIF(AF2:AF28, 6) = 1, 
    COUNTIF(AF2:AF28, 7) = 1, 
    COUNTIF(AF2:AF28, 8) = 1, 
    COU"&amp;"NTIF(AF2:AF28, 10) = 1, 
    COUNTIF(AF2:AF28, 12) = 1, 
    COUNTUNIQUE(AF2:AF28) = 10)"),TRUE)</f>
        <v>1</v>
      </c>
      <c r="AG31" s="30" t="b">
        <f>IFERROR(__xludf.DUMMYFUNCTION("AND(COUNTIF(AG2:AG28, 1) = 1, 
    COUNTIF(AG2:AG28, 2) = 1, 
    COUNTIF(AG2:AG28, 3) = 1, 
    COUNTIF(AG2:AG28, 4) = 1, 
    COUNTIF(AG2:AG28, 5) = 1, 
    COUNTIF(AG2:AG28, 6) = 1, 
    COUNTIF(AG2:AG28, 7) = 1, 
    COUNTIF(AG2:AG28, 8) = 1, 
    COU"&amp;"NTIF(AG2:AG28, 10) = 1, 
    COUNTIF(AG2:AG28, 12) = 1, 
    COUNTUNIQUE(AG2:AG28) = 10)"),FALSE)</f>
        <v>0</v>
      </c>
    </row>
    <row r="32">
      <c r="B32" s="29"/>
      <c r="C32" s="29" t="s">
        <v>43</v>
      </c>
      <c r="D32" s="30">
        <f t="shared" ref="D32:AG32" si="10">COUNT(D2:D28)</f>
        <v>10</v>
      </c>
      <c r="E32" s="30">
        <f t="shared" si="10"/>
        <v>10</v>
      </c>
      <c r="F32" s="30">
        <f t="shared" si="10"/>
        <v>10</v>
      </c>
      <c r="G32" s="30">
        <f t="shared" si="10"/>
        <v>10</v>
      </c>
      <c r="H32" s="30">
        <f t="shared" si="10"/>
        <v>10</v>
      </c>
      <c r="I32" s="30">
        <f t="shared" si="10"/>
        <v>10</v>
      </c>
      <c r="J32" s="30">
        <f t="shared" si="10"/>
        <v>10</v>
      </c>
      <c r="K32" s="30">
        <f t="shared" si="10"/>
        <v>10</v>
      </c>
      <c r="L32" s="30">
        <f t="shared" si="10"/>
        <v>10</v>
      </c>
      <c r="M32" s="30">
        <f t="shared" si="10"/>
        <v>10</v>
      </c>
      <c r="N32" s="30">
        <f t="shared" si="10"/>
        <v>10</v>
      </c>
      <c r="O32" s="30">
        <f t="shared" si="10"/>
        <v>10</v>
      </c>
      <c r="P32" s="30">
        <f t="shared" si="10"/>
        <v>10</v>
      </c>
      <c r="Q32" s="30">
        <f t="shared" si="10"/>
        <v>10</v>
      </c>
      <c r="R32" s="30">
        <f t="shared" si="10"/>
        <v>10</v>
      </c>
      <c r="S32" s="30">
        <f t="shared" si="10"/>
        <v>10</v>
      </c>
      <c r="T32" s="30">
        <f t="shared" si="10"/>
        <v>10</v>
      </c>
      <c r="U32" s="30">
        <f t="shared" si="10"/>
        <v>10</v>
      </c>
      <c r="V32" s="30">
        <f t="shared" si="10"/>
        <v>10</v>
      </c>
      <c r="W32" s="30">
        <f t="shared" si="10"/>
        <v>10</v>
      </c>
      <c r="X32" s="30">
        <f t="shared" si="10"/>
        <v>10</v>
      </c>
      <c r="Y32" s="30">
        <f t="shared" si="10"/>
        <v>10</v>
      </c>
      <c r="Z32" s="30">
        <f t="shared" si="10"/>
        <v>10</v>
      </c>
      <c r="AA32" s="30">
        <f t="shared" si="10"/>
        <v>10</v>
      </c>
      <c r="AB32" s="30">
        <f t="shared" si="10"/>
        <v>10</v>
      </c>
      <c r="AC32" s="30">
        <f t="shared" si="10"/>
        <v>10</v>
      </c>
      <c r="AD32" s="30">
        <f t="shared" si="10"/>
        <v>10</v>
      </c>
      <c r="AE32" s="30">
        <f t="shared" si="10"/>
        <v>10</v>
      </c>
      <c r="AF32" s="30">
        <f t="shared" si="10"/>
        <v>10</v>
      </c>
      <c r="AG32" s="30">
        <f t="shared" si="10"/>
        <v>0</v>
      </c>
      <c r="AI32" s="29" t="s">
        <v>41</v>
      </c>
      <c r="AJ32" s="29">
        <v>72.0</v>
      </c>
      <c r="AK32" s="29">
        <v>10.0</v>
      </c>
    </row>
    <row r="33">
      <c r="D33" s="33" t="s">
        <v>47</v>
      </c>
      <c r="E33" s="33" t="s">
        <v>48</v>
      </c>
      <c r="F33" s="33" t="s">
        <v>49</v>
      </c>
      <c r="G33" s="33" t="s">
        <v>50</v>
      </c>
      <c r="H33" s="33" t="s">
        <v>51</v>
      </c>
      <c r="I33" s="33" t="s">
        <v>52</v>
      </c>
      <c r="J33" s="33" t="s">
        <v>53</v>
      </c>
      <c r="K33" s="33" t="s">
        <v>54</v>
      </c>
      <c r="L33" s="33" t="s">
        <v>55</v>
      </c>
      <c r="M33" s="33" t="s">
        <v>56</v>
      </c>
      <c r="N33" s="33" t="s">
        <v>57</v>
      </c>
      <c r="O33" s="33" t="s">
        <v>58</v>
      </c>
      <c r="P33" s="33" t="s">
        <v>59</v>
      </c>
      <c r="Q33" s="33" t="s">
        <v>60</v>
      </c>
      <c r="R33" s="33" t="s">
        <v>61</v>
      </c>
      <c r="S33" s="33" t="s">
        <v>62</v>
      </c>
      <c r="T33" s="33" t="s">
        <v>63</v>
      </c>
      <c r="U33" s="29" t="s">
        <v>64</v>
      </c>
      <c r="V33" s="33" t="s">
        <v>65</v>
      </c>
      <c r="W33" s="33" t="s">
        <v>66</v>
      </c>
      <c r="X33" s="33" t="s">
        <v>67</v>
      </c>
      <c r="Y33" s="33" t="s">
        <v>68</v>
      </c>
      <c r="Z33" s="33" t="s">
        <v>69</v>
      </c>
      <c r="AA33" s="33" t="s">
        <v>70</v>
      </c>
      <c r="AB33" s="33" t="s">
        <v>71</v>
      </c>
      <c r="AC33" s="33" t="s">
        <v>72</v>
      </c>
      <c r="AD33" s="33" t="s">
        <v>73</v>
      </c>
      <c r="AE33" s="34" t="s">
        <v>74</v>
      </c>
      <c r="AF33" s="29" t="s">
        <v>75</v>
      </c>
      <c r="AI33" s="31" t="s">
        <v>59</v>
      </c>
      <c r="AJ33" s="32">
        <v>66.0</v>
      </c>
      <c r="AK33" s="32">
        <v>11.0</v>
      </c>
    </row>
    <row r="34">
      <c r="AI34" s="31" t="s">
        <v>62</v>
      </c>
      <c r="AJ34" s="32">
        <v>63.0</v>
      </c>
      <c r="AK34" s="32">
        <v>12.0</v>
      </c>
    </row>
    <row r="35">
      <c r="AI35" s="31" t="s">
        <v>65</v>
      </c>
      <c r="AJ35" s="32">
        <v>62.0</v>
      </c>
      <c r="AK35" s="32">
        <v>13.0</v>
      </c>
    </row>
    <row r="36">
      <c r="AI36" s="31" t="s">
        <v>51</v>
      </c>
      <c r="AJ36" s="32">
        <v>59.0</v>
      </c>
      <c r="AK36" s="32">
        <v>14.0</v>
      </c>
    </row>
    <row r="37">
      <c r="AI37" s="31" t="s">
        <v>68</v>
      </c>
      <c r="AJ37" s="32">
        <v>57.0</v>
      </c>
      <c r="AK37" s="32">
        <v>15.0</v>
      </c>
    </row>
    <row r="38">
      <c r="AI38" s="31" t="s">
        <v>53</v>
      </c>
      <c r="AJ38" s="32">
        <v>56.0</v>
      </c>
      <c r="AK38" s="32">
        <v>16.0</v>
      </c>
    </row>
    <row r="39">
      <c r="AI39" s="31" t="s">
        <v>50</v>
      </c>
      <c r="AJ39" s="32">
        <v>55.0</v>
      </c>
      <c r="AK39" s="32">
        <v>17.0</v>
      </c>
    </row>
    <row r="40">
      <c r="AI40" s="31" t="s">
        <v>69</v>
      </c>
      <c r="AJ40" s="32">
        <v>53.0</v>
      </c>
      <c r="AK40" s="32">
        <v>18.0</v>
      </c>
    </row>
    <row r="41">
      <c r="AI41" s="31" t="s">
        <v>49</v>
      </c>
      <c r="AJ41" s="32">
        <v>52.0</v>
      </c>
      <c r="AK41" s="32">
        <v>19.0</v>
      </c>
    </row>
    <row r="42">
      <c r="AI42" s="31" t="s">
        <v>71</v>
      </c>
      <c r="AJ42" s="32">
        <v>50.0</v>
      </c>
      <c r="AK42" s="32">
        <v>20.0</v>
      </c>
    </row>
    <row r="43">
      <c r="AI43" s="31" t="s">
        <v>48</v>
      </c>
      <c r="AJ43" s="32">
        <v>49.0</v>
      </c>
      <c r="AK43" s="32">
        <v>21.0</v>
      </c>
    </row>
    <row r="44">
      <c r="AI44" s="31" t="s">
        <v>58</v>
      </c>
      <c r="AJ44" s="32">
        <v>47.0</v>
      </c>
      <c r="AK44" s="32">
        <v>22.0</v>
      </c>
    </row>
    <row r="45">
      <c r="AI45" s="31" t="s">
        <v>63</v>
      </c>
      <c r="AJ45" s="32">
        <v>41.0</v>
      </c>
      <c r="AK45" s="32">
        <v>23.0</v>
      </c>
    </row>
    <row r="46">
      <c r="AI46" s="31" t="s">
        <v>70</v>
      </c>
      <c r="AJ46" s="32">
        <v>39.0</v>
      </c>
      <c r="AK46" s="32">
        <v>24.0</v>
      </c>
    </row>
    <row r="47">
      <c r="AI47" s="46" t="s">
        <v>44</v>
      </c>
      <c r="AJ47" s="47">
        <v>37.0</v>
      </c>
      <c r="AK47" s="47">
        <v>25.0</v>
      </c>
    </row>
    <row r="48">
      <c r="AI48" s="31" t="s">
        <v>55</v>
      </c>
      <c r="AJ48" s="32">
        <v>37.0</v>
      </c>
      <c r="AK48" s="32">
        <v>25.0</v>
      </c>
    </row>
    <row r="51">
      <c r="AJ51" s="29" t="s">
        <v>77</v>
      </c>
      <c r="AK51" s="29" t="s">
        <v>33</v>
      </c>
      <c r="AL51" s="29" t="s">
        <v>34</v>
      </c>
    </row>
    <row r="52">
      <c r="AI52" s="46" t="s">
        <v>60</v>
      </c>
      <c r="AJ52" s="47">
        <v>107.0</v>
      </c>
      <c r="AK52" s="47">
        <v>1.0</v>
      </c>
      <c r="AL52" s="47">
        <v>17.0</v>
      </c>
    </row>
    <row r="53">
      <c r="AI53" s="46" t="s">
        <v>66</v>
      </c>
      <c r="AJ53" s="47">
        <v>101.0</v>
      </c>
      <c r="AK53" s="47">
        <v>2.0</v>
      </c>
      <c r="AL53" s="47">
        <v>14.0</v>
      </c>
    </row>
    <row r="54">
      <c r="AI54" s="46" t="s">
        <v>61</v>
      </c>
      <c r="AJ54" s="47">
        <v>98.0</v>
      </c>
      <c r="AK54" s="47">
        <v>3.0</v>
      </c>
      <c r="AL54" s="47">
        <v>14.0</v>
      </c>
    </row>
    <row r="55">
      <c r="AI55" s="46" t="s">
        <v>52</v>
      </c>
      <c r="AJ55" s="47">
        <v>83.0</v>
      </c>
      <c r="AK55" s="47">
        <v>4.0</v>
      </c>
      <c r="AL55" s="47">
        <v>17.0</v>
      </c>
    </row>
    <row r="56">
      <c r="AI56" s="46" t="s">
        <v>47</v>
      </c>
      <c r="AJ56" s="47">
        <v>83.0</v>
      </c>
      <c r="AK56" s="47">
        <v>4.0</v>
      </c>
      <c r="AL56" s="47">
        <v>13.0</v>
      </c>
    </row>
    <row r="57">
      <c r="AI57" s="46" t="s">
        <v>64</v>
      </c>
      <c r="AJ57" s="47">
        <v>81.0</v>
      </c>
      <c r="AK57" s="47">
        <v>6.0</v>
      </c>
      <c r="AL57" s="47">
        <v>13.0</v>
      </c>
    </row>
    <row r="58">
      <c r="AI58" s="46" t="s">
        <v>72</v>
      </c>
      <c r="AJ58" s="47">
        <v>80.0</v>
      </c>
      <c r="AK58" s="47">
        <v>7.0</v>
      </c>
      <c r="AL58" s="47">
        <v>13.0</v>
      </c>
    </row>
    <row r="59">
      <c r="AI59" s="46" t="s">
        <v>56</v>
      </c>
      <c r="AJ59" s="47">
        <v>78.0</v>
      </c>
      <c r="AK59" s="47">
        <v>8.0</v>
      </c>
      <c r="AL59" s="47">
        <v>13.0</v>
      </c>
    </row>
    <row r="60">
      <c r="AI60" s="46" t="s">
        <v>67</v>
      </c>
      <c r="AJ60" s="47">
        <v>76.0</v>
      </c>
      <c r="AK60" s="47">
        <v>9.0</v>
      </c>
      <c r="AL60" s="47">
        <v>15.0</v>
      </c>
    </row>
    <row r="61">
      <c r="AI61" s="46" t="s">
        <v>57</v>
      </c>
      <c r="AJ61" s="47">
        <v>72.0</v>
      </c>
      <c r="AK61" s="47">
        <v>10.0</v>
      </c>
      <c r="AL61" s="47">
        <v>14.0</v>
      </c>
    </row>
    <row r="62">
      <c r="AI62" s="31" t="s">
        <v>59</v>
      </c>
      <c r="AJ62" s="32">
        <v>66.0</v>
      </c>
      <c r="AK62" s="32">
        <v>11.0</v>
      </c>
      <c r="AL62" s="32">
        <v>11.0</v>
      </c>
    </row>
    <row r="63">
      <c r="AI63" s="31" t="s">
        <v>62</v>
      </c>
      <c r="AJ63" s="32">
        <v>63.0</v>
      </c>
      <c r="AK63" s="32">
        <v>12.0</v>
      </c>
      <c r="AL63" s="32">
        <v>12.0</v>
      </c>
    </row>
    <row r="64">
      <c r="AI64" s="31" t="s">
        <v>65</v>
      </c>
      <c r="AJ64" s="32">
        <v>62.0</v>
      </c>
      <c r="AK64" s="32">
        <v>13.0</v>
      </c>
      <c r="AL64" s="32">
        <v>11.0</v>
      </c>
    </row>
    <row r="65">
      <c r="AI65" s="31" t="s">
        <v>51</v>
      </c>
      <c r="AJ65" s="32">
        <v>59.0</v>
      </c>
      <c r="AK65" s="32">
        <v>14.0</v>
      </c>
      <c r="AL65" s="32">
        <v>11.0</v>
      </c>
    </row>
    <row r="66">
      <c r="AI66" s="31" t="s">
        <v>68</v>
      </c>
      <c r="AJ66" s="32">
        <v>57.0</v>
      </c>
      <c r="AK66" s="32">
        <v>15.0</v>
      </c>
      <c r="AL66" s="32">
        <v>11.0</v>
      </c>
    </row>
    <row r="67">
      <c r="AI67" s="31" t="s">
        <v>53</v>
      </c>
      <c r="AJ67" s="32">
        <v>56.0</v>
      </c>
      <c r="AK67" s="32">
        <v>16.0</v>
      </c>
      <c r="AL67" s="32">
        <v>11.0</v>
      </c>
    </row>
    <row r="68">
      <c r="AI68" s="31" t="s">
        <v>50</v>
      </c>
      <c r="AJ68" s="32">
        <v>55.0</v>
      </c>
      <c r="AK68" s="32">
        <v>17.0</v>
      </c>
      <c r="AL68" s="32">
        <v>10.0</v>
      </c>
    </row>
    <row r="69">
      <c r="AI69" s="31" t="s">
        <v>69</v>
      </c>
      <c r="AJ69" s="32">
        <v>53.0</v>
      </c>
      <c r="AK69" s="32">
        <v>18.0</v>
      </c>
      <c r="AL69" s="32">
        <v>10.0</v>
      </c>
    </row>
    <row r="70">
      <c r="AI70" s="31" t="s">
        <v>49</v>
      </c>
      <c r="AJ70" s="32">
        <v>52.0</v>
      </c>
      <c r="AK70" s="32">
        <v>19.0</v>
      </c>
      <c r="AL70" s="32">
        <v>11.0</v>
      </c>
    </row>
    <row r="71">
      <c r="AI71" s="31" t="s">
        <v>71</v>
      </c>
      <c r="AJ71" s="32">
        <v>50.0</v>
      </c>
      <c r="AK71" s="32">
        <v>20.0</v>
      </c>
      <c r="AL71" s="32">
        <v>12.0</v>
      </c>
    </row>
    <row r="72">
      <c r="AI72" s="31" t="s">
        <v>48</v>
      </c>
      <c r="AJ72" s="32">
        <v>49.0</v>
      </c>
      <c r="AK72" s="32">
        <v>21.0</v>
      </c>
      <c r="AL72" s="32">
        <v>12.0</v>
      </c>
    </row>
    <row r="73">
      <c r="AI73" s="31" t="s">
        <v>58</v>
      </c>
      <c r="AJ73" s="32">
        <v>47.0</v>
      </c>
      <c r="AK73" s="32">
        <v>22.0</v>
      </c>
      <c r="AL73" s="32">
        <v>14.0</v>
      </c>
    </row>
    <row r="74">
      <c r="AI74" s="31" t="s">
        <v>63</v>
      </c>
      <c r="AJ74" s="32">
        <v>41.0</v>
      </c>
      <c r="AK74" s="32">
        <v>23.0</v>
      </c>
      <c r="AL74" s="32">
        <v>11.0</v>
      </c>
    </row>
    <row r="75">
      <c r="AI75" s="31" t="s">
        <v>70</v>
      </c>
      <c r="AJ75" s="32">
        <v>39.0</v>
      </c>
      <c r="AK75" s="32">
        <v>24.0</v>
      </c>
      <c r="AL75" s="32">
        <v>11.0</v>
      </c>
    </row>
    <row r="76">
      <c r="AI76" s="46" t="s">
        <v>54</v>
      </c>
      <c r="AJ76" s="47">
        <v>37.0</v>
      </c>
      <c r="AK76" s="47">
        <v>25.0</v>
      </c>
      <c r="AL76" s="47">
        <v>9.0</v>
      </c>
    </row>
    <row r="77">
      <c r="AI77" s="31" t="s">
        <v>55</v>
      </c>
      <c r="AJ77" s="32">
        <v>37.0</v>
      </c>
      <c r="AK77" s="32">
        <v>25.0</v>
      </c>
      <c r="AL77" s="32">
        <v>6.0</v>
      </c>
    </row>
  </sheetData>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63"/>
    <col customWidth="1" min="2" max="3" width="18.5"/>
    <col customWidth="1" min="4" max="31" width="5.5"/>
    <col customWidth="1" min="32" max="32" width="8.88"/>
    <col customWidth="1" min="33" max="33" width="9.25"/>
    <col customWidth="1" min="34" max="34" width="10.38"/>
    <col customWidth="1" min="35" max="36" width="8.25"/>
    <col customWidth="1" min="37" max="37" width="7.25"/>
    <col customWidth="1" min="38" max="38" width="10.63"/>
    <col customWidth="1" min="39" max="40" width="7.25"/>
  </cols>
  <sheetData>
    <row r="1" ht="69.0" customHeight="1">
      <c r="A1" s="1" t="s">
        <v>45</v>
      </c>
      <c r="B1" s="1" t="s">
        <v>1</v>
      </c>
      <c r="C1" s="1" t="s">
        <v>2</v>
      </c>
      <c r="D1" s="48" t="s">
        <v>78</v>
      </c>
      <c r="E1" s="49" t="s">
        <v>79</v>
      </c>
      <c r="F1" s="49" t="s">
        <v>65</v>
      </c>
      <c r="G1" s="49" t="s">
        <v>64</v>
      </c>
      <c r="H1" s="49" t="s">
        <v>54</v>
      </c>
      <c r="I1" s="49" t="s">
        <v>61</v>
      </c>
      <c r="J1" s="49" t="s">
        <v>53</v>
      </c>
      <c r="K1" s="2" t="s">
        <v>75</v>
      </c>
      <c r="L1" s="49" t="s">
        <v>69</v>
      </c>
      <c r="M1" s="49" t="s">
        <v>55</v>
      </c>
      <c r="N1" s="49" t="s">
        <v>71</v>
      </c>
      <c r="O1" s="49" t="s">
        <v>66</v>
      </c>
      <c r="P1" s="49" t="s">
        <v>80</v>
      </c>
      <c r="Q1" s="49" t="s">
        <v>81</v>
      </c>
      <c r="R1" s="49" t="s">
        <v>82</v>
      </c>
      <c r="S1" s="49" t="s">
        <v>83</v>
      </c>
      <c r="T1" s="49" t="s">
        <v>84</v>
      </c>
      <c r="U1" s="49" t="s">
        <v>85</v>
      </c>
      <c r="V1" s="49" t="s">
        <v>86</v>
      </c>
      <c r="W1" s="49" t="s">
        <v>87</v>
      </c>
      <c r="X1" s="49" t="s">
        <v>88</v>
      </c>
      <c r="Y1" s="49" t="s">
        <v>89</v>
      </c>
      <c r="Z1" s="49" t="s">
        <v>90</v>
      </c>
      <c r="AA1" s="49" t="s">
        <v>91</v>
      </c>
      <c r="AB1" s="50" t="s">
        <v>92</v>
      </c>
      <c r="AC1" s="6" t="s">
        <v>93</v>
      </c>
      <c r="AD1" s="6" t="s">
        <v>94</v>
      </c>
      <c r="AE1" s="6" t="s">
        <v>95</v>
      </c>
      <c r="AF1" s="7" t="s">
        <v>32</v>
      </c>
      <c r="AG1" s="7" t="s">
        <v>33</v>
      </c>
      <c r="AH1" s="7" t="s">
        <v>34</v>
      </c>
      <c r="AI1" s="7" t="s">
        <v>35</v>
      </c>
      <c r="AJ1" s="7" t="s">
        <v>36</v>
      </c>
      <c r="AK1" s="7" t="s">
        <v>37</v>
      </c>
      <c r="AL1" s="8" t="s">
        <v>38</v>
      </c>
      <c r="AM1" s="8" t="s">
        <v>39</v>
      </c>
      <c r="AN1" s="8" t="s">
        <v>96</v>
      </c>
    </row>
    <row r="2" ht="16.5" customHeight="1">
      <c r="A2" s="51">
        <v>25.0</v>
      </c>
      <c r="B2" s="10"/>
      <c r="C2" s="11" t="s">
        <v>17</v>
      </c>
      <c r="D2" s="12">
        <v>6.0</v>
      </c>
      <c r="E2" s="52"/>
      <c r="F2" s="13"/>
      <c r="G2" s="12">
        <v>10.0</v>
      </c>
      <c r="H2" s="12">
        <v>4.0</v>
      </c>
      <c r="I2" s="12">
        <v>5.0</v>
      </c>
      <c r="J2" s="12">
        <v>8.0</v>
      </c>
      <c r="K2" s="12"/>
      <c r="L2" s="13"/>
      <c r="M2" s="13"/>
      <c r="N2" s="12">
        <v>8.0</v>
      </c>
      <c r="O2" s="12">
        <v>10.0</v>
      </c>
      <c r="P2" s="13"/>
      <c r="Q2" s="12"/>
      <c r="R2" s="13"/>
      <c r="S2" s="12"/>
      <c r="T2" s="13"/>
      <c r="U2" s="12"/>
      <c r="V2" s="13"/>
      <c r="W2" s="13"/>
      <c r="X2" s="13"/>
      <c r="Y2" s="13"/>
      <c r="Z2" s="13"/>
      <c r="AA2" s="13"/>
      <c r="AB2" s="13"/>
      <c r="AC2" s="13"/>
      <c r="AD2" s="12"/>
      <c r="AE2" s="12"/>
      <c r="AF2" s="13">
        <f t="shared" ref="AF2:AF28" si="1">SUM(D2:AE2)</f>
        <v>51</v>
      </c>
      <c r="AG2" s="13">
        <f t="shared" ref="AG2:AG28" si="2">RANK(AF2, $AF$2:$AF$28)
</f>
        <v>1</v>
      </c>
      <c r="AH2" s="13">
        <f t="shared" ref="AH2:AH28" si="3">COUNTIF(F2:AE2, "&gt;0")</f>
        <v>6</v>
      </c>
      <c r="AI2" s="13">
        <f t="shared" ref="AI2:AI28" si="4">COUNTIF(D2:AF2, "12")</f>
        <v>0</v>
      </c>
      <c r="AJ2" s="13">
        <f t="shared" ref="AJ2:AJ28" si="5">COUNTIF(D2:AF2, "10")</f>
        <v>2</v>
      </c>
      <c r="AK2" s="13">
        <f t="shared" ref="AK2:AK28" si="6">COUNTIF(D2:AF2, "8")</f>
        <v>2</v>
      </c>
      <c r="AL2" s="14">
        <f t="shared" ref="AL2:AL28" si="7">VALUE(AF2 &amp; TEXT(AH2, "00") &amp; TEXT(AI2, "00") &amp; TEXT(AJ2, "00") &amp; TEXT(AK2, "00"))
</f>
        <v>5106000202</v>
      </c>
      <c r="AM2" s="13">
        <f t="shared" ref="AM2:AM28" si="8">RANK(AL2, $AL$2:$AL$28)
</f>
        <v>1</v>
      </c>
      <c r="AN2" s="14"/>
    </row>
    <row r="3" ht="16.5" customHeight="1">
      <c r="A3" s="26">
        <v>23.0</v>
      </c>
      <c r="B3" s="20"/>
      <c r="C3" s="16" t="s">
        <v>19</v>
      </c>
      <c r="D3" s="22">
        <v>6.0</v>
      </c>
      <c r="E3" s="22">
        <v>2.0</v>
      </c>
      <c r="F3" s="23"/>
      <c r="G3" s="22">
        <v>6.0</v>
      </c>
      <c r="H3" s="22">
        <v>5.0</v>
      </c>
      <c r="I3" s="22">
        <v>6.0</v>
      </c>
      <c r="J3" s="22">
        <v>6.0</v>
      </c>
      <c r="K3" s="22">
        <v>6.0</v>
      </c>
      <c r="L3" s="22">
        <v>4.0</v>
      </c>
      <c r="M3" s="22">
        <v>4.0</v>
      </c>
      <c r="N3" s="22">
        <v>3.0</v>
      </c>
      <c r="O3" s="23"/>
      <c r="P3" s="23"/>
      <c r="Q3" s="22"/>
      <c r="R3" s="22"/>
      <c r="S3" s="22"/>
      <c r="T3" s="22"/>
      <c r="U3" s="22"/>
      <c r="V3" s="23"/>
      <c r="W3" s="23"/>
      <c r="X3" s="23"/>
      <c r="Y3" s="23"/>
      <c r="Z3" s="23"/>
      <c r="AA3" s="23"/>
      <c r="AB3" s="23"/>
      <c r="AC3" s="23"/>
      <c r="AD3" s="22"/>
      <c r="AE3" s="22"/>
      <c r="AF3" s="23">
        <f t="shared" si="1"/>
        <v>48</v>
      </c>
      <c r="AG3" s="23">
        <f t="shared" si="2"/>
        <v>2</v>
      </c>
      <c r="AH3" s="23">
        <f t="shared" si="3"/>
        <v>8</v>
      </c>
      <c r="AI3" s="23">
        <f t="shared" si="4"/>
        <v>0</v>
      </c>
      <c r="AJ3" s="23">
        <f t="shared" si="5"/>
        <v>0</v>
      </c>
      <c r="AK3" s="23">
        <f t="shared" si="6"/>
        <v>0</v>
      </c>
      <c r="AL3" s="24">
        <f t="shared" si="7"/>
        <v>4808000000</v>
      </c>
      <c r="AM3" s="23">
        <f t="shared" si="8"/>
        <v>2</v>
      </c>
      <c r="AN3" s="24"/>
    </row>
    <row r="4" ht="16.5" customHeight="1">
      <c r="A4" s="15">
        <v>13.0</v>
      </c>
      <c r="B4" s="20"/>
      <c r="C4" s="16" t="s">
        <v>12</v>
      </c>
      <c r="D4" s="22">
        <v>6.0</v>
      </c>
      <c r="E4" s="53"/>
      <c r="F4" s="23"/>
      <c r="G4" s="22">
        <v>8.0</v>
      </c>
      <c r="H4" s="22">
        <v>10.0</v>
      </c>
      <c r="I4" s="23"/>
      <c r="J4" s="22"/>
      <c r="K4" s="22">
        <v>2.0</v>
      </c>
      <c r="L4" s="22">
        <v>2.0</v>
      </c>
      <c r="M4" s="22">
        <v>10.0</v>
      </c>
      <c r="N4" s="22">
        <v>10.0</v>
      </c>
      <c r="O4" s="22"/>
      <c r="P4" s="22"/>
      <c r="Q4" s="22"/>
      <c r="R4" s="22"/>
      <c r="S4" s="23"/>
      <c r="T4" s="23"/>
      <c r="U4" s="23"/>
      <c r="V4" s="23"/>
      <c r="W4" s="23"/>
      <c r="X4" s="23"/>
      <c r="Y4" s="23"/>
      <c r="Z4" s="23"/>
      <c r="AA4" s="23"/>
      <c r="AB4" s="23"/>
      <c r="AC4" s="23"/>
      <c r="AD4" s="23"/>
      <c r="AE4" s="23"/>
      <c r="AF4" s="23">
        <f t="shared" si="1"/>
        <v>48</v>
      </c>
      <c r="AG4" s="23">
        <f t="shared" si="2"/>
        <v>2</v>
      </c>
      <c r="AH4" s="23">
        <f t="shared" si="3"/>
        <v>6</v>
      </c>
      <c r="AI4" s="23">
        <f t="shared" si="4"/>
        <v>0</v>
      </c>
      <c r="AJ4" s="23">
        <f t="shared" si="5"/>
        <v>3</v>
      </c>
      <c r="AK4" s="23">
        <f t="shared" si="6"/>
        <v>1</v>
      </c>
      <c r="AL4" s="24">
        <f t="shared" si="7"/>
        <v>4806000301</v>
      </c>
      <c r="AM4" s="23">
        <f t="shared" si="8"/>
        <v>3</v>
      </c>
      <c r="AN4" s="24"/>
    </row>
    <row r="5" ht="16.5" customHeight="1">
      <c r="A5" s="26">
        <v>22.0</v>
      </c>
      <c r="B5" s="20"/>
      <c r="C5" s="16" t="s">
        <v>23</v>
      </c>
      <c r="D5" s="22">
        <v>6.0</v>
      </c>
      <c r="E5" s="22">
        <v>6.0</v>
      </c>
      <c r="F5" s="22">
        <v>8.0</v>
      </c>
      <c r="G5" s="22"/>
      <c r="H5" s="22">
        <v>7.0</v>
      </c>
      <c r="I5" s="54"/>
      <c r="J5" s="22">
        <v>10.0</v>
      </c>
      <c r="K5" s="23"/>
      <c r="L5" s="23"/>
      <c r="M5" s="22"/>
      <c r="N5" s="22"/>
      <c r="O5" s="22">
        <v>7.0</v>
      </c>
      <c r="P5" s="22"/>
      <c r="Q5" s="23"/>
      <c r="R5" s="22"/>
      <c r="S5" s="22"/>
      <c r="T5" s="22"/>
      <c r="U5" s="23"/>
      <c r="V5" s="23"/>
      <c r="W5" s="23"/>
      <c r="X5" s="23"/>
      <c r="Y5" s="23"/>
      <c r="Z5" s="23"/>
      <c r="AA5" s="23"/>
      <c r="AB5" s="23"/>
      <c r="AC5" s="23"/>
      <c r="AD5" s="23"/>
      <c r="AE5" s="23"/>
      <c r="AF5" s="23">
        <f t="shared" si="1"/>
        <v>44</v>
      </c>
      <c r="AG5" s="23">
        <f t="shared" si="2"/>
        <v>4</v>
      </c>
      <c r="AH5" s="23">
        <f t="shared" si="3"/>
        <v>4</v>
      </c>
      <c r="AI5" s="23">
        <f t="shared" si="4"/>
        <v>0</v>
      </c>
      <c r="AJ5" s="23">
        <f t="shared" si="5"/>
        <v>1</v>
      </c>
      <c r="AK5" s="23">
        <f t="shared" si="6"/>
        <v>1</v>
      </c>
      <c r="AL5" s="24">
        <f t="shared" si="7"/>
        <v>4404000101</v>
      </c>
      <c r="AM5" s="23">
        <f t="shared" si="8"/>
        <v>4</v>
      </c>
      <c r="AN5" s="24"/>
    </row>
    <row r="6" ht="16.5" customHeight="1">
      <c r="A6" s="15">
        <v>19.0</v>
      </c>
      <c r="B6" s="55"/>
      <c r="C6" s="16" t="s">
        <v>14</v>
      </c>
      <c r="D6" s="22">
        <v>6.0</v>
      </c>
      <c r="E6" s="53"/>
      <c r="F6" s="22">
        <v>4.0</v>
      </c>
      <c r="G6" s="23"/>
      <c r="H6" s="22"/>
      <c r="I6" s="22"/>
      <c r="J6" s="22">
        <v>5.0</v>
      </c>
      <c r="K6" s="22">
        <v>10.0</v>
      </c>
      <c r="L6" s="22">
        <v>6.0</v>
      </c>
      <c r="M6" s="22">
        <v>12.0</v>
      </c>
      <c r="N6" s="22"/>
      <c r="O6" s="22"/>
      <c r="P6" s="23"/>
      <c r="Q6" s="22"/>
      <c r="R6" s="22"/>
      <c r="S6" s="23"/>
      <c r="T6" s="22"/>
      <c r="U6" s="23"/>
      <c r="V6" s="23"/>
      <c r="W6" s="23"/>
      <c r="X6" s="23"/>
      <c r="Y6" s="23"/>
      <c r="Z6" s="23"/>
      <c r="AA6" s="23"/>
      <c r="AB6" s="23"/>
      <c r="AC6" s="23"/>
      <c r="AD6" s="23"/>
      <c r="AE6" s="23"/>
      <c r="AF6" s="23">
        <f t="shared" si="1"/>
        <v>43</v>
      </c>
      <c r="AG6" s="23">
        <f t="shared" si="2"/>
        <v>5</v>
      </c>
      <c r="AH6" s="23">
        <f t="shared" si="3"/>
        <v>5</v>
      </c>
      <c r="AI6" s="23">
        <f t="shared" si="4"/>
        <v>1</v>
      </c>
      <c r="AJ6" s="23">
        <f t="shared" si="5"/>
        <v>1</v>
      </c>
      <c r="AK6" s="23">
        <f t="shared" si="6"/>
        <v>0</v>
      </c>
      <c r="AL6" s="24">
        <f t="shared" si="7"/>
        <v>4305010100</v>
      </c>
      <c r="AM6" s="23">
        <f t="shared" si="8"/>
        <v>5</v>
      </c>
      <c r="AN6" s="24"/>
    </row>
    <row r="7" ht="16.5" customHeight="1">
      <c r="A7" s="15">
        <v>5.0</v>
      </c>
      <c r="B7" s="55"/>
      <c r="C7" s="16" t="s">
        <v>21</v>
      </c>
      <c r="D7" s="22">
        <v>6.0</v>
      </c>
      <c r="E7" s="22">
        <v>4.0</v>
      </c>
      <c r="F7" s="22">
        <v>2.0</v>
      </c>
      <c r="G7" s="22">
        <v>4.0</v>
      </c>
      <c r="H7" s="23"/>
      <c r="I7" s="22">
        <v>2.0</v>
      </c>
      <c r="J7" s="22"/>
      <c r="K7" s="22">
        <v>7.0</v>
      </c>
      <c r="L7" s="22"/>
      <c r="M7" s="22"/>
      <c r="N7" s="22">
        <v>7.0</v>
      </c>
      <c r="O7" s="22">
        <v>8.0</v>
      </c>
      <c r="P7" s="22"/>
      <c r="Q7" s="22"/>
      <c r="R7" s="22"/>
      <c r="S7" s="22"/>
      <c r="T7" s="23"/>
      <c r="U7" s="23"/>
      <c r="V7" s="23"/>
      <c r="W7" s="23"/>
      <c r="X7" s="23"/>
      <c r="Y7" s="23"/>
      <c r="Z7" s="23"/>
      <c r="AA7" s="23"/>
      <c r="AB7" s="22"/>
      <c r="AC7" s="23"/>
      <c r="AD7" s="23"/>
      <c r="AE7" s="23"/>
      <c r="AF7" s="23">
        <f t="shared" si="1"/>
        <v>40</v>
      </c>
      <c r="AG7" s="23">
        <f t="shared" si="2"/>
        <v>6</v>
      </c>
      <c r="AH7" s="23">
        <f t="shared" si="3"/>
        <v>6</v>
      </c>
      <c r="AI7" s="23">
        <f t="shared" si="4"/>
        <v>0</v>
      </c>
      <c r="AJ7" s="23">
        <f t="shared" si="5"/>
        <v>0</v>
      </c>
      <c r="AK7" s="23">
        <f t="shared" si="6"/>
        <v>1</v>
      </c>
      <c r="AL7" s="24">
        <f t="shared" si="7"/>
        <v>4006000001</v>
      </c>
      <c r="AM7" s="23">
        <f t="shared" si="8"/>
        <v>6</v>
      </c>
      <c r="AN7" s="24"/>
    </row>
    <row r="8" ht="16.5" customHeight="1">
      <c r="A8" s="15">
        <v>14.0</v>
      </c>
      <c r="B8" s="55"/>
      <c r="C8" s="16" t="s">
        <v>24</v>
      </c>
      <c r="D8" s="22">
        <v>6.0</v>
      </c>
      <c r="E8" s="22">
        <v>12.0</v>
      </c>
      <c r="F8" s="22">
        <v>6.0</v>
      </c>
      <c r="G8" s="23"/>
      <c r="H8" s="22"/>
      <c r="I8" s="22"/>
      <c r="J8" s="22">
        <v>12.0</v>
      </c>
      <c r="K8" s="22"/>
      <c r="L8" s="22"/>
      <c r="M8" s="22"/>
      <c r="N8" s="22">
        <v>4.0</v>
      </c>
      <c r="O8" s="22"/>
      <c r="P8" s="22"/>
      <c r="Q8" s="22"/>
      <c r="R8" s="22"/>
      <c r="S8" s="22"/>
      <c r="T8" s="22"/>
      <c r="U8" s="22"/>
      <c r="V8" s="23"/>
      <c r="W8" s="23"/>
      <c r="X8" s="23"/>
      <c r="Y8" s="23"/>
      <c r="Z8" s="23"/>
      <c r="AA8" s="23"/>
      <c r="AB8" s="23"/>
      <c r="AC8" s="23"/>
      <c r="AD8" s="23"/>
      <c r="AE8" s="23"/>
      <c r="AF8" s="23">
        <f t="shared" si="1"/>
        <v>40</v>
      </c>
      <c r="AG8" s="23">
        <f t="shared" si="2"/>
        <v>6</v>
      </c>
      <c r="AH8" s="23">
        <f t="shared" si="3"/>
        <v>3</v>
      </c>
      <c r="AI8" s="23">
        <f t="shared" si="4"/>
        <v>2</v>
      </c>
      <c r="AJ8" s="23">
        <f t="shared" si="5"/>
        <v>0</v>
      </c>
      <c r="AK8" s="23">
        <f t="shared" si="6"/>
        <v>0</v>
      </c>
      <c r="AL8" s="24">
        <f t="shared" si="7"/>
        <v>4003020000</v>
      </c>
      <c r="AM8" s="23">
        <f t="shared" si="8"/>
        <v>8</v>
      </c>
      <c r="AN8" s="24"/>
    </row>
    <row r="9" ht="16.5" customHeight="1">
      <c r="A9" s="15">
        <v>9.0</v>
      </c>
      <c r="B9" s="21"/>
      <c r="C9" s="16" t="s">
        <v>4</v>
      </c>
      <c r="D9" s="22">
        <v>6.0</v>
      </c>
      <c r="E9" s="23"/>
      <c r="F9" s="22"/>
      <c r="G9" s="22">
        <v>12.0</v>
      </c>
      <c r="H9" s="22">
        <v>6.0</v>
      </c>
      <c r="I9" s="23"/>
      <c r="J9" s="23"/>
      <c r="K9" s="22">
        <v>8.0</v>
      </c>
      <c r="L9" s="23"/>
      <c r="M9" s="22">
        <v>8.0</v>
      </c>
      <c r="N9" s="23"/>
      <c r="O9" s="22"/>
      <c r="P9" s="22"/>
      <c r="Q9" s="23"/>
      <c r="R9" s="23"/>
      <c r="S9" s="23"/>
      <c r="T9" s="22"/>
      <c r="U9" s="23"/>
      <c r="V9" s="23"/>
      <c r="W9" s="23"/>
      <c r="X9" s="23"/>
      <c r="Y9" s="23"/>
      <c r="Z9" s="23"/>
      <c r="AA9" s="23"/>
      <c r="AB9" s="23"/>
      <c r="AC9" s="23"/>
      <c r="AD9" s="23"/>
      <c r="AE9" s="23"/>
      <c r="AF9" s="23">
        <f t="shared" si="1"/>
        <v>40</v>
      </c>
      <c r="AG9" s="23">
        <f t="shared" si="2"/>
        <v>6</v>
      </c>
      <c r="AH9" s="23">
        <f t="shared" si="3"/>
        <v>4</v>
      </c>
      <c r="AI9" s="23">
        <f t="shared" si="4"/>
        <v>1</v>
      </c>
      <c r="AJ9" s="23">
        <f t="shared" si="5"/>
        <v>0</v>
      </c>
      <c r="AK9" s="23">
        <f t="shared" si="6"/>
        <v>2</v>
      </c>
      <c r="AL9" s="24">
        <f t="shared" si="7"/>
        <v>4004010002</v>
      </c>
      <c r="AM9" s="23">
        <f t="shared" si="8"/>
        <v>7</v>
      </c>
      <c r="AN9" s="24"/>
    </row>
    <row r="10" ht="16.5" customHeight="1">
      <c r="A10" s="15">
        <v>1.0</v>
      </c>
      <c r="B10" s="55"/>
      <c r="C10" s="16" t="s">
        <v>13</v>
      </c>
      <c r="D10" s="22">
        <v>6.0</v>
      </c>
      <c r="E10" s="22">
        <v>3.0</v>
      </c>
      <c r="F10" s="22">
        <v>5.0</v>
      </c>
      <c r="G10" s="22"/>
      <c r="H10" s="22"/>
      <c r="I10" s="22"/>
      <c r="J10" s="22"/>
      <c r="K10" s="23"/>
      <c r="L10" s="22">
        <v>12.0</v>
      </c>
      <c r="M10" s="22"/>
      <c r="N10" s="22"/>
      <c r="O10" s="22">
        <v>12.0</v>
      </c>
      <c r="P10" s="22"/>
      <c r="Q10" s="22"/>
      <c r="R10" s="22"/>
      <c r="S10" s="22"/>
      <c r="T10" s="23"/>
      <c r="U10" s="23"/>
      <c r="V10" s="23"/>
      <c r="W10" s="23"/>
      <c r="X10" s="23"/>
      <c r="Y10" s="23"/>
      <c r="Z10" s="23"/>
      <c r="AA10" s="23"/>
      <c r="AB10" s="22"/>
      <c r="AC10" s="23"/>
      <c r="AD10" s="23"/>
      <c r="AE10" s="23"/>
      <c r="AF10" s="23">
        <f t="shared" si="1"/>
        <v>38</v>
      </c>
      <c r="AG10" s="23">
        <f t="shared" si="2"/>
        <v>9</v>
      </c>
      <c r="AH10" s="23">
        <f t="shared" si="3"/>
        <v>3</v>
      </c>
      <c r="AI10" s="23">
        <f t="shared" si="4"/>
        <v>2</v>
      </c>
      <c r="AJ10" s="23">
        <f t="shared" si="5"/>
        <v>0</v>
      </c>
      <c r="AK10" s="23">
        <f t="shared" si="6"/>
        <v>0</v>
      </c>
      <c r="AL10" s="24">
        <f t="shared" si="7"/>
        <v>3803020000</v>
      </c>
      <c r="AM10" s="23">
        <f t="shared" si="8"/>
        <v>9</v>
      </c>
      <c r="AN10" s="54">
        <f>SUMPRODUCT((AL32&lt;$AL$2:$AL$28))</f>
        <v>25</v>
      </c>
    </row>
    <row r="11" ht="16.5" customHeight="1">
      <c r="A11" s="15">
        <v>6.0</v>
      </c>
      <c r="B11" s="55"/>
      <c r="C11" s="16" t="s">
        <v>18</v>
      </c>
      <c r="D11" s="22"/>
      <c r="E11" s="22">
        <v>10.0</v>
      </c>
      <c r="F11" s="23"/>
      <c r="G11" s="22">
        <v>7.0</v>
      </c>
      <c r="H11" s="22"/>
      <c r="I11" s="22">
        <v>7.0</v>
      </c>
      <c r="J11" s="22"/>
      <c r="K11" s="23"/>
      <c r="L11" s="22"/>
      <c r="M11" s="22">
        <v>2.0</v>
      </c>
      <c r="N11" s="22">
        <v>6.0</v>
      </c>
      <c r="O11" s="22">
        <v>1.0</v>
      </c>
      <c r="P11" s="22"/>
      <c r="Q11" s="23"/>
      <c r="R11" s="22"/>
      <c r="S11" s="22"/>
      <c r="T11" s="22"/>
      <c r="U11" s="22"/>
      <c r="V11" s="23"/>
      <c r="W11" s="23"/>
      <c r="X11" s="23"/>
      <c r="Y11" s="23"/>
      <c r="Z11" s="23"/>
      <c r="AA11" s="23"/>
      <c r="AB11" s="22"/>
      <c r="AC11" s="23"/>
      <c r="AD11" s="23"/>
      <c r="AE11" s="23"/>
      <c r="AF11" s="23">
        <f t="shared" si="1"/>
        <v>33</v>
      </c>
      <c r="AG11" s="23">
        <f t="shared" si="2"/>
        <v>10</v>
      </c>
      <c r="AH11" s="23">
        <f t="shared" si="3"/>
        <v>5</v>
      </c>
      <c r="AI11" s="23">
        <f t="shared" si="4"/>
        <v>0</v>
      </c>
      <c r="AJ11" s="23">
        <f t="shared" si="5"/>
        <v>1</v>
      </c>
      <c r="AK11" s="23">
        <f t="shared" si="6"/>
        <v>0</v>
      </c>
      <c r="AL11" s="24">
        <f t="shared" si="7"/>
        <v>3305000100</v>
      </c>
      <c r="AM11" s="23">
        <f t="shared" si="8"/>
        <v>10</v>
      </c>
      <c r="AN11" s="24"/>
    </row>
    <row r="12" ht="16.5" customHeight="1">
      <c r="A12" s="26">
        <v>24.0</v>
      </c>
      <c r="B12" s="20"/>
      <c r="C12" s="16" t="s">
        <v>16</v>
      </c>
      <c r="D12" s="22"/>
      <c r="E12" s="53"/>
      <c r="F12" s="23"/>
      <c r="G12" s="22">
        <v>5.0</v>
      </c>
      <c r="H12" s="22">
        <v>12.0</v>
      </c>
      <c r="I12" s="22">
        <v>12.0</v>
      </c>
      <c r="J12" s="22">
        <v>4.0</v>
      </c>
      <c r="K12" s="22"/>
      <c r="L12" s="23"/>
      <c r="M12" s="23"/>
      <c r="N12" s="23"/>
      <c r="O12" s="23"/>
      <c r="P12" s="22"/>
      <c r="Q12" s="23"/>
      <c r="R12" s="22"/>
      <c r="S12" s="23"/>
      <c r="T12" s="22"/>
      <c r="U12" s="23"/>
      <c r="V12" s="23"/>
      <c r="W12" s="23"/>
      <c r="X12" s="23"/>
      <c r="Y12" s="23"/>
      <c r="Z12" s="23"/>
      <c r="AA12" s="23"/>
      <c r="AB12" s="23"/>
      <c r="AC12" s="23"/>
      <c r="AD12" s="22"/>
      <c r="AE12" s="22"/>
      <c r="AF12" s="23">
        <f t="shared" si="1"/>
        <v>33</v>
      </c>
      <c r="AG12" s="23">
        <f t="shared" si="2"/>
        <v>10</v>
      </c>
      <c r="AH12" s="23">
        <f t="shared" si="3"/>
        <v>4</v>
      </c>
      <c r="AI12" s="23">
        <f t="shared" si="4"/>
        <v>2</v>
      </c>
      <c r="AJ12" s="23">
        <f t="shared" si="5"/>
        <v>0</v>
      </c>
      <c r="AK12" s="23">
        <f t="shared" si="6"/>
        <v>0</v>
      </c>
      <c r="AL12" s="24">
        <f t="shared" si="7"/>
        <v>3304020000</v>
      </c>
      <c r="AM12" s="23">
        <f t="shared" si="8"/>
        <v>11</v>
      </c>
      <c r="AN12" s="24"/>
    </row>
    <row r="13" ht="16.5" customHeight="1">
      <c r="A13" s="15">
        <v>7.0</v>
      </c>
      <c r="B13" s="20"/>
      <c r="C13" s="16" t="s">
        <v>26</v>
      </c>
      <c r="D13" s="17"/>
      <c r="E13" s="23"/>
      <c r="F13" s="17"/>
      <c r="G13" s="17">
        <v>3.0</v>
      </c>
      <c r="H13" s="17">
        <v>1.0</v>
      </c>
      <c r="I13" s="17">
        <v>4.0</v>
      </c>
      <c r="J13" s="18"/>
      <c r="K13" s="17">
        <v>12.0</v>
      </c>
      <c r="L13" s="18"/>
      <c r="M13" s="17">
        <v>7.0</v>
      </c>
      <c r="N13" s="18"/>
      <c r="O13" s="17"/>
      <c r="P13" s="17"/>
      <c r="Q13" s="17"/>
      <c r="R13" s="17"/>
      <c r="S13" s="17"/>
      <c r="T13" s="18"/>
      <c r="U13" s="18"/>
      <c r="V13" s="18"/>
      <c r="W13" s="18"/>
      <c r="X13" s="18"/>
      <c r="Y13" s="18"/>
      <c r="Z13" s="18"/>
      <c r="AA13" s="18"/>
      <c r="AB13" s="18"/>
      <c r="AC13" s="18"/>
      <c r="AD13" s="18"/>
      <c r="AE13" s="18"/>
      <c r="AF13" s="18">
        <f t="shared" si="1"/>
        <v>27</v>
      </c>
      <c r="AG13" s="18">
        <f t="shared" si="2"/>
        <v>12</v>
      </c>
      <c r="AH13" s="18">
        <f t="shared" si="3"/>
        <v>5</v>
      </c>
      <c r="AI13" s="18">
        <f t="shared" si="4"/>
        <v>1</v>
      </c>
      <c r="AJ13" s="18">
        <f t="shared" si="5"/>
        <v>0</v>
      </c>
      <c r="AK13" s="18">
        <f t="shared" si="6"/>
        <v>0</v>
      </c>
      <c r="AL13" s="19">
        <f t="shared" si="7"/>
        <v>2705010000</v>
      </c>
      <c r="AM13" s="18">
        <f t="shared" si="8"/>
        <v>12</v>
      </c>
    </row>
    <row r="14" ht="16.5" customHeight="1">
      <c r="A14" s="15">
        <v>12.0</v>
      </c>
      <c r="B14" s="20"/>
      <c r="C14" s="16" t="s">
        <v>8</v>
      </c>
      <c r="D14" s="22"/>
      <c r="E14" s="53"/>
      <c r="F14" s="22">
        <v>1.0</v>
      </c>
      <c r="G14" s="23"/>
      <c r="H14" s="22">
        <v>2.0</v>
      </c>
      <c r="I14" s="22">
        <v>10.0</v>
      </c>
      <c r="J14" s="22">
        <v>2.0</v>
      </c>
      <c r="K14" s="22">
        <v>4.0</v>
      </c>
      <c r="L14" s="22"/>
      <c r="M14" s="22">
        <v>6.0</v>
      </c>
      <c r="N14" s="23"/>
      <c r="O14" s="22"/>
      <c r="P14" s="23"/>
      <c r="Q14" s="23"/>
      <c r="R14" s="23"/>
      <c r="S14" s="23"/>
      <c r="T14" s="22"/>
      <c r="U14" s="23"/>
      <c r="V14" s="23"/>
      <c r="W14" s="23"/>
      <c r="X14" s="23"/>
      <c r="Y14" s="23"/>
      <c r="Z14" s="23"/>
      <c r="AA14" s="23"/>
      <c r="AB14" s="23"/>
      <c r="AC14" s="23"/>
      <c r="AD14" s="23"/>
      <c r="AE14" s="23"/>
      <c r="AF14" s="23">
        <f t="shared" si="1"/>
        <v>25</v>
      </c>
      <c r="AG14" s="23">
        <f t="shared" si="2"/>
        <v>13</v>
      </c>
      <c r="AH14" s="23">
        <f t="shared" si="3"/>
        <v>6</v>
      </c>
      <c r="AI14" s="23">
        <f t="shared" si="4"/>
        <v>0</v>
      </c>
      <c r="AJ14" s="23">
        <f t="shared" si="5"/>
        <v>1</v>
      </c>
      <c r="AK14" s="23">
        <f t="shared" si="6"/>
        <v>0</v>
      </c>
      <c r="AL14" s="24">
        <f t="shared" si="7"/>
        <v>2506000100</v>
      </c>
      <c r="AM14" s="23">
        <f t="shared" si="8"/>
        <v>13</v>
      </c>
      <c r="AN14" s="24"/>
    </row>
    <row r="15" ht="16.5" customHeight="1">
      <c r="A15" s="15">
        <v>18.0</v>
      </c>
      <c r="B15" s="20"/>
      <c r="C15" s="16" t="s">
        <v>9</v>
      </c>
      <c r="D15" s="23"/>
      <c r="E15" s="23"/>
      <c r="F15" s="23"/>
      <c r="G15" s="22">
        <v>2.0</v>
      </c>
      <c r="H15" s="23"/>
      <c r="I15" s="22"/>
      <c r="J15" s="22"/>
      <c r="K15" s="22"/>
      <c r="L15" s="22">
        <v>8.0</v>
      </c>
      <c r="M15" s="22"/>
      <c r="N15" s="22">
        <v>12.0</v>
      </c>
      <c r="O15" s="22">
        <v>2.0</v>
      </c>
      <c r="P15" s="22"/>
      <c r="Q15" s="23"/>
      <c r="R15" s="23"/>
      <c r="S15" s="23"/>
      <c r="T15" s="22"/>
      <c r="U15" s="22"/>
      <c r="V15" s="23"/>
      <c r="W15" s="23"/>
      <c r="X15" s="23"/>
      <c r="Y15" s="23"/>
      <c r="Z15" s="23"/>
      <c r="AA15" s="23"/>
      <c r="AB15" s="23"/>
      <c r="AC15" s="23"/>
      <c r="AD15" s="23"/>
      <c r="AE15" s="23"/>
      <c r="AF15" s="23">
        <f t="shared" si="1"/>
        <v>24</v>
      </c>
      <c r="AG15" s="23">
        <f t="shared" si="2"/>
        <v>14</v>
      </c>
      <c r="AH15" s="23">
        <f t="shared" si="3"/>
        <v>4</v>
      </c>
      <c r="AI15" s="23">
        <f t="shared" si="4"/>
        <v>1</v>
      </c>
      <c r="AJ15" s="23">
        <f t="shared" si="5"/>
        <v>0</v>
      </c>
      <c r="AK15" s="23">
        <f t="shared" si="6"/>
        <v>1</v>
      </c>
      <c r="AL15" s="24">
        <f t="shared" si="7"/>
        <v>2404010001</v>
      </c>
      <c r="AM15" s="23">
        <f t="shared" si="8"/>
        <v>14</v>
      </c>
      <c r="AN15" s="24"/>
    </row>
    <row r="16" ht="16.5" customHeight="1">
      <c r="A16" s="15">
        <v>8.0</v>
      </c>
      <c r="B16" s="55"/>
      <c r="C16" s="16" t="s">
        <v>22</v>
      </c>
      <c r="D16" s="17">
        <v>6.0</v>
      </c>
      <c r="E16" s="17">
        <v>5.0</v>
      </c>
      <c r="F16" s="17">
        <v>12.0</v>
      </c>
      <c r="G16" s="17"/>
      <c r="H16" s="17"/>
      <c r="I16" s="17"/>
      <c r="J16" s="18"/>
      <c r="K16" s="17"/>
      <c r="L16" s="17"/>
      <c r="M16" s="18"/>
      <c r="N16" s="17"/>
      <c r="O16" s="17"/>
      <c r="P16" s="17"/>
      <c r="Q16" s="17"/>
      <c r="R16" s="17"/>
      <c r="S16" s="18"/>
      <c r="T16" s="17"/>
      <c r="U16" s="17"/>
      <c r="V16" s="18"/>
      <c r="W16" s="18"/>
      <c r="X16" s="18"/>
      <c r="Y16" s="18"/>
      <c r="Z16" s="18"/>
      <c r="AA16" s="18"/>
      <c r="AB16" s="18"/>
      <c r="AC16" s="18"/>
      <c r="AD16" s="18"/>
      <c r="AE16" s="18"/>
      <c r="AF16" s="18">
        <f t="shared" si="1"/>
        <v>23</v>
      </c>
      <c r="AG16" s="18">
        <f t="shared" si="2"/>
        <v>15</v>
      </c>
      <c r="AH16" s="18">
        <f t="shared" si="3"/>
        <v>1</v>
      </c>
      <c r="AI16" s="18">
        <f t="shared" si="4"/>
        <v>1</v>
      </c>
      <c r="AJ16" s="18">
        <f t="shared" si="5"/>
        <v>0</v>
      </c>
      <c r="AK16" s="18">
        <f t="shared" si="6"/>
        <v>0</v>
      </c>
      <c r="AL16" s="19">
        <f t="shared" si="7"/>
        <v>2301010000</v>
      </c>
      <c r="AM16" s="18">
        <f t="shared" si="8"/>
        <v>15</v>
      </c>
    </row>
    <row r="17" ht="16.5" customHeight="1">
      <c r="A17" s="15">
        <v>11.0</v>
      </c>
      <c r="B17" s="20"/>
      <c r="C17" s="16" t="s">
        <v>5</v>
      </c>
      <c r="D17" s="22">
        <v>6.0</v>
      </c>
      <c r="E17" s="23"/>
      <c r="F17" s="23"/>
      <c r="G17" s="22"/>
      <c r="H17" s="22"/>
      <c r="I17" s="22"/>
      <c r="J17" s="23"/>
      <c r="K17" s="22">
        <v>5.0</v>
      </c>
      <c r="L17" s="22">
        <v>5.0</v>
      </c>
      <c r="M17" s="23"/>
      <c r="N17" s="23"/>
      <c r="O17" s="22">
        <v>6.0</v>
      </c>
      <c r="P17" s="22"/>
      <c r="Q17" s="22"/>
      <c r="R17" s="22"/>
      <c r="S17" s="22"/>
      <c r="T17" s="22"/>
      <c r="U17" s="23"/>
      <c r="V17" s="23"/>
      <c r="W17" s="23"/>
      <c r="X17" s="23"/>
      <c r="Y17" s="23"/>
      <c r="Z17" s="23"/>
      <c r="AA17" s="23"/>
      <c r="AB17" s="23"/>
      <c r="AC17" s="23"/>
      <c r="AD17" s="23"/>
      <c r="AE17" s="23"/>
      <c r="AF17" s="23">
        <f t="shared" si="1"/>
        <v>22</v>
      </c>
      <c r="AG17" s="23">
        <f t="shared" si="2"/>
        <v>16</v>
      </c>
      <c r="AH17" s="23">
        <f t="shared" si="3"/>
        <v>3</v>
      </c>
      <c r="AI17" s="23">
        <f t="shared" si="4"/>
        <v>0</v>
      </c>
      <c r="AJ17" s="23">
        <f t="shared" si="5"/>
        <v>0</v>
      </c>
      <c r="AK17" s="23">
        <f t="shared" si="6"/>
        <v>0</v>
      </c>
      <c r="AL17" s="24">
        <f t="shared" si="7"/>
        <v>2203000000</v>
      </c>
      <c r="AM17" s="23">
        <f t="shared" si="8"/>
        <v>16</v>
      </c>
      <c r="AN17" s="24"/>
    </row>
    <row r="18" ht="16.5" customHeight="1">
      <c r="A18" s="15">
        <v>16.0</v>
      </c>
      <c r="B18" s="55"/>
      <c r="C18" s="16" t="s">
        <v>27</v>
      </c>
      <c r="D18" s="22"/>
      <c r="E18" s="22">
        <v>8.0</v>
      </c>
      <c r="F18" s="22"/>
      <c r="G18" s="22">
        <v>1.0</v>
      </c>
      <c r="H18" s="23"/>
      <c r="I18" s="23"/>
      <c r="J18" s="22">
        <v>7.0</v>
      </c>
      <c r="K18" s="22"/>
      <c r="L18" s="23"/>
      <c r="M18" s="22">
        <v>1.0</v>
      </c>
      <c r="N18" s="22"/>
      <c r="O18" s="22">
        <v>3.0</v>
      </c>
      <c r="P18" s="22"/>
      <c r="Q18" s="23"/>
      <c r="R18" s="23"/>
      <c r="S18" s="22"/>
      <c r="T18" s="22"/>
      <c r="U18" s="22"/>
      <c r="V18" s="23"/>
      <c r="W18" s="23"/>
      <c r="X18" s="23"/>
      <c r="Y18" s="23"/>
      <c r="Z18" s="23"/>
      <c r="AA18" s="23"/>
      <c r="AB18" s="23"/>
      <c r="AC18" s="23"/>
      <c r="AD18" s="23"/>
      <c r="AE18" s="23"/>
      <c r="AF18" s="23">
        <f t="shared" si="1"/>
        <v>20</v>
      </c>
      <c r="AG18" s="23">
        <f t="shared" si="2"/>
        <v>17</v>
      </c>
      <c r="AH18" s="23">
        <f t="shared" si="3"/>
        <v>4</v>
      </c>
      <c r="AI18" s="23">
        <f t="shared" si="4"/>
        <v>0</v>
      </c>
      <c r="AJ18" s="23">
        <f t="shared" si="5"/>
        <v>0</v>
      </c>
      <c r="AK18" s="23">
        <f t="shared" si="6"/>
        <v>1</v>
      </c>
      <c r="AL18" s="24">
        <f t="shared" si="7"/>
        <v>2004000001</v>
      </c>
      <c r="AM18" s="23">
        <f t="shared" si="8"/>
        <v>18</v>
      </c>
      <c r="AN18" s="24"/>
    </row>
    <row r="19" ht="16.5" customHeight="1">
      <c r="A19" s="26">
        <v>21.0</v>
      </c>
      <c r="B19" s="20"/>
      <c r="C19" s="16" t="s">
        <v>10</v>
      </c>
      <c r="D19" s="22"/>
      <c r="E19" s="22">
        <v>1.0</v>
      </c>
      <c r="F19" s="22"/>
      <c r="G19" s="22"/>
      <c r="H19" s="23"/>
      <c r="I19" s="22">
        <v>8.0</v>
      </c>
      <c r="J19" s="22">
        <v>3.0</v>
      </c>
      <c r="K19" s="22">
        <v>3.0</v>
      </c>
      <c r="L19" s="22"/>
      <c r="M19" s="22">
        <v>3.0</v>
      </c>
      <c r="N19" s="22">
        <v>2.0</v>
      </c>
      <c r="O19" s="22"/>
      <c r="P19" s="23"/>
      <c r="Q19" s="22"/>
      <c r="R19" s="22"/>
      <c r="S19" s="22"/>
      <c r="T19" s="22"/>
      <c r="U19" s="23"/>
      <c r="V19" s="23"/>
      <c r="W19" s="23"/>
      <c r="X19" s="23"/>
      <c r="Y19" s="23"/>
      <c r="Z19" s="23"/>
      <c r="AA19" s="23"/>
      <c r="AB19" s="23"/>
      <c r="AC19" s="23"/>
      <c r="AD19" s="23"/>
      <c r="AE19" s="23"/>
      <c r="AF19" s="23">
        <f t="shared" si="1"/>
        <v>20</v>
      </c>
      <c r="AG19" s="23">
        <f t="shared" si="2"/>
        <v>17</v>
      </c>
      <c r="AH19" s="23">
        <f t="shared" si="3"/>
        <v>5</v>
      </c>
      <c r="AI19" s="23">
        <f t="shared" si="4"/>
        <v>0</v>
      </c>
      <c r="AJ19" s="23">
        <f t="shared" si="5"/>
        <v>0</v>
      </c>
      <c r="AK19" s="23">
        <f t="shared" si="6"/>
        <v>1</v>
      </c>
      <c r="AL19" s="24">
        <f t="shared" si="7"/>
        <v>2005000001</v>
      </c>
      <c r="AM19" s="23">
        <f t="shared" si="8"/>
        <v>17</v>
      </c>
      <c r="AN19" s="24"/>
    </row>
    <row r="20" ht="16.5" customHeight="1">
      <c r="A20" s="15">
        <v>3.0</v>
      </c>
      <c r="B20" s="55"/>
      <c r="C20" s="16" t="s">
        <v>3</v>
      </c>
      <c r="D20" s="22"/>
      <c r="E20" s="53"/>
      <c r="F20" s="22"/>
      <c r="G20" s="23"/>
      <c r="H20" s="22">
        <v>8.0</v>
      </c>
      <c r="I20" s="22"/>
      <c r="J20" s="22"/>
      <c r="K20" s="22"/>
      <c r="L20" s="22">
        <v>3.0</v>
      </c>
      <c r="M20" s="22">
        <v>5.0</v>
      </c>
      <c r="N20" s="22">
        <v>1.0</v>
      </c>
      <c r="O20" s="23"/>
      <c r="P20" s="22"/>
      <c r="Q20" s="23"/>
      <c r="R20" s="23"/>
      <c r="S20" s="23"/>
      <c r="T20" s="23"/>
      <c r="U20" s="23"/>
      <c r="V20" s="23"/>
      <c r="W20" s="23"/>
      <c r="X20" s="23"/>
      <c r="Y20" s="23"/>
      <c r="Z20" s="23"/>
      <c r="AA20" s="23"/>
      <c r="AB20" s="23"/>
      <c r="AC20" s="23"/>
      <c r="AD20" s="23"/>
      <c r="AE20" s="23"/>
      <c r="AF20" s="23">
        <f t="shared" si="1"/>
        <v>17</v>
      </c>
      <c r="AG20" s="23">
        <f t="shared" si="2"/>
        <v>19</v>
      </c>
      <c r="AH20" s="23">
        <f t="shared" si="3"/>
        <v>4</v>
      </c>
      <c r="AI20" s="23">
        <f t="shared" si="4"/>
        <v>0</v>
      </c>
      <c r="AJ20" s="23">
        <f t="shared" si="5"/>
        <v>0</v>
      </c>
      <c r="AK20" s="23">
        <f t="shared" si="6"/>
        <v>1</v>
      </c>
      <c r="AL20" s="24">
        <f t="shared" si="7"/>
        <v>1704000001</v>
      </c>
      <c r="AM20" s="23">
        <f t="shared" si="8"/>
        <v>19</v>
      </c>
      <c r="AN20" s="24"/>
    </row>
    <row r="21" ht="16.5" customHeight="1">
      <c r="A21" s="15">
        <v>2.0</v>
      </c>
      <c r="B21" s="55"/>
      <c r="C21" s="16" t="s">
        <v>6</v>
      </c>
      <c r="D21" s="22"/>
      <c r="E21" s="23"/>
      <c r="F21" s="22"/>
      <c r="G21" s="22"/>
      <c r="H21" s="22"/>
      <c r="I21" s="22">
        <v>1.0</v>
      </c>
      <c r="J21" s="22"/>
      <c r="K21" s="22">
        <v>1.0</v>
      </c>
      <c r="L21" s="22">
        <v>7.0</v>
      </c>
      <c r="M21" s="22"/>
      <c r="N21" s="22"/>
      <c r="O21" s="22">
        <v>5.0</v>
      </c>
      <c r="P21" s="22"/>
      <c r="Q21" s="22"/>
      <c r="R21" s="22"/>
      <c r="S21" s="22"/>
      <c r="T21" s="23"/>
      <c r="U21" s="22"/>
      <c r="V21" s="23"/>
      <c r="W21" s="23"/>
      <c r="X21" s="23"/>
      <c r="Y21" s="23"/>
      <c r="Z21" s="23"/>
      <c r="AA21" s="23"/>
      <c r="AB21" s="23"/>
      <c r="AC21" s="23"/>
      <c r="AD21" s="23"/>
      <c r="AE21" s="23"/>
      <c r="AF21" s="23">
        <f t="shared" si="1"/>
        <v>14</v>
      </c>
      <c r="AG21" s="23">
        <f t="shared" si="2"/>
        <v>20</v>
      </c>
      <c r="AH21" s="23">
        <f t="shared" si="3"/>
        <v>4</v>
      </c>
      <c r="AI21" s="23">
        <f t="shared" si="4"/>
        <v>0</v>
      </c>
      <c r="AJ21" s="23">
        <f t="shared" si="5"/>
        <v>0</v>
      </c>
      <c r="AK21" s="23">
        <f t="shared" si="6"/>
        <v>0</v>
      </c>
      <c r="AL21" s="24">
        <f t="shared" si="7"/>
        <v>1404000000</v>
      </c>
      <c r="AM21" s="23">
        <f t="shared" si="8"/>
        <v>20</v>
      </c>
      <c r="AN21" s="24"/>
    </row>
    <row r="22" ht="16.5" customHeight="1">
      <c r="A22" s="15">
        <v>17.0</v>
      </c>
      <c r="B22" s="20"/>
      <c r="C22" s="16" t="s">
        <v>25</v>
      </c>
      <c r="D22" s="22"/>
      <c r="E22" s="53"/>
      <c r="F22" s="22"/>
      <c r="G22" s="23"/>
      <c r="H22" s="22"/>
      <c r="I22" s="22"/>
      <c r="J22" s="22"/>
      <c r="K22" s="22"/>
      <c r="L22" s="22">
        <v>10.0</v>
      </c>
      <c r="M22" s="23"/>
      <c r="N22" s="22"/>
      <c r="O22" s="22">
        <v>4.0</v>
      </c>
      <c r="P22" s="23"/>
      <c r="Q22" s="22"/>
      <c r="R22" s="23"/>
      <c r="S22" s="22"/>
      <c r="T22" s="22"/>
      <c r="U22" s="22"/>
      <c r="V22" s="23"/>
      <c r="W22" s="23"/>
      <c r="X22" s="23"/>
      <c r="Y22" s="23"/>
      <c r="Z22" s="23"/>
      <c r="AA22" s="23"/>
      <c r="AB22" s="23"/>
      <c r="AC22" s="23"/>
      <c r="AD22" s="23"/>
      <c r="AE22" s="23"/>
      <c r="AF22" s="23">
        <f t="shared" si="1"/>
        <v>14</v>
      </c>
      <c r="AG22" s="23">
        <f t="shared" si="2"/>
        <v>20</v>
      </c>
      <c r="AH22" s="23">
        <f t="shared" si="3"/>
        <v>2</v>
      </c>
      <c r="AI22" s="23">
        <f t="shared" si="4"/>
        <v>0</v>
      </c>
      <c r="AJ22" s="23">
        <f t="shared" si="5"/>
        <v>1</v>
      </c>
      <c r="AK22" s="23">
        <f t="shared" si="6"/>
        <v>0</v>
      </c>
      <c r="AL22" s="24">
        <f t="shared" si="7"/>
        <v>1402000100</v>
      </c>
      <c r="AM22" s="23">
        <f t="shared" si="8"/>
        <v>21</v>
      </c>
      <c r="AN22" s="24"/>
    </row>
    <row r="23" ht="16.5" customHeight="1">
      <c r="A23" s="15">
        <v>10.0</v>
      </c>
      <c r="B23" s="20"/>
      <c r="C23" s="16" t="s">
        <v>20</v>
      </c>
      <c r="D23" s="22"/>
      <c r="E23" s="23"/>
      <c r="F23" s="22">
        <v>7.0</v>
      </c>
      <c r="G23" s="22"/>
      <c r="H23" s="22">
        <v>3.0</v>
      </c>
      <c r="I23" s="22">
        <v>3.0</v>
      </c>
      <c r="J23" s="22"/>
      <c r="K23" s="22"/>
      <c r="L23" s="23"/>
      <c r="M23" s="22"/>
      <c r="N23" s="22"/>
      <c r="O23" s="23"/>
      <c r="P23" s="23"/>
      <c r="Q23" s="22"/>
      <c r="R23" s="22"/>
      <c r="S23" s="22"/>
      <c r="T23" s="23"/>
      <c r="U23" s="22"/>
      <c r="V23" s="23"/>
      <c r="W23" s="23"/>
      <c r="X23" s="23"/>
      <c r="Y23" s="23"/>
      <c r="Z23" s="23"/>
      <c r="AA23" s="23"/>
      <c r="AB23" s="23"/>
      <c r="AC23" s="23"/>
      <c r="AD23" s="23"/>
      <c r="AE23" s="23"/>
      <c r="AF23" s="23">
        <f t="shared" si="1"/>
        <v>13</v>
      </c>
      <c r="AG23" s="23">
        <f t="shared" si="2"/>
        <v>22</v>
      </c>
      <c r="AH23" s="23">
        <f t="shared" si="3"/>
        <v>3</v>
      </c>
      <c r="AI23" s="23">
        <f t="shared" si="4"/>
        <v>0</v>
      </c>
      <c r="AJ23" s="23">
        <f t="shared" si="5"/>
        <v>0</v>
      </c>
      <c r="AK23" s="23">
        <f t="shared" si="6"/>
        <v>0</v>
      </c>
      <c r="AL23" s="24">
        <f t="shared" si="7"/>
        <v>1303000000</v>
      </c>
      <c r="AM23" s="23">
        <f t="shared" si="8"/>
        <v>22</v>
      </c>
      <c r="AN23" s="24"/>
    </row>
    <row r="24" ht="16.5" customHeight="1">
      <c r="A24" s="15">
        <v>4.0</v>
      </c>
      <c r="B24" s="20"/>
      <c r="C24" s="16" t="s">
        <v>11</v>
      </c>
      <c r="D24" s="22"/>
      <c r="E24" s="22">
        <v>7.0</v>
      </c>
      <c r="F24" s="22"/>
      <c r="G24" s="23"/>
      <c r="H24" s="23"/>
      <c r="I24" s="23"/>
      <c r="J24" s="22">
        <v>1.0</v>
      </c>
      <c r="K24" s="22"/>
      <c r="L24" s="22"/>
      <c r="M24" s="22"/>
      <c r="N24" s="22">
        <v>5.0</v>
      </c>
      <c r="O24" s="22"/>
      <c r="P24" s="22"/>
      <c r="Q24" s="22"/>
      <c r="R24" s="22"/>
      <c r="S24" s="22"/>
      <c r="T24" s="23"/>
      <c r="U24" s="23"/>
      <c r="V24" s="23"/>
      <c r="W24" s="23"/>
      <c r="X24" s="23"/>
      <c r="Y24" s="23"/>
      <c r="Z24" s="23"/>
      <c r="AA24" s="23"/>
      <c r="AB24" s="22"/>
      <c r="AC24" s="23"/>
      <c r="AD24" s="23"/>
      <c r="AE24" s="23"/>
      <c r="AF24" s="23">
        <f t="shared" si="1"/>
        <v>13</v>
      </c>
      <c r="AG24" s="23">
        <f t="shared" si="2"/>
        <v>22</v>
      </c>
      <c r="AH24" s="23">
        <f t="shared" si="3"/>
        <v>2</v>
      </c>
      <c r="AI24" s="23">
        <f t="shared" si="4"/>
        <v>0</v>
      </c>
      <c r="AJ24" s="23">
        <f t="shared" si="5"/>
        <v>0</v>
      </c>
      <c r="AK24" s="23">
        <f t="shared" si="6"/>
        <v>0</v>
      </c>
      <c r="AL24" s="24">
        <f t="shared" si="7"/>
        <v>1302000000</v>
      </c>
      <c r="AM24" s="23">
        <f t="shared" si="8"/>
        <v>23</v>
      </c>
      <c r="AN24" s="24"/>
    </row>
    <row r="25" ht="16.5" customHeight="1">
      <c r="A25" s="26">
        <v>20.0</v>
      </c>
      <c r="B25" s="20"/>
      <c r="C25" s="16" t="s">
        <v>7</v>
      </c>
      <c r="D25" s="22">
        <v>6.0</v>
      </c>
      <c r="E25" s="23"/>
      <c r="F25" s="22">
        <v>3.0</v>
      </c>
      <c r="G25" s="23"/>
      <c r="H25" s="22"/>
      <c r="I25" s="23"/>
      <c r="J25" s="22"/>
      <c r="K25" s="22"/>
      <c r="L25" s="22">
        <v>1.0</v>
      </c>
      <c r="M25" s="22"/>
      <c r="N25" s="23"/>
      <c r="O25" s="23"/>
      <c r="P25" s="22"/>
      <c r="Q25" s="22"/>
      <c r="R25" s="22"/>
      <c r="S25" s="22"/>
      <c r="T25" s="23"/>
      <c r="U25" s="23"/>
      <c r="V25" s="23"/>
      <c r="W25" s="23"/>
      <c r="X25" s="23"/>
      <c r="Y25" s="23"/>
      <c r="Z25" s="23"/>
      <c r="AA25" s="23"/>
      <c r="AB25" s="23"/>
      <c r="AC25" s="23"/>
      <c r="AD25" s="23"/>
      <c r="AE25" s="23"/>
      <c r="AF25" s="23">
        <f t="shared" si="1"/>
        <v>10</v>
      </c>
      <c r="AG25" s="23">
        <f t="shared" si="2"/>
        <v>24</v>
      </c>
      <c r="AH25" s="23">
        <f t="shared" si="3"/>
        <v>2</v>
      </c>
      <c r="AI25" s="23">
        <f t="shared" si="4"/>
        <v>0</v>
      </c>
      <c r="AJ25" s="23">
        <f t="shared" si="5"/>
        <v>1</v>
      </c>
      <c r="AK25" s="23">
        <f t="shared" si="6"/>
        <v>0</v>
      </c>
      <c r="AL25" s="24">
        <f t="shared" si="7"/>
        <v>1002000100</v>
      </c>
      <c r="AM25" s="23">
        <f t="shared" si="8"/>
        <v>24</v>
      </c>
      <c r="AN25" s="24"/>
    </row>
    <row r="26" ht="16.5" customHeight="1">
      <c r="A26" s="15">
        <v>15.0</v>
      </c>
      <c r="B26" s="55"/>
      <c r="C26" s="16" t="s">
        <v>15</v>
      </c>
      <c r="D26" s="22"/>
      <c r="E26" s="53"/>
      <c r="F26" s="22">
        <v>10.0</v>
      </c>
      <c r="G26" s="22"/>
      <c r="H26" s="22"/>
      <c r="I26" s="22"/>
      <c r="J26" s="23"/>
      <c r="K26" s="23"/>
      <c r="L26" s="22"/>
      <c r="M26" s="22"/>
      <c r="N26" s="22"/>
      <c r="O26" s="22"/>
      <c r="P26" s="23"/>
      <c r="Q26" s="22"/>
      <c r="R26" s="22"/>
      <c r="S26" s="22"/>
      <c r="T26" s="22"/>
      <c r="U26" s="23"/>
      <c r="V26" s="23"/>
      <c r="W26" s="23"/>
      <c r="X26" s="23"/>
      <c r="Y26" s="23"/>
      <c r="Z26" s="23"/>
      <c r="AA26" s="23"/>
      <c r="AB26" s="23"/>
      <c r="AC26" s="23"/>
      <c r="AD26" s="23"/>
      <c r="AE26" s="23"/>
      <c r="AF26" s="23">
        <f t="shared" si="1"/>
        <v>10</v>
      </c>
      <c r="AG26" s="23">
        <f t="shared" si="2"/>
        <v>24</v>
      </c>
      <c r="AH26" s="23">
        <f t="shared" si="3"/>
        <v>1</v>
      </c>
      <c r="AI26" s="23">
        <f t="shared" si="4"/>
        <v>0</v>
      </c>
      <c r="AJ26" s="23">
        <f t="shared" si="5"/>
        <v>2</v>
      </c>
      <c r="AK26" s="23">
        <f t="shared" si="6"/>
        <v>0</v>
      </c>
      <c r="AL26" s="24">
        <f t="shared" si="7"/>
        <v>1001000200</v>
      </c>
      <c r="AM26" s="23">
        <f t="shared" si="8"/>
        <v>25</v>
      </c>
      <c r="AN26" s="24"/>
    </row>
    <row r="27" ht="16.5" customHeight="1">
      <c r="A27" s="26">
        <v>26.0</v>
      </c>
      <c r="B27" s="20" t="str">
        <f t="shared" ref="B27:B28" si="9">O27</f>
        <v/>
      </c>
      <c r="C27" s="20"/>
      <c r="D27" s="23"/>
      <c r="E27" s="23"/>
      <c r="F27" s="22"/>
      <c r="G27" s="23"/>
      <c r="H27" s="23"/>
      <c r="I27" s="23"/>
      <c r="J27" s="23"/>
      <c r="K27" s="22"/>
      <c r="L27" s="23"/>
      <c r="M27" s="23"/>
      <c r="N27" s="23"/>
      <c r="O27" s="23"/>
      <c r="P27" s="23"/>
      <c r="Q27" s="23"/>
      <c r="R27" s="23"/>
      <c r="S27" s="23"/>
      <c r="T27" s="22"/>
      <c r="U27" s="23"/>
      <c r="V27" s="23"/>
      <c r="W27" s="23"/>
      <c r="X27" s="23"/>
      <c r="Y27" s="23"/>
      <c r="Z27" s="23"/>
      <c r="AA27" s="23"/>
      <c r="AB27" s="23"/>
      <c r="AC27" s="23"/>
      <c r="AD27" s="23"/>
      <c r="AE27" s="23"/>
      <c r="AF27" s="23">
        <f t="shared" si="1"/>
        <v>0</v>
      </c>
      <c r="AG27" s="23">
        <f t="shared" si="2"/>
        <v>26</v>
      </c>
      <c r="AH27" s="23">
        <f t="shared" si="3"/>
        <v>0</v>
      </c>
      <c r="AI27" s="23">
        <f t="shared" si="4"/>
        <v>0</v>
      </c>
      <c r="AJ27" s="23">
        <f t="shared" si="5"/>
        <v>0</v>
      </c>
      <c r="AK27" s="23">
        <f t="shared" si="6"/>
        <v>0</v>
      </c>
      <c r="AL27" s="24">
        <f t="shared" si="7"/>
        <v>0</v>
      </c>
      <c r="AM27" s="23">
        <f t="shared" si="8"/>
        <v>26</v>
      </c>
      <c r="AN27" s="24"/>
    </row>
    <row r="28" ht="16.5" customHeight="1">
      <c r="A28" s="22">
        <v>27.0</v>
      </c>
      <c r="B28" s="28" t="str">
        <f t="shared" si="9"/>
        <v/>
      </c>
      <c r="C28" s="28"/>
      <c r="D28" s="22"/>
      <c r="E28" s="23"/>
      <c r="F28" s="23"/>
      <c r="G28" s="22"/>
      <c r="H28" s="23"/>
      <c r="I28" s="22"/>
      <c r="J28" s="23"/>
      <c r="K28" s="23"/>
      <c r="L28" s="23"/>
      <c r="M28" s="23"/>
      <c r="N28" s="23"/>
      <c r="O28" s="22"/>
      <c r="P28" s="22"/>
      <c r="Q28" s="23"/>
      <c r="R28" s="23"/>
      <c r="S28" s="22"/>
      <c r="T28" s="23"/>
      <c r="U28" s="23"/>
      <c r="V28" s="23"/>
      <c r="W28" s="23"/>
      <c r="X28" s="23"/>
      <c r="Y28" s="23"/>
      <c r="Z28" s="23"/>
      <c r="AA28" s="23"/>
      <c r="AB28" s="23"/>
      <c r="AC28" s="23"/>
      <c r="AD28" s="23"/>
      <c r="AE28" s="23"/>
      <c r="AF28" s="23">
        <f t="shared" si="1"/>
        <v>0</v>
      </c>
      <c r="AG28" s="23">
        <f t="shared" si="2"/>
        <v>26</v>
      </c>
      <c r="AH28" s="23">
        <f t="shared" si="3"/>
        <v>0</v>
      </c>
      <c r="AI28" s="23">
        <f t="shared" si="4"/>
        <v>0</v>
      </c>
      <c r="AJ28" s="23">
        <f t="shared" si="5"/>
        <v>0</v>
      </c>
      <c r="AK28" s="23">
        <f t="shared" si="6"/>
        <v>0</v>
      </c>
      <c r="AL28" s="24">
        <f t="shared" si="7"/>
        <v>0</v>
      </c>
      <c r="AM28" s="23">
        <f t="shared" si="8"/>
        <v>26</v>
      </c>
      <c r="AN28" s="24"/>
    </row>
    <row r="29">
      <c r="AL29" s="56"/>
    </row>
    <row r="30">
      <c r="C30" s="29" t="s">
        <v>40</v>
      </c>
      <c r="D30" s="30">
        <f t="shared" ref="D30:O30" si="10">SUM(D2:D28)</f>
        <v>72</v>
      </c>
      <c r="E30" s="30">
        <f t="shared" si="10"/>
        <v>58</v>
      </c>
      <c r="F30" s="30">
        <f t="shared" si="10"/>
        <v>58</v>
      </c>
      <c r="G30" s="30">
        <f t="shared" si="10"/>
        <v>58</v>
      </c>
      <c r="H30" s="30">
        <f t="shared" si="10"/>
        <v>58</v>
      </c>
      <c r="I30" s="30">
        <f t="shared" si="10"/>
        <v>58</v>
      </c>
      <c r="J30" s="30">
        <f t="shared" si="10"/>
        <v>58</v>
      </c>
      <c r="K30" s="30">
        <f t="shared" si="10"/>
        <v>58</v>
      </c>
      <c r="L30" s="30">
        <f t="shared" si="10"/>
        <v>58</v>
      </c>
      <c r="M30" s="30">
        <f t="shared" si="10"/>
        <v>58</v>
      </c>
      <c r="N30" s="30">
        <f t="shared" si="10"/>
        <v>58</v>
      </c>
      <c r="O30" s="30">
        <f t="shared" si="10"/>
        <v>58</v>
      </c>
      <c r="R30" s="30">
        <f>SUM(R2:R28)</f>
        <v>0</v>
      </c>
      <c r="V30" s="30">
        <f t="shared" ref="V30:AE30" si="11">SUM(V2:V28)</f>
        <v>0</v>
      </c>
      <c r="W30" s="30">
        <f t="shared" si="11"/>
        <v>0</v>
      </c>
      <c r="X30" s="30">
        <f t="shared" si="11"/>
        <v>0</v>
      </c>
      <c r="Y30" s="30">
        <f t="shared" si="11"/>
        <v>0</v>
      </c>
      <c r="Z30" s="30">
        <f t="shared" si="11"/>
        <v>0</v>
      </c>
      <c r="AA30" s="30">
        <f t="shared" si="11"/>
        <v>0</v>
      </c>
      <c r="AB30" s="30">
        <f t="shared" si="11"/>
        <v>0</v>
      </c>
      <c r="AC30" s="30">
        <f t="shared" si="11"/>
        <v>0</v>
      </c>
      <c r="AD30" s="30">
        <f t="shared" si="11"/>
        <v>0</v>
      </c>
      <c r="AE30" s="30">
        <f t="shared" si="11"/>
        <v>0</v>
      </c>
    </row>
    <row r="31">
      <c r="B31" s="29"/>
      <c r="C31" s="29" t="s">
        <v>42</v>
      </c>
      <c r="D31" s="30" t="b">
        <f>IFERROR(__xludf.DUMMYFUNCTION("AND(COUNTIF(D2:D28, 1) = 1, 
    COUNTIF(D2:D28, 2) = 1, 
    COUNTIF(D2:D28, 3) = 1, 
    COUNTIF(D2:D28, 4) = 1, 
    COUNTIF(D2:D28, 5) = 1, 
    COUNTIF(D2:D28, 6) = 1, 
    COUNTIF(D2:D28, 7) = 1, 
    COUNTIF(D2:D28, 8) = 1, 
    COUNTIF(D2:D28, 10)"&amp;" = 1, 
    COUNTIF(D2:D28, 12) = 1, 
    COUNTUNIQUE(D2:D28) = 10)"),FALSE)</f>
        <v>0</v>
      </c>
      <c r="E31" s="30" t="b">
        <f>IFERROR(__xludf.DUMMYFUNCTION("AND(COUNTIF(E2:E28, 1) = 1, 
    COUNTIF(E2:E28, 2) = 1, 
    COUNTIF(E2:E28, 3) = 1, 
    COUNTIF(E2:E28, 4) = 1, 
    COUNTIF(E2:E28, 5) = 1, 
    COUNTIF(E2:E28, 6) = 1, 
    COUNTIF(E2:E28, 7) = 1, 
    COUNTIF(E2:E28, 8) = 1, 
    COUNTIF(E2:E28, 10)"&amp;" = 1, 
    COUNTIF(E2:E28, 12) = 1, 
    COUNTUNIQUE(E2:E28) = 10)"),TRUE)</f>
        <v>1</v>
      </c>
      <c r="F31" s="30" t="b">
        <f>IFERROR(__xludf.DUMMYFUNCTION("AND(COUNTIF(F2:F28, 1) = 1, 
    COUNTIF(F2:F28, 2) = 1, 
    COUNTIF(F2:F28, 3) = 1, 
    COUNTIF(F2:F28, 4) = 1, 
    COUNTIF(F2:F28, 5) = 1, 
    COUNTIF(F2:F28, 6) = 1, 
    COUNTIF(F2:F28, 7) = 1, 
    COUNTIF(F2:F28, 8) = 1, 
    COUNTIF(F2:F28, 10)"&amp;" = 1, 
    COUNTIF(F2:F28, 12) = 1, 
    COUNTUNIQUE(F2:F28) = 10)"),TRUE)</f>
        <v>1</v>
      </c>
      <c r="G31" s="30" t="b">
        <f>IFERROR(__xludf.DUMMYFUNCTION("AND(COUNTIF(G2:G28, 1) = 1, 
    COUNTIF(G2:G28, 2) = 1, 
    COUNTIF(G2:G28, 3) = 1, 
    COUNTIF(G2:G28, 4) = 1, 
    COUNTIF(G2:G28, 5) = 1, 
    COUNTIF(G2:G28, 6) = 1, 
    COUNTIF(G2:G28, 7) = 1, 
    COUNTIF(G2:G28, 8) = 1, 
    COUNTIF(G2:G28, 10)"&amp;" = 1, 
    COUNTIF(G2:G28, 12) = 1, 
    COUNTUNIQUE(G2:G28) = 10)"),TRUE)</f>
        <v>1</v>
      </c>
      <c r="H31" s="30" t="b">
        <f>IFERROR(__xludf.DUMMYFUNCTION("AND(COUNTIF(H2:H28, 1) = 1, 
    COUNTIF(H2:H28, 2) = 1, 
    COUNTIF(H2:H28, 3) = 1, 
    COUNTIF(H2:H28, 4) = 1, 
    COUNTIF(H2:H28, 5) = 1, 
    COUNTIF(H2:H28, 6) = 1, 
    COUNTIF(H2:H28, 7) = 1, 
    COUNTIF(H2:H28, 8) = 1, 
    COUNTIF(H2:H28, 10)"&amp;" = 1, 
    COUNTIF(H2:H28, 12) = 1, 
    COUNTUNIQUE(H2:H28) = 10)"),TRUE)</f>
        <v>1</v>
      </c>
      <c r="I31" s="30" t="b">
        <f>IFERROR(__xludf.DUMMYFUNCTION("AND(COUNTIF(I2:I28, 1) = 1, 
    COUNTIF(I2:I28, 2) = 1, 
    COUNTIF(I2:I28, 3) = 1, 
    COUNTIF(I2:I28, 4) = 1, 
    COUNTIF(I2:I28, 5) = 1, 
    COUNTIF(I2:I28, 6) = 1, 
    COUNTIF(I2:I28, 7) = 1, 
    COUNTIF(I2:I28, 8) = 1, 
    COUNTIF(I2:I28, 10)"&amp;" = 1, 
    COUNTIF(I2:I28, 12) = 1, 
    COUNTUNIQUE(I2:I28) = 10)"),TRUE)</f>
        <v>1</v>
      </c>
      <c r="J31" s="30" t="b">
        <f>IFERROR(__xludf.DUMMYFUNCTION("AND(COUNTIF(J2:J28, 1) = 1, 
    COUNTIF(J2:J28, 2) = 1, 
    COUNTIF(J2:J28, 3) = 1, 
    COUNTIF(J2:J28, 4) = 1, 
    COUNTIF(J2:J28, 5) = 1, 
    COUNTIF(J2:J28, 6) = 1, 
    COUNTIF(J2:J28, 7) = 1, 
    COUNTIF(J2:J28, 8) = 1, 
    COUNTIF(J2:J28, 10)"&amp;" = 1, 
    COUNTIF(J2:J28, 12) = 1, 
    COUNTUNIQUE(J2:J28) = 10)"),TRUE)</f>
        <v>1</v>
      </c>
      <c r="K31" s="30" t="b">
        <f>IFERROR(__xludf.DUMMYFUNCTION("AND(COUNTIF(K2:K28, 1) = 1, 
    COUNTIF(K2:K28, 2) = 1, 
    COUNTIF(K2:K28, 3) = 1, 
    COUNTIF(K2:K28, 4) = 1, 
    COUNTIF(K2:K28, 5) = 1, 
    COUNTIF(K2:K28, 6) = 1, 
    COUNTIF(K2:K28, 7) = 1, 
    COUNTIF(K2:K28, 8) = 1, 
    COUNTIF(K2:K28, 10)"&amp;" = 1, 
    COUNTIF(K2:K28, 12) = 1, 
    COUNTUNIQUE(K2:K28) = 10)"),TRUE)</f>
        <v>1</v>
      </c>
      <c r="L31" s="30" t="b">
        <f>IFERROR(__xludf.DUMMYFUNCTION("AND(COUNTIF(L2:L28, 1) = 1, 
    COUNTIF(L2:L28, 2) = 1, 
    COUNTIF(L2:L28, 3) = 1, 
    COUNTIF(L2:L28, 4) = 1, 
    COUNTIF(L2:L28, 5) = 1, 
    COUNTIF(L2:L28, 6) = 1, 
    COUNTIF(L2:L28, 7) = 1, 
    COUNTIF(L2:L28, 8) = 1, 
    COUNTIF(L2:L28, 10)"&amp;" = 1, 
    COUNTIF(L2:L28, 12) = 1, 
    COUNTUNIQUE(L2:L28) = 10)"),TRUE)</f>
        <v>1</v>
      </c>
      <c r="M31" s="30" t="b">
        <f>IFERROR(__xludf.DUMMYFUNCTION("AND(COUNTIF(M2:M28, 1) = 1, 
    COUNTIF(M2:M28, 2) = 1, 
    COUNTIF(M2:M28, 3) = 1, 
    COUNTIF(M2:M28, 4) = 1, 
    COUNTIF(M2:M28, 5) = 1, 
    COUNTIF(M2:M28, 6) = 1, 
    COUNTIF(M2:M28, 7) = 1, 
    COUNTIF(M2:M28, 8) = 1, 
    COUNTIF(M2:M28, 10)"&amp;" = 1, 
    COUNTIF(M2:M28, 12) = 1, 
    COUNTUNIQUE(M2:M28) = 10)"),TRUE)</f>
        <v>1</v>
      </c>
      <c r="N31" s="30" t="b">
        <f>IFERROR(__xludf.DUMMYFUNCTION("AND(COUNTIF(N2:N28, 1) = 1, 
    COUNTIF(N2:N28, 2) = 1, 
    COUNTIF(N2:N28, 3) = 1, 
    COUNTIF(N2:N28, 4) = 1, 
    COUNTIF(N2:N28, 5) = 1, 
    COUNTIF(N2:N28, 6) = 1, 
    COUNTIF(N2:N28, 7) = 1, 
    COUNTIF(N2:N28, 8) = 1, 
    COUNTIF(N2:N28, 10)"&amp;" = 1, 
    COUNTIF(N2:N28, 12) = 1, 
    COUNTUNIQUE(N2:N28) = 10)"),TRUE)</f>
        <v>1</v>
      </c>
      <c r="O31" s="30" t="b">
        <f>IFERROR(__xludf.DUMMYFUNCTION("AND(COUNTIF(O2:O28, 1) = 1, 
    COUNTIF(O2:O28, 2) = 1, 
    COUNTIF(O2:O28, 3) = 1, 
    COUNTIF(O2:O28, 4) = 1, 
    COUNTIF(O2:O28, 5) = 1, 
    COUNTIF(O2:O28, 6) = 1, 
    COUNTIF(O2:O28, 7) = 1, 
    COUNTIF(O2:O28, 8) = 1, 
    COUNTIF(O2:O28, 10)"&amp;" = 1, 
    COUNTIF(O2:O28, 12) = 1, 
    COUNTUNIQUE(O2:O28) = 10)"),TRUE)</f>
        <v>1</v>
      </c>
      <c r="R31" s="30" t="b">
        <f>IFERROR(__xludf.DUMMYFUNCTION("AND(COUNTIF(R2:R28, 1) = 1, 
    COUNTIF(R2:R28, 2) = 1, 
    COUNTIF(R2:R28, 3) = 1, 
    COUNTIF(R2:R28, 4) = 1, 
    COUNTIF(R2:R28, 5) = 1, 
    COUNTIF(R2:R28, 6) = 1, 
    COUNTIF(R2:R28, 7) = 1, 
    COUNTIF(R2:R28, 8) = 1, 
    COUNTIF(R2:R28, 10)"&amp;" = 1, 
    COUNTIF(R2:R28, 12) = 1, 
    COUNTUNIQUE(R2:R28) = 10)"),FALSE)</f>
        <v>0</v>
      </c>
      <c r="V31" s="30" t="b">
        <f>IFERROR(__xludf.DUMMYFUNCTION("AND(COUNTIF(V2:V28, 1) = 1, 
    COUNTIF(V2:V28, 2) = 1, 
    COUNTIF(V2:V28, 3) = 1, 
    COUNTIF(V2:V28, 4) = 1, 
    COUNTIF(V2:V28, 5) = 1, 
    COUNTIF(V2:V28, 6) = 1, 
    COUNTIF(V2:V28, 7) = 1, 
    COUNTIF(V2:V28, 8) = 1, 
    COUNTIF(V2:V28, 10)"&amp;" = 1, 
    COUNTIF(V2:V28, 12) = 1, 
    COUNTUNIQUE(V2:V28) = 10)"),FALSE)</f>
        <v>0</v>
      </c>
      <c r="W31" s="30" t="b">
        <f>IFERROR(__xludf.DUMMYFUNCTION("AND(COUNTIF(W2:W28, 1) = 1, 
    COUNTIF(W2:W28, 2) = 1, 
    COUNTIF(W2:W28, 3) = 1, 
    COUNTIF(W2:W28, 4) = 1, 
    COUNTIF(W2:W28, 5) = 1, 
    COUNTIF(W2:W28, 6) = 1, 
    COUNTIF(W2:W28, 7) = 1, 
    COUNTIF(W2:W28, 8) = 1, 
    COUNTIF(W2:W28, 10)"&amp;" = 1, 
    COUNTIF(W2:W28, 12) = 1, 
    COUNTUNIQUE(W2:W28) = 10)"),FALSE)</f>
        <v>0</v>
      </c>
      <c r="X31" s="30" t="b">
        <f>IFERROR(__xludf.DUMMYFUNCTION("AND(COUNTIF(X2:X28, 1) = 1, 
    COUNTIF(X2:X28, 2) = 1, 
    COUNTIF(X2:X28, 3) = 1, 
    COUNTIF(X2:X28, 4) = 1, 
    COUNTIF(X2:X28, 5) = 1, 
    COUNTIF(X2:X28, 6) = 1, 
    COUNTIF(X2:X28, 7) = 1, 
    COUNTIF(X2:X28, 8) = 1, 
    COUNTIF(X2:X28, 10)"&amp;" = 1, 
    COUNTIF(X2:X28, 12) = 1, 
    COUNTUNIQUE(X2:X28) = 10)"),FALSE)</f>
        <v>0</v>
      </c>
      <c r="Y31" s="30" t="b">
        <f>IFERROR(__xludf.DUMMYFUNCTION("AND(COUNTIF(Y2:Y28, 1) = 1, 
    COUNTIF(Y2:Y28, 2) = 1, 
    COUNTIF(Y2:Y28, 3) = 1, 
    COUNTIF(Y2:Y28, 4) = 1, 
    COUNTIF(Y2:Y28, 5) = 1, 
    COUNTIF(Y2:Y28, 6) = 1, 
    COUNTIF(Y2:Y28, 7) = 1, 
    COUNTIF(Y2:Y28, 8) = 1, 
    COUNTIF(Y2:Y28, 10)"&amp;" = 1, 
    COUNTIF(Y2:Y28, 12) = 1, 
    COUNTUNIQUE(Y2:Y28) = 10)"),FALSE)</f>
        <v>0</v>
      </c>
      <c r="Z31" s="30" t="b">
        <f>IFERROR(__xludf.DUMMYFUNCTION("AND(COUNTIF(Z2:Z28, 1) = 1, 
    COUNTIF(Z2:Z28, 2) = 1, 
    COUNTIF(Z2:Z28, 3) = 1, 
    COUNTIF(Z2:Z28, 4) = 1, 
    COUNTIF(Z2:Z28, 5) = 1, 
    COUNTIF(Z2:Z28, 6) = 1, 
    COUNTIF(Z2:Z28, 7) = 1, 
    COUNTIF(Z2:Z28, 8) = 1, 
    COUNTIF(Z2:Z28, 10)"&amp;" = 1, 
    COUNTIF(Z2:Z28, 12) = 1, 
    COUNTUNIQUE(Z2:Z28) = 10)"),FALSE)</f>
        <v>0</v>
      </c>
      <c r="AA31" s="30" t="b">
        <f>IFERROR(__xludf.DUMMYFUNCTION("AND(COUNTIF(AA2:AA28, 1) = 1, 
    COUNTIF(AA2:AA28, 2) = 1, 
    COUNTIF(AA2:AA28, 3) = 1, 
    COUNTIF(AA2:AA28, 4) = 1, 
    COUNTIF(AA2:AA28, 5) = 1, 
    COUNTIF(AA2:AA28, 6) = 1, 
    COUNTIF(AA2:AA28, 7) = 1, 
    COUNTIF(AA2:AA28, 8) = 1, 
    COU"&amp;"NTIF(AA2:AA28, 10) = 1, 
    COUNTIF(AA2:AA28, 12) = 1, 
    COUNTUNIQUE(AA2:AA28) = 10)"),FALSE)</f>
        <v>0</v>
      </c>
      <c r="AB31" s="30" t="b">
        <f>IFERROR(__xludf.DUMMYFUNCTION("AND(COUNTIF(AB2:AB28, 1) = 1, 
    COUNTIF(AB2:AB28, 2) = 1, 
    COUNTIF(AB2:AB28, 3) = 1, 
    COUNTIF(AB2:AB28, 4) = 1, 
    COUNTIF(AB2:AB28, 5) = 1, 
    COUNTIF(AB2:AB28, 6) = 1, 
    COUNTIF(AB2:AB28, 7) = 1, 
    COUNTIF(AB2:AB28, 8) = 1, 
    COU"&amp;"NTIF(AB2:AB28, 10) = 1, 
    COUNTIF(AB2:AB28, 12) = 1, 
    COUNTUNIQUE(AB2:AB28) = 10)"),FALSE)</f>
        <v>0</v>
      </c>
      <c r="AC31" s="30" t="b">
        <f>IFERROR(__xludf.DUMMYFUNCTION("AND(COUNTIF(AC2:AC28, 1) = 1, 
    COUNTIF(AC2:AC28, 2) = 1, 
    COUNTIF(AC2:AC28, 3) = 1, 
    COUNTIF(AC2:AC28, 4) = 1, 
    COUNTIF(AC2:AC28, 5) = 1, 
    COUNTIF(AC2:AC28, 6) = 1, 
    COUNTIF(AC2:AC28, 7) = 1, 
    COUNTIF(AC2:AC28, 8) = 1, 
    COU"&amp;"NTIF(AC2:AC28, 10) = 1, 
    COUNTIF(AC2:AC28, 12) = 1, 
    COUNTUNIQUE(AC2:AC28) = 10)"),FALSE)</f>
        <v>0</v>
      </c>
      <c r="AD31" s="30" t="b">
        <f>IFERROR(__xludf.DUMMYFUNCTION("AND(COUNTIF(AD2:AD28, 1) = 1, 
    COUNTIF(AD2:AD28, 2) = 1, 
    COUNTIF(AD2:AD28, 3) = 1, 
    COUNTIF(AD2:AD28, 4) = 1, 
    COUNTIF(AD2:AD28, 5) = 1, 
    COUNTIF(AD2:AD28, 6) = 1, 
    COUNTIF(AD2:AD28, 7) = 1, 
    COUNTIF(AD2:AD28, 8) = 1, 
    COU"&amp;"NTIF(AD2:AD28, 10) = 1, 
    COUNTIF(AD2:AD28, 12) = 1, 
    COUNTUNIQUE(AD2:AD28) = 10)"),FALSE)</f>
        <v>0</v>
      </c>
      <c r="AE31" s="30" t="b">
        <f>IFERROR(__xludf.DUMMYFUNCTION("AND(COUNTIF(AE2:AE28, 1) = 1, 
    COUNTIF(AE2:AE28, 2) = 1, 
    COUNTIF(AE2:AE28, 3) = 1, 
    COUNTIF(AE2:AE28, 4) = 1, 
    COUNTIF(AE2:AE28, 5) = 1, 
    COUNTIF(AE2:AE28, 6) = 1, 
    COUNTIF(AE2:AE28, 7) = 1, 
    COUNTIF(AE2:AE28, 8) = 1, 
    COU"&amp;"NTIF(AE2:AE28, 10) = 1, 
    COUNTIF(AE2:AE28, 12) = 1, 
    COUNTUNIQUE(AE2:AE28) = 10)"),FALSE)</f>
        <v>0</v>
      </c>
    </row>
    <row r="32">
      <c r="B32" s="29"/>
      <c r="C32" s="29" t="s">
        <v>43</v>
      </c>
      <c r="D32" s="30">
        <f t="shared" ref="D32:O32" si="12">COUNT(D2:D28)</f>
        <v>12</v>
      </c>
      <c r="E32" s="30">
        <f t="shared" si="12"/>
        <v>10</v>
      </c>
      <c r="F32" s="30">
        <f t="shared" si="12"/>
        <v>10</v>
      </c>
      <c r="G32" s="30">
        <f t="shared" si="12"/>
        <v>10</v>
      </c>
      <c r="H32" s="30">
        <f t="shared" si="12"/>
        <v>10</v>
      </c>
      <c r="I32" s="30">
        <f t="shared" si="12"/>
        <v>10</v>
      </c>
      <c r="J32" s="30">
        <f t="shared" si="12"/>
        <v>10</v>
      </c>
      <c r="K32" s="30">
        <f t="shared" si="12"/>
        <v>10</v>
      </c>
      <c r="L32" s="30">
        <f t="shared" si="12"/>
        <v>10</v>
      </c>
      <c r="M32" s="30">
        <f t="shared" si="12"/>
        <v>10</v>
      </c>
      <c r="N32" s="30">
        <f t="shared" si="12"/>
        <v>10</v>
      </c>
      <c r="O32" s="30">
        <f t="shared" si="12"/>
        <v>10</v>
      </c>
      <c r="R32" s="30">
        <f>COUNT(R2:R28)</f>
        <v>0</v>
      </c>
      <c r="V32" s="30">
        <f t="shared" ref="V32:AE32" si="13">COUNT(V2:V28)</f>
        <v>0</v>
      </c>
      <c r="W32" s="30">
        <f t="shared" si="13"/>
        <v>0</v>
      </c>
      <c r="X32" s="30">
        <f t="shared" si="13"/>
        <v>0</v>
      </c>
      <c r="Y32" s="30">
        <f t="shared" si="13"/>
        <v>0</v>
      </c>
      <c r="Z32" s="30">
        <f t="shared" si="13"/>
        <v>0</v>
      </c>
      <c r="AA32" s="30">
        <f t="shared" si="13"/>
        <v>0</v>
      </c>
      <c r="AB32" s="30">
        <f t="shared" si="13"/>
        <v>0</v>
      </c>
      <c r="AC32" s="30">
        <f t="shared" si="13"/>
        <v>0</v>
      </c>
      <c r="AD32" s="30">
        <f t="shared" si="13"/>
        <v>0</v>
      </c>
      <c r="AE32" s="30">
        <f t="shared" si="13"/>
        <v>0</v>
      </c>
    </row>
    <row r="41">
      <c r="AG41" s="31" t="s">
        <v>97</v>
      </c>
      <c r="AH41" s="32">
        <v>51.0</v>
      </c>
      <c r="AI41" s="32">
        <v>1.0</v>
      </c>
    </row>
    <row r="42">
      <c r="AE42" s="35" t="s">
        <v>24</v>
      </c>
      <c r="AG42" s="31" t="s">
        <v>41</v>
      </c>
      <c r="AH42" s="32">
        <v>48.0</v>
      </c>
      <c r="AI42" s="32">
        <v>2.0</v>
      </c>
    </row>
    <row r="43">
      <c r="AE43" s="35" t="s">
        <v>18</v>
      </c>
      <c r="AG43" s="31" t="s">
        <v>41</v>
      </c>
      <c r="AH43" s="32">
        <v>48.0</v>
      </c>
      <c r="AI43" s="32">
        <v>2.0</v>
      </c>
    </row>
    <row r="44">
      <c r="AE44" s="35" t="s">
        <v>26</v>
      </c>
      <c r="AG44" s="31" t="s">
        <v>41</v>
      </c>
      <c r="AH44" s="32">
        <v>44.0</v>
      </c>
      <c r="AI44" s="32">
        <v>4.0</v>
      </c>
    </row>
    <row r="45">
      <c r="AE45" s="35" t="s">
        <v>19</v>
      </c>
      <c r="AG45" s="31" t="s">
        <v>14</v>
      </c>
      <c r="AH45" s="32">
        <v>43.0</v>
      </c>
      <c r="AI45" s="32">
        <v>5.0</v>
      </c>
    </row>
    <row r="46">
      <c r="AE46" s="35" t="s">
        <v>8</v>
      </c>
      <c r="AG46" s="31" t="s">
        <v>21</v>
      </c>
      <c r="AH46" s="32">
        <v>40.0</v>
      </c>
      <c r="AI46" s="32">
        <v>6.0</v>
      </c>
    </row>
    <row r="47">
      <c r="AE47" s="35" t="s">
        <v>12</v>
      </c>
      <c r="AG47" s="31" t="s">
        <v>41</v>
      </c>
      <c r="AH47" s="32">
        <v>40.0</v>
      </c>
      <c r="AI47" s="32">
        <v>6.0</v>
      </c>
    </row>
    <row r="48">
      <c r="AE48" s="35" t="s">
        <v>13</v>
      </c>
      <c r="AG48" s="31" t="s">
        <v>4</v>
      </c>
      <c r="AH48" s="32">
        <v>40.0</v>
      </c>
      <c r="AI48" s="32">
        <v>6.0</v>
      </c>
    </row>
    <row r="49">
      <c r="AE49" s="35" t="s">
        <v>22</v>
      </c>
      <c r="AG49" s="31" t="s">
        <v>41</v>
      </c>
      <c r="AH49" s="32">
        <v>38.0</v>
      </c>
      <c r="AI49" s="32">
        <v>9.0</v>
      </c>
    </row>
    <row r="50">
      <c r="AE50" s="35" t="s">
        <v>23</v>
      </c>
      <c r="AG50" s="31" t="s">
        <v>41</v>
      </c>
      <c r="AH50" s="32">
        <v>33.0</v>
      </c>
      <c r="AI50" s="32">
        <v>10.0</v>
      </c>
    </row>
    <row r="51">
      <c r="AE51" s="35" t="s">
        <v>9</v>
      </c>
      <c r="AG51" s="31" t="s">
        <v>16</v>
      </c>
      <c r="AH51" s="32">
        <v>33.0</v>
      </c>
      <c r="AI51" s="32">
        <v>10.0</v>
      </c>
    </row>
    <row r="52">
      <c r="AG52" s="31" t="s">
        <v>41</v>
      </c>
      <c r="AH52" s="32">
        <v>27.0</v>
      </c>
      <c r="AI52" s="32">
        <v>12.0</v>
      </c>
    </row>
    <row r="53">
      <c r="AG53" s="31" t="s">
        <v>41</v>
      </c>
      <c r="AH53" s="32">
        <v>25.0</v>
      </c>
      <c r="AI53" s="32">
        <v>13.0</v>
      </c>
    </row>
    <row r="54">
      <c r="AG54" s="31" t="s">
        <v>41</v>
      </c>
      <c r="AH54" s="32">
        <v>24.0</v>
      </c>
      <c r="AI54" s="32">
        <v>14.0</v>
      </c>
    </row>
    <row r="55">
      <c r="AG55" s="31" t="s">
        <v>41</v>
      </c>
      <c r="AH55" s="32">
        <v>23.0</v>
      </c>
      <c r="AI55" s="32">
        <v>15.0</v>
      </c>
    </row>
    <row r="56">
      <c r="AG56" s="31" t="s">
        <v>5</v>
      </c>
      <c r="AH56" s="32">
        <v>22.0</v>
      </c>
      <c r="AI56" s="32">
        <v>16.0</v>
      </c>
    </row>
    <row r="57">
      <c r="AG57" s="31" t="s">
        <v>27</v>
      </c>
      <c r="AH57" s="32">
        <v>20.0</v>
      </c>
      <c r="AI57" s="32">
        <v>17.0</v>
      </c>
    </row>
    <row r="58">
      <c r="AG58" s="31" t="s">
        <v>10</v>
      </c>
      <c r="AH58" s="32">
        <v>20.0</v>
      </c>
      <c r="AI58" s="32">
        <v>17.0</v>
      </c>
    </row>
    <row r="59">
      <c r="AG59" s="31" t="s">
        <v>3</v>
      </c>
      <c r="AH59" s="32">
        <v>17.0</v>
      </c>
      <c r="AI59" s="32">
        <v>19.0</v>
      </c>
    </row>
    <row r="60">
      <c r="AG60" s="31" t="s">
        <v>6</v>
      </c>
      <c r="AH60" s="32">
        <v>14.0</v>
      </c>
      <c r="AI60" s="32">
        <v>20.0</v>
      </c>
    </row>
    <row r="61">
      <c r="AG61" s="31" t="s">
        <v>25</v>
      </c>
      <c r="AH61" s="32">
        <v>14.0</v>
      </c>
      <c r="AI61" s="32">
        <v>20.0</v>
      </c>
    </row>
    <row r="62">
      <c r="AG62" s="31" t="s">
        <v>20</v>
      </c>
      <c r="AH62" s="32">
        <v>13.0</v>
      </c>
      <c r="AI62" s="32">
        <v>22.0</v>
      </c>
    </row>
    <row r="63">
      <c r="AG63" s="31" t="s">
        <v>11</v>
      </c>
      <c r="AH63" s="32">
        <v>13.0</v>
      </c>
      <c r="AI63" s="32">
        <v>22.0</v>
      </c>
    </row>
    <row r="64">
      <c r="AG64" s="31" t="s">
        <v>7</v>
      </c>
      <c r="AH64" s="32">
        <v>10.0</v>
      </c>
      <c r="AI64" s="32">
        <v>24.0</v>
      </c>
    </row>
    <row r="65">
      <c r="AG65" s="31" t="s">
        <v>15</v>
      </c>
      <c r="AH65" s="32">
        <v>10.0</v>
      </c>
      <c r="AI65" s="32">
        <v>24.0</v>
      </c>
    </row>
  </sheetData>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2.63"/>
    <col customWidth="1" min="2" max="2" width="13.63"/>
    <col customWidth="1" min="3" max="3" width="18.5"/>
    <col customWidth="1" min="4" max="31" width="5.5"/>
    <col customWidth="1" min="32" max="32" width="8.88"/>
    <col customWidth="1" min="33" max="33" width="9.25"/>
    <col customWidth="1" min="34" max="34" width="10.38"/>
    <col customWidth="1" min="35" max="36" width="8.25"/>
    <col customWidth="1" min="37" max="39" width="7.25"/>
  </cols>
  <sheetData>
    <row r="1" ht="69.0" customHeight="1">
      <c r="A1" s="1" t="s">
        <v>45</v>
      </c>
      <c r="B1" s="1" t="s">
        <v>96</v>
      </c>
      <c r="C1" s="1" t="s">
        <v>2</v>
      </c>
      <c r="D1" s="48" t="s">
        <v>78</v>
      </c>
      <c r="E1" s="57" t="s">
        <v>98</v>
      </c>
      <c r="F1" s="57" t="s">
        <v>5</v>
      </c>
      <c r="G1" s="57" t="s">
        <v>22</v>
      </c>
      <c r="H1" s="57" t="s">
        <v>14</v>
      </c>
      <c r="I1" s="57" t="s">
        <v>24</v>
      </c>
      <c r="J1" s="57" t="s">
        <v>12</v>
      </c>
      <c r="K1" s="57" t="s">
        <v>23</v>
      </c>
      <c r="L1" s="57" t="s">
        <v>7</v>
      </c>
      <c r="M1" s="57" t="s">
        <v>13</v>
      </c>
      <c r="N1" s="57" t="s">
        <v>17</v>
      </c>
      <c r="O1" s="57" t="s">
        <v>21</v>
      </c>
      <c r="P1" s="57" t="s">
        <v>19</v>
      </c>
      <c r="Q1" s="57" t="s">
        <v>4</v>
      </c>
      <c r="R1" s="57" t="s">
        <v>82</v>
      </c>
      <c r="S1" s="57" t="s">
        <v>83</v>
      </c>
      <c r="T1" s="57" t="s">
        <v>84</v>
      </c>
      <c r="U1" s="57" t="s">
        <v>85</v>
      </c>
      <c r="V1" s="57" t="s">
        <v>87</v>
      </c>
      <c r="W1" s="57" t="s">
        <v>88</v>
      </c>
      <c r="X1" s="57" t="s">
        <v>89</v>
      </c>
      <c r="Y1" s="57" t="s">
        <v>90</v>
      </c>
      <c r="Z1" s="57" t="s">
        <v>91</v>
      </c>
      <c r="AA1" s="57" t="s">
        <v>92</v>
      </c>
      <c r="AB1" s="6" t="s">
        <v>93</v>
      </c>
      <c r="AC1" s="6" t="s">
        <v>94</v>
      </c>
      <c r="AD1" s="6" t="s">
        <v>95</v>
      </c>
      <c r="AE1" s="6" t="s">
        <v>99</v>
      </c>
      <c r="AF1" s="7" t="s">
        <v>32</v>
      </c>
      <c r="AG1" s="7" t="s">
        <v>33</v>
      </c>
      <c r="AH1" s="7" t="s">
        <v>34</v>
      </c>
      <c r="AI1" s="7" t="s">
        <v>35</v>
      </c>
      <c r="AJ1" s="7" t="s">
        <v>36</v>
      </c>
      <c r="AK1" s="7" t="s">
        <v>37</v>
      </c>
      <c r="AL1" s="8" t="s">
        <v>38</v>
      </c>
      <c r="AM1" s="8" t="s">
        <v>39</v>
      </c>
    </row>
    <row r="2" ht="16.5" customHeight="1">
      <c r="A2" s="15">
        <v>10.0</v>
      </c>
      <c r="B2" s="20"/>
      <c r="C2" s="16" t="s">
        <v>66</v>
      </c>
      <c r="D2" s="22">
        <v>6.0</v>
      </c>
      <c r="E2" s="22">
        <v>8.0</v>
      </c>
      <c r="F2" s="22">
        <v>8.0</v>
      </c>
      <c r="G2" s="22">
        <v>8.0</v>
      </c>
      <c r="H2" s="22">
        <v>12.0</v>
      </c>
      <c r="I2" s="22"/>
      <c r="J2" s="22">
        <v>12.0</v>
      </c>
      <c r="K2" s="23"/>
      <c r="L2" s="22"/>
      <c r="M2" s="22">
        <v>12.0</v>
      </c>
      <c r="N2" s="22">
        <v>1.0</v>
      </c>
      <c r="O2" s="22"/>
      <c r="P2" s="23"/>
      <c r="Q2" s="23"/>
      <c r="R2" s="23"/>
      <c r="S2" s="22"/>
      <c r="T2" s="23"/>
      <c r="U2" s="22"/>
      <c r="V2" s="23"/>
      <c r="W2" s="23"/>
      <c r="X2" s="23"/>
      <c r="Y2" s="23"/>
      <c r="Z2" s="23"/>
      <c r="AA2" s="23"/>
      <c r="AB2" s="23"/>
      <c r="AC2" s="23"/>
      <c r="AD2" s="23"/>
      <c r="AE2" s="23"/>
      <c r="AF2" s="23">
        <f t="shared" ref="AF2:AF28" si="1">SUM(D2:AE2)</f>
        <v>67</v>
      </c>
      <c r="AG2" s="23">
        <f t="shared" ref="AG2:AG28" si="2">RANK(AF2, $AF$2:$AF$28)
</f>
        <v>1</v>
      </c>
      <c r="AH2" s="23">
        <f t="shared" ref="AH2:AH28" si="3">COUNTIF(E2:AF2, "&gt;0")</f>
        <v>8</v>
      </c>
      <c r="AI2" s="23">
        <f t="shared" ref="AI2:AI28" si="4">COUNTIF(D2:AF2, "12")</f>
        <v>3</v>
      </c>
      <c r="AJ2" s="23">
        <f t="shared" ref="AJ2:AJ28" si="5">COUNTIF(D2:AF2, "10")</f>
        <v>0</v>
      </c>
      <c r="AK2" s="23">
        <f t="shared" ref="AK2:AK28" si="6">COUNTIF(D2:AF2, "8")</f>
        <v>3</v>
      </c>
      <c r="AL2" s="24">
        <f t="shared" ref="AL2:AL28" si="7">VALUE(AF2 &amp; TEXT(AH2, "00") &amp; TEXT(AI2, "00") &amp; TEXT(AJ2, "00") &amp; TEXT(AK2, "00"))
</f>
        <v>6708030003</v>
      </c>
      <c r="AM2" s="23">
        <f t="shared" ref="AM2:AM28" si="8">RANK(AL2, $AL$2:$AL$28)
</f>
        <v>1</v>
      </c>
    </row>
    <row r="3" ht="16.5" customHeight="1">
      <c r="A3" s="15">
        <v>8.0</v>
      </c>
      <c r="B3" s="20"/>
      <c r="C3" s="16" t="s">
        <v>64</v>
      </c>
      <c r="D3" s="22">
        <v>6.0</v>
      </c>
      <c r="E3" s="22"/>
      <c r="F3" s="23"/>
      <c r="G3" s="22">
        <v>5.0</v>
      </c>
      <c r="H3" s="23"/>
      <c r="I3" s="22">
        <v>10.0</v>
      </c>
      <c r="J3" s="23"/>
      <c r="K3" s="22">
        <v>12.0</v>
      </c>
      <c r="L3" s="22">
        <v>10.0</v>
      </c>
      <c r="M3" s="22"/>
      <c r="N3" s="22">
        <v>4.0</v>
      </c>
      <c r="O3" s="22">
        <v>4.0</v>
      </c>
      <c r="P3" s="23"/>
      <c r="Q3" s="22"/>
      <c r="R3" s="23"/>
      <c r="S3" s="22"/>
      <c r="T3" s="23"/>
      <c r="U3" s="23"/>
      <c r="V3" s="23"/>
      <c r="W3" s="23"/>
      <c r="X3" s="23"/>
      <c r="Y3" s="23"/>
      <c r="Z3" s="23"/>
      <c r="AA3" s="23"/>
      <c r="AB3" s="23"/>
      <c r="AC3" s="23"/>
      <c r="AD3" s="23"/>
      <c r="AE3" s="23"/>
      <c r="AF3" s="23">
        <f t="shared" si="1"/>
        <v>51</v>
      </c>
      <c r="AG3" s="23">
        <f t="shared" si="2"/>
        <v>2</v>
      </c>
      <c r="AH3" s="23">
        <f t="shared" si="3"/>
        <v>7</v>
      </c>
      <c r="AI3" s="23">
        <f t="shared" si="4"/>
        <v>1</v>
      </c>
      <c r="AJ3" s="23">
        <f t="shared" si="5"/>
        <v>2</v>
      </c>
      <c r="AK3" s="23">
        <f t="shared" si="6"/>
        <v>0</v>
      </c>
      <c r="AL3" s="24">
        <f t="shared" si="7"/>
        <v>5107010200</v>
      </c>
      <c r="AM3" s="23">
        <f t="shared" si="8"/>
        <v>2</v>
      </c>
    </row>
    <row r="4" ht="16.5" customHeight="1">
      <c r="A4" s="58">
        <v>7.0</v>
      </c>
      <c r="B4" s="59"/>
      <c r="C4" s="60" t="s">
        <v>54</v>
      </c>
      <c r="D4" s="61">
        <v>6.0</v>
      </c>
      <c r="E4" s="61">
        <v>2.0</v>
      </c>
      <c r="F4" s="62"/>
      <c r="G4" s="61"/>
      <c r="H4" s="61">
        <v>10.0</v>
      </c>
      <c r="I4" s="61">
        <v>6.0</v>
      </c>
      <c r="J4" s="61"/>
      <c r="K4" s="61"/>
      <c r="L4" s="62"/>
      <c r="M4" s="61">
        <v>1.0</v>
      </c>
      <c r="N4" s="61"/>
      <c r="O4" s="61">
        <v>7.0</v>
      </c>
      <c r="P4" s="61">
        <v>6.0</v>
      </c>
      <c r="Q4" s="61">
        <v>10.0</v>
      </c>
      <c r="R4" s="61"/>
      <c r="S4" s="62"/>
      <c r="T4" s="62"/>
      <c r="U4" s="61"/>
      <c r="V4" s="62"/>
      <c r="W4" s="62"/>
      <c r="X4" s="62"/>
      <c r="Y4" s="62"/>
      <c r="Z4" s="62"/>
      <c r="AA4" s="62"/>
      <c r="AB4" s="62"/>
      <c r="AC4" s="62"/>
      <c r="AD4" s="62"/>
      <c r="AE4" s="62"/>
      <c r="AF4" s="62">
        <f t="shared" si="1"/>
        <v>48</v>
      </c>
      <c r="AG4" s="62">
        <f t="shared" si="2"/>
        <v>3</v>
      </c>
      <c r="AH4" s="62">
        <f t="shared" si="3"/>
        <v>8</v>
      </c>
      <c r="AI4" s="62">
        <f t="shared" si="4"/>
        <v>0</v>
      </c>
      <c r="AJ4" s="62">
        <f t="shared" si="5"/>
        <v>2</v>
      </c>
      <c r="AK4" s="62">
        <f t="shared" si="6"/>
        <v>0</v>
      </c>
      <c r="AL4" s="63">
        <f t="shared" si="7"/>
        <v>4808000200</v>
      </c>
      <c r="AM4" s="62">
        <f t="shared" si="8"/>
        <v>3</v>
      </c>
    </row>
    <row r="5" ht="16.5" customHeight="1">
      <c r="A5" s="15">
        <v>14.0</v>
      </c>
      <c r="B5" s="20"/>
      <c r="C5" s="16" t="s">
        <v>65</v>
      </c>
      <c r="D5" s="17">
        <v>6.0</v>
      </c>
      <c r="E5" s="17">
        <v>6.0</v>
      </c>
      <c r="F5" s="17"/>
      <c r="G5" s="17">
        <v>10.0</v>
      </c>
      <c r="H5" s="17">
        <v>7.0</v>
      </c>
      <c r="I5" s="17">
        <v>5.0</v>
      </c>
      <c r="J5" s="18"/>
      <c r="K5" s="17"/>
      <c r="L5" s="17">
        <v>5.0</v>
      </c>
      <c r="M5" s="17">
        <v>7.0</v>
      </c>
      <c r="N5" s="17"/>
      <c r="O5" s="17"/>
      <c r="P5" s="17"/>
      <c r="Q5" s="17"/>
      <c r="R5" s="17"/>
      <c r="S5" s="18"/>
      <c r="T5" s="17"/>
      <c r="U5" s="17"/>
      <c r="V5" s="18"/>
      <c r="W5" s="18"/>
      <c r="X5" s="18"/>
      <c r="Y5" s="18"/>
      <c r="Z5" s="18"/>
      <c r="AA5" s="18"/>
      <c r="AB5" s="18"/>
      <c r="AC5" s="18"/>
      <c r="AD5" s="18"/>
      <c r="AE5" s="18"/>
      <c r="AF5" s="18">
        <f t="shared" si="1"/>
        <v>46</v>
      </c>
      <c r="AG5" s="18">
        <f t="shared" si="2"/>
        <v>4</v>
      </c>
      <c r="AH5" s="18">
        <f t="shared" si="3"/>
        <v>7</v>
      </c>
      <c r="AI5" s="18">
        <f t="shared" si="4"/>
        <v>0</v>
      </c>
      <c r="AJ5" s="18">
        <f t="shared" si="5"/>
        <v>1</v>
      </c>
      <c r="AK5" s="18">
        <f t="shared" si="6"/>
        <v>0</v>
      </c>
      <c r="AL5" s="19">
        <f t="shared" si="7"/>
        <v>4607000100</v>
      </c>
      <c r="AM5" s="18">
        <f t="shared" si="8"/>
        <v>4</v>
      </c>
    </row>
    <row r="6" ht="16.5" customHeight="1">
      <c r="A6" s="15">
        <v>2.0</v>
      </c>
      <c r="B6" s="20"/>
      <c r="C6" s="16" t="s">
        <v>52</v>
      </c>
      <c r="D6" s="22"/>
      <c r="E6" s="22">
        <v>7.0</v>
      </c>
      <c r="F6" s="22">
        <v>7.0</v>
      </c>
      <c r="G6" s="22">
        <v>4.0</v>
      </c>
      <c r="H6" s="22">
        <v>4.0</v>
      </c>
      <c r="I6" s="23"/>
      <c r="J6" s="22">
        <v>4.0</v>
      </c>
      <c r="K6" s="23"/>
      <c r="L6" s="22">
        <v>2.0</v>
      </c>
      <c r="M6" s="22"/>
      <c r="N6" s="22">
        <v>3.0</v>
      </c>
      <c r="O6" s="22">
        <v>3.0</v>
      </c>
      <c r="P6" s="22">
        <v>3.0</v>
      </c>
      <c r="Q6" s="22">
        <v>7.0</v>
      </c>
      <c r="R6" s="23"/>
      <c r="S6" s="22"/>
      <c r="T6" s="23"/>
      <c r="U6" s="22"/>
      <c r="V6" s="23"/>
      <c r="W6" s="23"/>
      <c r="X6" s="23"/>
      <c r="Y6" s="23"/>
      <c r="Z6" s="23"/>
      <c r="AA6" s="23"/>
      <c r="AB6" s="23"/>
      <c r="AC6" s="23"/>
      <c r="AD6" s="23"/>
      <c r="AE6" s="23"/>
      <c r="AF6" s="23">
        <f t="shared" si="1"/>
        <v>44</v>
      </c>
      <c r="AG6" s="23">
        <f t="shared" si="2"/>
        <v>5</v>
      </c>
      <c r="AH6" s="23">
        <f t="shared" si="3"/>
        <v>11</v>
      </c>
      <c r="AI6" s="23">
        <f t="shared" si="4"/>
        <v>0</v>
      </c>
      <c r="AJ6" s="23">
        <f t="shared" si="5"/>
        <v>0</v>
      </c>
      <c r="AK6" s="23">
        <f t="shared" si="6"/>
        <v>0</v>
      </c>
      <c r="AL6" s="24">
        <f t="shared" si="7"/>
        <v>4411000000</v>
      </c>
      <c r="AM6" s="23">
        <f t="shared" si="8"/>
        <v>5</v>
      </c>
    </row>
    <row r="7" ht="16.5" customHeight="1">
      <c r="A7" s="15">
        <v>21.0</v>
      </c>
      <c r="B7" s="20"/>
      <c r="C7" s="16" t="s">
        <v>53</v>
      </c>
      <c r="D7" s="22">
        <v>6.0</v>
      </c>
      <c r="E7" s="22">
        <v>1.0</v>
      </c>
      <c r="F7" s="22">
        <v>5.0</v>
      </c>
      <c r="G7" s="22"/>
      <c r="H7" s="22"/>
      <c r="I7" s="22"/>
      <c r="J7" s="22">
        <v>7.0</v>
      </c>
      <c r="K7" s="22">
        <v>3.0</v>
      </c>
      <c r="L7" s="23"/>
      <c r="M7" s="23"/>
      <c r="N7" s="22"/>
      <c r="O7" s="22">
        <v>8.0</v>
      </c>
      <c r="P7" s="22">
        <v>4.0</v>
      </c>
      <c r="Q7" s="22">
        <v>8.0</v>
      </c>
      <c r="R7" s="22"/>
      <c r="S7" s="22"/>
      <c r="T7" s="23"/>
      <c r="U7" s="23"/>
      <c r="V7" s="23"/>
      <c r="W7" s="23"/>
      <c r="X7" s="23"/>
      <c r="Y7" s="23"/>
      <c r="Z7" s="23"/>
      <c r="AA7" s="23"/>
      <c r="AB7" s="23"/>
      <c r="AC7" s="23"/>
      <c r="AD7" s="23"/>
      <c r="AE7" s="23"/>
      <c r="AF7" s="23">
        <f t="shared" si="1"/>
        <v>42</v>
      </c>
      <c r="AG7" s="23">
        <f t="shared" si="2"/>
        <v>6</v>
      </c>
      <c r="AH7" s="23">
        <f t="shared" si="3"/>
        <v>8</v>
      </c>
      <c r="AI7" s="23">
        <f t="shared" si="4"/>
        <v>0</v>
      </c>
      <c r="AJ7" s="23">
        <f t="shared" si="5"/>
        <v>0</v>
      </c>
      <c r="AK7" s="23">
        <f t="shared" si="6"/>
        <v>2</v>
      </c>
      <c r="AL7" s="24">
        <f t="shared" si="7"/>
        <v>4208000002</v>
      </c>
      <c r="AM7" s="23">
        <f t="shared" si="8"/>
        <v>6</v>
      </c>
    </row>
    <row r="8" ht="16.5" customHeight="1">
      <c r="A8" s="15">
        <v>11.0</v>
      </c>
      <c r="B8" s="20"/>
      <c r="C8" s="16" t="s">
        <v>62</v>
      </c>
      <c r="D8" s="22"/>
      <c r="E8" s="22">
        <v>10.0</v>
      </c>
      <c r="F8" s="22">
        <v>10.0</v>
      </c>
      <c r="G8" s="22">
        <v>1.0</v>
      </c>
      <c r="H8" s="22">
        <v>2.0</v>
      </c>
      <c r="I8" s="22">
        <v>1.0</v>
      </c>
      <c r="J8" s="22">
        <v>5.0</v>
      </c>
      <c r="K8" s="22">
        <v>5.0</v>
      </c>
      <c r="L8" s="22">
        <v>7.0</v>
      </c>
      <c r="M8" s="22"/>
      <c r="N8" s="22"/>
      <c r="O8" s="22"/>
      <c r="P8" s="22"/>
      <c r="Q8" s="22"/>
      <c r="R8" s="23"/>
      <c r="S8" s="22"/>
      <c r="T8" s="22"/>
      <c r="U8" s="23"/>
      <c r="V8" s="23"/>
      <c r="W8" s="23"/>
      <c r="X8" s="23"/>
      <c r="Y8" s="23"/>
      <c r="Z8" s="23"/>
      <c r="AA8" s="23"/>
      <c r="AB8" s="23"/>
      <c r="AC8" s="23"/>
      <c r="AD8" s="23"/>
      <c r="AE8" s="23"/>
      <c r="AF8" s="23">
        <f t="shared" si="1"/>
        <v>41</v>
      </c>
      <c r="AG8" s="23">
        <f t="shared" si="2"/>
        <v>7</v>
      </c>
      <c r="AH8" s="23">
        <f t="shared" si="3"/>
        <v>9</v>
      </c>
      <c r="AI8" s="23">
        <f t="shared" si="4"/>
        <v>0</v>
      </c>
      <c r="AJ8" s="23">
        <f t="shared" si="5"/>
        <v>2</v>
      </c>
      <c r="AK8" s="23">
        <f t="shared" si="6"/>
        <v>0</v>
      </c>
      <c r="AL8" s="24">
        <f t="shared" si="7"/>
        <v>4109000200</v>
      </c>
      <c r="AM8" s="23">
        <f t="shared" si="8"/>
        <v>7</v>
      </c>
    </row>
    <row r="9" ht="16.5" customHeight="1">
      <c r="A9" s="15">
        <v>9.0</v>
      </c>
      <c r="B9" s="55"/>
      <c r="C9" s="16" t="s">
        <v>68</v>
      </c>
      <c r="D9" s="22"/>
      <c r="E9" s="23"/>
      <c r="F9" s="23"/>
      <c r="G9" s="22">
        <v>3.0</v>
      </c>
      <c r="H9" s="23"/>
      <c r="I9" s="22"/>
      <c r="J9" s="22"/>
      <c r="K9" s="23"/>
      <c r="L9" s="22">
        <v>1.0</v>
      </c>
      <c r="M9" s="22"/>
      <c r="N9" s="22"/>
      <c r="O9" s="22">
        <v>12.0</v>
      </c>
      <c r="P9" s="22">
        <v>12.0</v>
      </c>
      <c r="Q9" s="22">
        <v>12.0</v>
      </c>
      <c r="R9" s="22"/>
      <c r="S9" s="22"/>
      <c r="T9" s="23"/>
      <c r="U9" s="23"/>
      <c r="V9" s="23"/>
      <c r="W9" s="23"/>
      <c r="X9" s="23"/>
      <c r="Y9" s="23"/>
      <c r="Z9" s="23"/>
      <c r="AA9" s="23"/>
      <c r="AB9" s="23"/>
      <c r="AC9" s="23"/>
      <c r="AD9" s="23"/>
      <c r="AE9" s="23"/>
      <c r="AF9" s="23">
        <f t="shared" si="1"/>
        <v>40</v>
      </c>
      <c r="AG9" s="23">
        <f t="shared" si="2"/>
        <v>8</v>
      </c>
      <c r="AH9" s="23">
        <f t="shared" si="3"/>
        <v>6</v>
      </c>
      <c r="AI9" s="23">
        <f t="shared" si="4"/>
        <v>3</v>
      </c>
      <c r="AJ9" s="23">
        <f t="shared" si="5"/>
        <v>0</v>
      </c>
      <c r="AK9" s="23">
        <f t="shared" si="6"/>
        <v>0</v>
      </c>
      <c r="AL9" s="24">
        <f t="shared" si="7"/>
        <v>4006030000</v>
      </c>
      <c r="AM9" s="23">
        <f t="shared" si="8"/>
        <v>8</v>
      </c>
    </row>
    <row r="10" ht="16.5" customHeight="1">
      <c r="A10" s="26">
        <v>26.0</v>
      </c>
      <c r="B10" s="20"/>
      <c r="C10" s="16" t="s">
        <v>56</v>
      </c>
      <c r="D10" s="22"/>
      <c r="E10" s="22"/>
      <c r="F10" s="22"/>
      <c r="G10" s="23"/>
      <c r="H10" s="22"/>
      <c r="I10" s="22">
        <v>7.0</v>
      </c>
      <c r="J10" s="22"/>
      <c r="K10" s="22">
        <v>10.0</v>
      </c>
      <c r="L10" s="22">
        <v>12.0</v>
      </c>
      <c r="M10" s="22"/>
      <c r="N10" s="22">
        <v>10.0</v>
      </c>
      <c r="O10" s="23"/>
      <c r="P10" s="23"/>
      <c r="Q10" s="22"/>
      <c r="R10" s="23"/>
      <c r="S10" s="23"/>
      <c r="T10" s="23"/>
      <c r="U10" s="23"/>
      <c r="V10" s="23"/>
      <c r="W10" s="23"/>
      <c r="X10" s="23"/>
      <c r="Y10" s="23"/>
      <c r="Z10" s="23"/>
      <c r="AA10" s="23"/>
      <c r="AB10" s="23"/>
      <c r="AC10" s="23"/>
      <c r="AD10" s="23"/>
      <c r="AE10" s="23"/>
      <c r="AF10" s="23">
        <f t="shared" si="1"/>
        <v>39</v>
      </c>
      <c r="AG10" s="23">
        <f t="shared" si="2"/>
        <v>9</v>
      </c>
      <c r="AH10" s="23">
        <f t="shared" si="3"/>
        <v>5</v>
      </c>
      <c r="AI10" s="23">
        <f t="shared" si="4"/>
        <v>1</v>
      </c>
      <c r="AJ10" s="23">
        <f t="shared" si="5"/>
        <v>2</v>
      </c>
      <c r="AK10" s="23">
        <f t="shared" si="6"/>
        <v>0</v>
      </c>
      <c r="AL10" s="24">
        <f t="shared" si="7"/>
        <v>3905010200</v>
      </c>
      <c r="AM10" s="23">
        <f t="shared" si="8"/>
        <v>10</v>
      </c>
    </row>
    <row r="11" ht="16.5" customHeight="1">
      <c r="A11" s="15">
        <v>5.0</v>
      </c>
      <c r="B11" s="20"/>
      <c r="C11" s="16" t="s">
        <v>67</v>
      </c>
      <c r="D11" s="22"/>
      <c r="E11" s="22">
        <v>5.0</v>
      </c>
      <c r="F11" s="22"/>
      <c r="G11" s="22">
        <v>6.0</v>
      </c>
      <c r="H11" s="23"/>
      <c r="I11" s="22">
        <v>12.0</v>
      </c>
      <c r="J11" s="22">
        <v>1.0</v>
      </c>
      <c r="K11" s="22">
        <v>7.0</v>
      </c>
      <c r="L11" s="22">
        <v>8.0</v>
      </c>
      <c r="M11" s="22"/>
      <c r="N11" s="23"/>
      <c r="O11" s="23"/>
      <c r="P11" s="22"/>
      <c r="Q11" s="22"/>
      <c r="R11" s="22"/>
      <c r="S11" s="22"/>
      <c r="T11" s="22"/>
      <c r="U11" s="22"/>
      <c r="V11" s="23"/>
      <c r="W11" s="23"/>
      <c r="X11" s="23"/>
      <c r="Y11" s="23"/>
      <c r="Z11" s="23"/>
      <c r="AA11" s="23"/>
      <c r="AB11" s="22"/>
      <c r="AC11" s="23"/>
      <c r="AD11" s="23"/>
      <c r="AE11" s="23"/>
      <c r="AF11" s="23">
        <f t="shared" si="1"/>
        <v>39</v>
      </c>
      <c r="AG11" s="23">
        <f t="shared" si="2"/>
        <v>9</v>
      </c>
      <c r="AH11" s="23">
        <f t="shared" si="3"/>
        <v>7</v>
      </c>
      <c r="AI11" s="23">
        <f t="shared" si="4"/>
        <v>1</v>
      </c>
      <c r="AJ11" s="23">
        <f t="shared" si="5"/>
        <v>0</v>
      </c>
      <c r="AK11" s="23">
        <f t="shared" si="6"/>
        <v>1</v>
      </c>
      <c r="AL11" s="24">
        <f t="shared" si="7"/>
        <v>3907010001</v>
      </c>
      <c r="AM11" s="23">
        <f t="shared" si="8"/>
        <v>9</v>
      </c>
    </row>
    <row r="12" ht="16.5" customHeight="1">
      <c r="A12" s="15">
        <v>16.0</v>
      </c>
      <c r="B12" s="20"/>
      <c r="C12" s="16" t="s">
        <v>57</v>
      </c>
      <c r="D12" s="22"/>
      <c r="E12" s="22">
        <v>3.0</v>
      </c>
      <c r="F12" s="22">
        <v>3.0</v>
      </c>
      <c r="G12" s="22">
        <v>7.0</v>
      </c>
      <c r="H12" s="22">
        <v>8.0</v>
      </c>
      <c r="I12" s="23"/>
      <c r="J12" s="22"/>
      <c r="K12" s="22"/>
      <c r="L12" s="22"/>
      <c r="M12" s="23"/>
      <c r="N12" s="22"/>
      <c r="O12" s="22"/>
      <c r="P12" s="22">
        <v>10.0</v>
      </c>
      <c r="Q12" s="22">
        <v>6.0</v>
      </c>
      <c r="R12" s="22"/>
      <c r="S12" s="23"/>
      <c r="T12" s="22"/>
      <c r="U12" s="23"/>
      <c r="V12" s="23"/>
      <c r="W12" s="23"/>
      <c r="X12" s="23"/>
      <c r="Y12" s="23"/>
      <c r="Z12" s="23"/>
      <c r="AA12" s="23"/>
      <c r="AB12" s="23"/>
      <c r="AC12" s="23"/>
      <c r="AD12" s="23"/>
      <c r="AE12" s="23"/>
      <c r="AF12" s="23">
        <f t="shared" si="1"/>
        <v>37</v>
      </c>
      <c r="AG12" s="23">
        <f t="shared" si="2"/>
        <v>11</v>
      </c>
      <c r="AH12" s="23">
        <f t="shared" si="3"/>
        <v>7</v>
      </c>
      <c r="AI12" s="23">
        <f t="shared" si="4"/>
        <v>0</v>
      </c>
      <c r="AJ12" s="23">
        <f t="shared" si="5"/>
        <v>1</v>
      </c>
      <c r="AK12" s="23">
        <f t="shared" si="6"/>
        <v>1</v>
      </c>
      <c r="AL12" s="24">
        <f t="shared" si="7"/>
        <v>3707000101</v>
      </c>
      <c r="AM12" s="23">
        <f t="shared" si="8"/>
        <v>11</v>
      </c>
    </row>
    <row r="13" ht="16.5" customHeight="1">
      <c r="A13" s="15">
        <v>4.0</v>
      </c>
      <c r="B13" s="20"/>
      <c r="C13" s="16" t="s">
        <v>70</v>
      </c>
      <c r="D13" s="22"/>
      <c r="E13" s="22">
        <v>12.0</v>
      </c>
      <c r="F13" s="22">
        <v>2.0</v>
      </c>
      <c r="G13" s="22">
        <v>12.0</v>
      </c>
      <c r="H13" s="22"/>
      <c r="I13" s="22"/>
      <c r="J13" s="22"/>
      <c r="K13" s="23"/>
      <c r="L13" s="22"/>
      <c r="M13" s="22">
        <v>3.0</v>
      </c>
      <c r="N13" s="23"/>
      <c r="O13" s="22">
        <v>6.0</v>
      </c>
      <c r="P13" s="22"/>
      <c r="Q13" s="22"/>
      <c r="R13" s="22"/>
      <c r="S13" s="23"/>
      <c r="T13" s="23"/>
      <c r="U13" s="22"/>
      <c r="V13" s="23"/>
      <c r="W13" s="23"/>
      <c r="X13" s="23"/>
      <c r="Y13" s="23"/>
      <c r="Z13" s="23"/>
      <c r="AA13" s="23"/>
      <c r="AB13" s="22"/>
      <c r="AC13" s="23"/>
      <c r="AD13" s="23"/>
      <c r="AE13" s="23"/>
      <c r="AF13" s="23">
        <f t="shared" si="1"/>
        <v>35</v>
      </c>
      <c r="AG13" s="23">
        <f t="shared" si="2"/>
        <v>12</v>
      </c>
      <c r="AH13" s="23">
        <f t="shared" si="3"/>
        <v>6</v>
      </c>
      <c r="AI13" s="23">
        <f t="shared" si="4"/>
        <v>2</v>
      </c>
      <c r="AJ13" s="23">
        <f t="shared" si="5"/>
        <v>0</v>
      </c>
      <c r="AK13" s="23">
        <f t="shared" si="6"/>
        <v>0</v>
      </c>
      <c r="AL13" s="24">
        <f t="shared" si="7"/>
        <v>3506020000</v>
      </c>
      <c r="AM13" s="23">
        <f t="shared" si="8"/>
        <v>12</v>
      </c>
    </row>
    <row r="14" ht="16.5" customHeight="1">
      <c r="A14" s="26">
        <v>25.0</v>
      </c>
      <c r="B14" s="20"/>
      <c r="C14" s="16" t="s">
        <v>50</v>
      </c>
      <c r="D14" s="22"/>
      <c r="E14" s="22">
        <v>4.0</v>
      </c>
      <c r="F14" s="22">
        <v>12.0</v>
      </c>
      <c r="G14" s="22"/>
      <c r="H14" s="23"/>
      <c r="I14" s="22">
        <v>3.0</v>
      </c>
      <c r="J14" s="23"/>
      <c r="K14" s="22"/>
      <c r="L14" s="22">
        <v>4.0</v>
      </c>
      <c r="M14" s="22"/>
      <c r="N14" s="22"/>
      <c r="O14" s="22">
        <v>10.0</v>
      </c>
      <c r="P14" s="22"/>
      <c r="Q14" s="22"/>
      <c r="R14" s="22"/>
      <c r="S14" s="22"/>
      <c r="T14" s="23"/>
      <c r="U14" s="23"/>
      <c r="V14" s="23"/>
      <c r="W14" s="23"/>
      <c r="X14" s="23"/>
      <c r="Y14" s="23"/>
      <c r="Z14" s="23"/>
      <c r="AA14" s="23"/>
      <c r="AB14" s="23"/>
      <c r="AC14" s="23"/>
      <c r="AD14" s="23"/>
      <c r="AE14" s="23"/>
      <c r="AF14" s="23">
        <f t="shared" si="1"/>
        <v>33</v>
      </c>
      <c r="AG14" s="23">
        <f t="shared" si="2"/>
        <v>13</v>
      </c>
      <c r="AH14" s="23">
        <f t="shared" si="3"/>
        <v>6</v>
      </c>
      <c r="AI14" s="23">
        <f t="shared" si="4"/>
        <v>1</v>
      </c>
      <c r="AJ14" s="23">
        <f t="shared" si="5"/>
        <v>1</v>
      </c>
      <c r="AK14" s="23">
        <f t="shared" si="6"/>
        <v>0</v>
      </c>
      <c r="AL14" s="24">
        <f t="shared" si="7"/>
        <v>3306010100</v>
      </c>
      <c r="AM14" s="23">
        <f t="shared" si="8"/>
        <v>13</v>
      </c>
    </row>
    <row r="15" ht="16.5" customHeight="1">
      <c r="A15" s="15">
        <v>17.0</v>
      </c>
      <c r="B15" s="20"/>
      <c r="C15" s="16" t="s">
        <v>69</v>
      </c>
      <c r="D15" s="22">
        <v>6.0</v>
      </c>
      <c r="E15" s="22"/>
      <c r="F15" s="22">
        <v>6.0</v>
      </c>
      <c r="G15" s="22"/>
      <c r="H15" s="23"/>
      <c r="I15" s="23"/>
      <c r="J15" s="22">
        <v>3.0</v>
      </c>
      <c r="K15" s="22"/>
      <c r="L15" s="23"/>
      <c r="M15" s="22">
        <v>6.0</v>
      </c>
      <c r="N15" s="23"/>
      <c r="O15" s="22"/>
      <c r="P15" s="22">
        <v>7.0</v>
      </c>
      <c r="Q15" s="22">
        <v>2.0</v>
      </c>
      <c r="R15" s="22"/>
      <c r="S15" s="23"/>
      <c r="T15" s="23"/>
      <c r="U15" s="23"/>
      <c r="V15" s="23"/>
      <c r="W15" s="23"/>
      <c r="X15" s="23"/>
      <c r="Y15" s="23"/>
      <c r="Z15" s="23"/>
      <c r="AA15" s="23"/>
      <c r="AB15" s="23"/>
      <c r="AC15" s="23"/>
      <c r="AD15" s="23"/>
      <c r="AE15" s="23"/>
      <c r="AF15" s="23">
        <f t="shared" si="1"/>
        <v>30</v>
      </c>
      <c r="AG15" s="23">
        <f t="shared" si="2"/>
        <v>14</v>
      </c>
      <c r="AH15" s="23">
        <f t="shared" si="3"/>
        <v>6</v>
      </c>
      <c r="AI15" s="23">
        <f t="shared" si="4"/>
        <v>0</v>
      </c>
      <c r="AJ15" s="23">
        <f t="shared" si="5"/>
        <v>0</v>
      </c>
      <c r="AK15" s="23">
        <f t="shared" si="6"/>
        <v>0</v>
      </c>
      <c r="AL15" s="24">
        <f t="shared" si="7"/>
        <v>3006000000</v>
      </c>
      <c r="AM15" s="23">
        <f t="shared" si="8"/>
        <v>14</v>
      </c>
    </row>
    <row r="16" ht="16.5" customHeight="1">
      <c r="A16" s="15">
        <v>22.0</v>
      </c>
      <c r="B16" s="20"/>
      <c r="C16" s="16" t="s">
        <v>71</v>
      </c>
      <c r="D16" s="22">
        <v>6.0</v>
      </c>
      <c r="E16" s="23"/>
      <c r="F16" s="22"/>
      <c r="G16" s="22"/>
      <c r="H16" s="22"/>
      <c r="I16" s="23"/>
      <c r="J16" s="22"/>
      <c r="K16" s="22"/>
      <c r="L16" s="23"/>
      <c r="M16" s="23"/>
      <c r="N16" s="22">
        <v>12.0</v>
      </c>
      <c r="O16" s="22"/>
      <c r="P16" s="22">
        <v>8.0</v>
      </c>
      <c r="Q16" s="22">
        <v>3.0</v>
      </c>
      <c r="R16" s="22"/>
      <c r="S16" s="23"/>
      <c r="T16" s="23"/>
      <c r="U16" s="23"/>
      <c r="V16" s="23"/>
      <c r="W16" s="23"/>
      <c r="X16" s="23"/>
      <c r="Y16" s="23"/>
      <c r="Z16" s="23"/>
      <c r="AA16" s="23"/>
      <c r="AB16" s="23"/>
      <c r="AC16" s="23"/>
      <c r="AD16" s="23"/>
      <c r="AE16" s="23"/>
      <c r="AF16" s="23">
        <f t="shared" si="1"/>
        <v>29</v>
      </c>
      <c r="AG16" s="23">
        <f t="shared" si="2"/>
        <v>15</v>
      </c>
      <c r="AH16" s="23">
        <f t="shared" si="3"/>
        <v>4</v>
      </c>
      <c r="AI16" s="23">
        <f t="shared" si="4"/>
        <v>1</v>
      </c>
      <c r="AJ16" s="23">
        <f t="shared" si="5"/>
        <v>0</v>
      </c>
      <c r="AK16" s="23">
        <f t="shared" si="6"/>
        <v>1</v>
      </c>
      <c r="AL16" s="24">
        <f t="shared" si="7"/>
        <v>2904010001</v>
      </c>
      <c r="AM16" s="23">
        <f t="shared" si="8"/>
        <v>15</v>
      </c>
    </row>
    <row r="17" ht="16.5" customHeight="1">
      <c r="A17" s="15">
        <v>18.0</v>
      </c>
      <c r="B17" s="21"/>
      <c r="C17" s="16" t="s">
        <v>72</v>
      </c>
      <c r="D17" s="23"/>
      <c r="E17" s="22"/>
      <c r="F17" s="23"/>
      <c r="G17" s="22"/>
      <c r="H17" s="22"/>
      <c r="I17" s="22">
        <v>4.0</v>
      </c>
      <c r="J17" s="23"/>
      <c r="K17" s="22">
        <v>8.0</v>
      </c>
      <c r="L17" s="23"/>
      <c r="M17" s="23"/>
      <c r="N17" s="22">
        <v>8.0</v>
      </c>
      <c r="O17" s="22">
        <v>1.0</v>
      </c>
      <c r="P17" s="22">
        <v>5.0</v>
      </c>
      <c r="Q17" s="22"/>
      <c r="R17" s="22"/>
      <c r="S17" s="22"/>
      <c r="T17" s="23"/>
      <c r="U17" s="23"/>
      <c r="V17" s="23"/>
      <c r="W17" s="23"/>
      <c r="X17" s="23"/>
      <c r="Y17" s="23"/>
      <c r="Z17" s="23"/>
      <c r="AA17" s="23"/>
      <c r="AB17" s="23"/>
      <c r="AC17" s="23"/>
      <c r="AD17" s="23"/>
      <c r="AE17" s="23"/>
      <c r="AF17" s="23">
        <f t="shared" si="1"/>
        <v>26</v>
      </c>
      <c r="AG17" s="23">
        <f t="shared" si="2"/>
        <v>16</v>
      </c>
      <c r="AH17" s="23">
        <f t="shared" si="3"/>
        <v>6</v>
      </c>
      <c r="AI17" s="23">
        <f t="shared" si="4"/>
        <v>0</v>
      </c>
      <c r="AJ17" s="23">
        <f t="shared" si="5"/>
        <v>0</v>
      </c>
      <c r="AK17" s="23">
        <f t="shared" si="6"/>
        <v>2</v>
      </c>
      <c r="AL17" s="24">
        <f t="shared" si="7"/>
        <v>2606000002</v>
      </c>
      <c r="AM17" s="23">
        <f t="shared" si="8"/>
        <v>16</v>
      </c>
    </row>
    <row r="18" ht="16.5" customHeight="1">
      <c r="A18" s="26">
        <v>24.0</v>
      </c>
      <c r="B18" s="20"/>
      <c r="C18" s="16" t="s">
        <v>47</v>
      </c>
      <c r="D18" s="22"/>
      <c r="E18" s="22"/>
      <c r="F18" s="22"/>
      <c r="G18" s="22"/>
      <c r="H18" s="22">
        <v>3.0</v>
      </c>
      <c r="I18" s="22"/>
      <c r="J18" s="23"/>
      <c r="K18" s="22">
        <v>4.0</v>
      </c>
      <c r="L18" s="23"/>
      <c r="M18" s="22">
        <v>10.0</v>
      </c>
      <c r="N18" s="22">
        <v>7.0</v>
      </c>
      <c r="O18" s="22"/>
      <c r="P18" s="23"/>
      <c r="Q18" s="23"/>
      <c r="R18" s="22"/>
      <c r="S18" s="22"/>
      <c r="T18" s="23"/>
      <c r="U18" s="23"/>
      <c r="V18" s="23"/>
      <c r="W18" s="23"/>
      <c r="X18" s="23"/>
      <c r="Y18" s="23"/>
      <c r="Z18" s="23"/>
      <c r="AA18" s="23"/>
      <c r="AB18" s="23"/>
      <c r="AC18" s="23"/>
      <c r="AD18" s="23"/>
      <c r="AE18" s="23"/>
      <c r="AF18" s="23">
        <f t="shared" si="1"/>
        <v>24</v>
      </c>
      <c r="AG18" s="23">
        <f t="shared" si="2"/>
        <v>17</v>
      </c>
      <c r="AH18" s="23">
        <f t="shared" si="3"/>
        <v>5</v>
      </c>
      <c r="AI18" s="23">
        <f t="shared" si="4"/>
        <v>0</v>
      </c>
      <c r="AJ18" s="23">
        <f t="shared" si="5"/>
        <v>1</v>
      </c>
      <c r="AK18" s="23">
        <f t="shared" si="6"/>
        <v>0</v>
      </c>
      <c r="AL18" s="24">
        <f t="shared" si="7"/>
        <v>2405000100</v>
      </c>
      <c r="AM18" s="23">
        <f t="shared" si="8"/>
        <v>17</v>
      </c>
    </row>
    <row r="19" ht="16.5" customHeight="1">
      <c r="A19" s="15">
        <v>13.0</v>
      </c>
      <c r="B19" s="20"/>
      <c r="C19" s="16" t="s">
        <v>48</v>
      </c>
      <c r="D19" s="22"/>
      <c r="E19" s="22"/>
      <c r="F19" s="22"/>
      <c r="G19" s="22"/>
      <c r="H19" s="22">
        <v>1.0</v>
      </c>
      <c r="I19" s="22">
        <v>2.0</v>
      </c>
      <c r="J19" s="22">
        <v>10.0</v>
      </c>
      <c r="K19" s="22">
        <v>6.0</v>
      </c>
      <c r="L19" s="22">
        <v>3.0</v>
      </c>
      <c r="M19" s="22"/>
      <c r="N19" s="22"/>
      <c r="O19" s="22"/>
      <c r="P19" s="22"/>
      <c r="Q19" s="22"/>
      <c r="R19" s="23"/>
      <c r="S19" s="23"/>
      <c r="T19" s="22"/>
      <c r="U19" s="23"/>
      <c r="V19" s="23"/>
      <c r="W19" s="23"/>
      <c r="X19" s="23"/>
      <c r="Y19" s="23"/>
      <c r="Z19" s="23"/>
      <c r="AA19" s="23"/>
      <c r="AB19" s="23"/>
      <c r="AC19" s="23"/>
      <c r="AD19" s="23"/>
      <c r="AE19" s="23"/>
      <c r="AF19" s="23">
        <f t="shared" si="1"/>
        <v>22</v>
      </c>
      <c r="AG19" s="23">
        <f t="shared" si="2"/>
        <v>18</v>
      </c>
      <c r="AH19" s="23">
        <f t="shared" si="3"/>
        <v>6</v>
      </c>
      <c r="AI19" s="23">
        <f t="shared" si="4"/>
        <v>0</v>
      </c>
      <c r="AJ19" s="23">
        <f t="shared" si="5"/>
        <v>1</v>
      </c>
      <c r="AK19" s="23">
        <f t="shared" si="6"/>
        <v>0</v>
      </c>
      <c r="AL19" s="24">
        <f t="shared" si="7"/>
        <v>2206000100</v>
      </c>
      <c r="AM19" s="23">
        <f t="shared" si="8"/>
        <v>18</v>
      </c>
    </row>
    <row r="20" ht="16.5" customHeight="1">
      <c r="A20" s="15">
        <v>15.0</v>
      </c>
      <c r="B20" s="20"/>
      <c r="C20" s="16" t="s">
        <v>60</v>
      </c>
      <c r="D20" s="22"/>
      <c r="E20" s="23"/>
      <c r="F20" s="22"/>
      <c r="G20" s="22"/>
      <c r="H20" s="22">
        <v>6.0</v>
      </c>
      <c r="I20" s="22"/>
      <c r="J20" s="22"/>
      <c r="K20" s="23"/>
      <c r="L20" s="22"/>
      <c r="M20" s="22">
        <v>8.0</v>
      </c>
      <c r="N20" s="22">
        <v>6.0</v>
      </c>
      <c r="O20" s="22"/>
      <c r="P20" s="23"/>
      <c r="Q20" s="22"/>
      <c r="R20" s="23"/>
      <c r="S20" s="22"/>
      <c r="T20" s="23"/>
      <c r="U20" s="23"/>
      <c r="V20" s="23"/>
      <c r="W20" s="23"/>
      <c r="X20" s="23"/>
      <c r="Y20" s="23"/>
      <c r="Z20" s="23"/>
      <c r="AA20" s="23"/>
      <c r="AB20" s="23"/>
      <c r="AC20" s="23"/>
      <c r="AD20" s="23"/>
      <c r="AE20" s="23"/>
      <c r="AF20" s="23">
        <f t="shared" si="1"/>
        <v>20</v>
      </c>
      <c r="AG20" s="23">
        <f t="shared" si="2"/>
        <v>19</v>
      </c>
      <c r="AH20" s="23">
        <f t="shared" si="3"/>
        <v>4</v>
      </c>
      <c r="AI20" s="23">
        <f t="shared" si="4"/>
        <v>0</v>
      </c>
      <c r="AJ20" s="23">
        <f t="shared" si="5"/>
        <v>0</v>
      </c>
      <c r="AK20" s="23">
        <f t="shared" si="6"/>
        <v>1</v>
      </c>
      <c r="AL20" s="24">
        <f t="shared" si="7"/>
        <v>2004000001</v>
      </c>
      <c r="AM20" s="23">
        <f t="shared" si="8"/>
        <v>19</v>
      </c>
    </row>
    <row r="21" ht="16.5" customHeight="1">
      <c r="A21" s="15">
        <v>12.0</v>
      </c>
      <c r="B21" s="20"/>
      <c r="C21" s="16" t="s">
        <v>61</v>
      </c>
      <c r="D21" s="22">
        <v>6.0</v>
      </c>
      <c r="E21" s="23"/>
      <c r="F21" s="23"/>
      <c r="G21" s="22"/>
      <c r="H21" s="22"/>
      <c r="I21" s="22">
        <v>8.0</v>
      </c>
      <c r="J21" s="23"/>
      <c r="K21" s="22">
        <v>2.0</v>
      </c>
      <c r="L21" s="22"/>
      <c r="M21" s="22"/>
      <c r="N21" s="22">
        <v>2.0</v>
      </c>
      <c r="O21" s="22"/>
      <c r="P21" s="22"/>
      <c r="Q21" s="22"/>
      <c r="R21" s="22"/>
      <c r="S21" s="22"/>
      <c r="T21" s="22"/>
      <c r="U21" s="22"/>
      <c r="V21" s="23"/>
      <c r="W21" s="23"/>
      <c r="X21" s="23"/>
      <c r="Y21" s="23"/>
      <c r="Z21" s="23"/>
      <c r="AA21" s="23"/>
      <c r="AB21" s="23"/>
      <c r="AC21" s="23"/>
      <c r="AD21" s="23"/>
      <c r="AE21" s="23"/>
      <c r="AF21" s="23">
        <f t="shared" si="1"/>
        <v>18</v>
      </c>
      <c r="AG21" s="23">
        <f t="shared" si="2"/>
        <v>20</v>
      </c>
      <c r="AH21" s="23">
        <f t="shared" si="3"/>
        <v>4</v>
      </c>
      <c r="AI21" s="23">
        <f t="shared" si="4"/>
        <v>0</v>
      </c>
      <c r="AJ21" s="23">
        <f t="shared" si="5"/>
        <v>0</v>
      </c>
      <c r="AK21" s="23">
        <f t="shared" si="6"/>
        <v>1</v>
      </c>
      <c r="AL21" s="24">
        <f t="shared" si="7"/>
        <v>1804000001</v>
      </c>
      <c r="AM21" s="23">
        <f t="shared" si="8"/>
        <v>20</v>
      </c>
    </row>
    <row r="22" ht="16.5" customHeight="1">
      <c r="A22" s="15">
        <v>1.0</v>
      </c>
      <c r="B22" s="20"/>
      <c r="C22" s="16" t="s">
        <v>55</v>
      </c>
      <c r="D22" s="17">
        <v>6.0</v>
      </c>
      <c r="E22" s="17"/>
      <c r="F22" s="17"/>
      <c r="G22" s="17"/>
      <c r="H22" s="18"/>
      <c r="I22" s="17"/>
      <c r="J22" s="18"/>
      <c r="K22" s="17"/>
      <c r="L22" s="17"/>
      <c r="M22" s="17">
        <v>5.0</v>
      </c>
      <c r="N22" s="17"/>
      <c r="O22" s="17">
        <v>2.0</v>
      </c>
      <c r="P22" s="17"/>
      <c r="Q22" s="17">
        <v>4.0</v>
      </c>
      <c r="R22" s="17"/>
      <c r="S22" s="18"/>
      <c r="T22" s="17"/>
      <c r="U22" s="17"/>
      <c r="V22" s="18"/>
      <c r="W22" s="18"/>
      <c r="X22" s="18"/>
      <c r="Y22" s="18"/>
      <c r="Z22" s="18"/>
      <c r="AA22" s="18"/>
      <c r="AB22" s="17"/>
      <c r="AC22" s="18"/>
      <c r="AD22" s="18"/>
      <c r="AE22" s="18"/>
      <c r="AF22" s="18">
        <f t="shared" si="1"/>
        <v>17</v>
      </c>
      <c r="AG22" s="18">
        <f t="shared" si="2"/>
        <v>21</v>
      </c>
      <c r="AH22" s="18">
        <f t="shared" si="3"/>
        <v>4</v>
      </c>
      <c r="AI22" s="18">
        <f t="shared" si="4"/>
        <v>0</v>
      </c>
      <c r="AJ22" s="18">
        <f t="shared" si="5"/>
        <v>0</v>
      </c>
      <c r="AK22" s="18">
        <f t="shared" si="6"/>
        <v>0</v>
      </c>
      <c r="AL22" s="19">
        <f t="shared" si="7"/>
        <v>1704000000</v>
      </c>
      <c r="AM22" s="18">
        <f t="shared" si="8"/>
        <v>21</v>
      </c>
    </row>
    <row r="23" ht="16.5" customHeight="1">
      <c r="A23" s="15">
        <v>23.0</v>
      </c>
      <c r="B23" s="20"/>
      <c r="C23" s="16" t="s">
        <v>49</v>
      </c>
      <c r="D23" s="22"/>
      <c r="E23" s="22"/>
      <c r="F23" s="23"/>
      <c r="G23" s="22">
        <v>2.0</v>
      </c>
      <c r="H23" s="22">
        <v>5.0</v>
      </c>
      <c r="I23" s="23"/>
      <c r="J23" s="22"/>
      <c r="K23" s="23"/>
      <c r="L23" s="22"/>
      <c r="M23" s="22">
        <v>2.0</v>
      </c>
      <c r="N23" s="22"/>
      <c r="O23" s="22"/>
      <c r="P23" s="22">
        <v>2.0</v>
      </c>
      <c r="Q23" s="22">
        <v>5.0</v>
      </c>
      <c r="R23" s="23"/>
      <c r="S23" s="23"/>
      <c r="T23" s="23"/>
      <c r="U23" s="23"/>
      <c r="V23" s="23"/>
      <c r="W23" s="23"/>
      <c r="X23" s="23"/>
      <c r="Y23" s="23"/>
      <c r="Z23" s="23"/>
      <c r="AA23" s="23"/>
      <c r="AB23" s="23"/>
      <c r="AC23" s="23"/>
      <c r="AD23" s="23"/>
      <c r="AE23" s="23"/>
      <c r="AF23" s="23">
        <f t="shared" si="1"/>
        <v>16</v>
      </c>
      <c r="AG23" s="23">
        <f t="shared" si="2"/>
        <v>22</v>
      </c>
      <c r="AH23" s="23">
        <f t="shared" si="3"/>
        <v>6</v>
      </c>
      <c r="AI23" s="23">
        <f t="shared" si="4"/>
        <v>0</v>
      </c>
      <c r="AJ23" s="23">
        <f t="shared" si="5"/>
        <v>0</v>
      </c>
      <c r="AK23" s="23">
        <f t="shared" si="6"/>
        <v>0</v>
      </c>
      <c r="AL23" s="24">
        <f t="shared" si="7"/>
        <v>1606000000</v>
      </c>
      <c r="AM23" s="23">
        <f t="shared" si="8"/>
        <v>22</v>
      </c>
    </row>
    <row r="24" ht="16.5" customHeight="1">
      <c r="A24" s="15">
        <v>3.0</v>
      </c>
      <c r="B24" s="20"/>
      <c r="C24" s="16" t="s">
        <v>51</v>
      </c>
      <c r="D24" s="22"/>
      <c r="E24" s="22"/>
      <c r="F24" s="22">
        <v>4.0</v>
      </c>
      <c r="G24" s="23"/>
      <c r="H24" s="22"/>
      <c r="I24" s="23"/>
      <c r="J24" s="22">
        <v>6.0</v>
      </c>
      <c r="K24" s="22"/>
      <c r="L24" s="22"/>
      <c r="M24" s="22">
        <v>4.0</v>
      </c>
      <c r="N24" s="23"/>
      <c r="O24" s="22"/>
      <c r="P24" s="22"/>
      <c r="Q24" s="22">
        <v>1.0</v>
      </c>
      <c r="R24" s="23"/>
      <c r="S24" s="23"/>
      <c r="T24" s="22"/>
      <c r="U24" s="23"/>
      <c r="V24" s="23"/>
      <c r="W24" s="23"/>
      <c r="X24" s="23"/>
      <c r="Y24" s="23"/>
      <c r="Z24" s="23"/>
      <c r="AA24" s="23"/>
      <c r="AB24" s="23"/>
      <c r="AC24" s="23"/>
      <c r="AD24" s="23"/>
      <c r="AE24" s="23"/>
      <c r="AF24" s="23">
        <f t="shared" si="1"/>
        <v>15</v>
      </c>
      <c r="AG24" s="23">
        <f t="shared" si="2"/>
        <v>23</v>
      </c>
      <c r="AH24" s="23">
        <f t="shared" si="3"/>
        <v>5</v>
      </c>
      <c r="AI24" s="23">
        <f t="shared" si="4"/>
        <v>0</v>
      </c>
      <c r="AJ24" s="23">
        <f t="shared" si="5"/>
        <v>0</v>
      </c>
      <c r="AK24" s="23">
        <f t="shared" si="6"/>
        <v>0</v>
      </c>
      <c r="AL24" s="24">
        <f t="shared" si="7"/>
        <v>1505000000</v>
      </c>
      <c r="AM24" s="23">
        <f t="shared" si="8"/>
        <v>23</v>
      </c>
    </row>
    <row r="25" ht="16.5" customHeight="1">
      <c r="A25" s="15">
        <v>20.0</v>
      </c>
      <c r="B25" s="20" t="str">
        <f t="shared" ref="B25:B28" si="9">Q25</f>
        <v/>
      </c>
      <c r="C25" s="16" t="s">
        <v>58</v>
      </c>
      <c r="D25" s="22"/>
      <c r="E25" s="23"/>
      <c r="F25" s="22"/>
      <c r="G25" s="22"/>
      <c r="H25" s="22"/>
      <c r="I25" s="22"/>
      <c r="J25" s="22">
        <v>2.0</v>
      </c>
      <c r="K25" s="23"/>
      <c r="L25" s="22"/>
      <c r="M25" s="22"/>
      <c r="N25" s="22">
        <v>5.0</v>
      </c>
      <c r="O25" s="22">
        <v>5.0</v>
      </c>
      <c r="P25" s="22">
        <v>1.0</v>
      </c>
      <c r="Q25" s="22"/>
      <c r="R25" s="23"/>
      <c r="S25" s="23"/>
      <c r="T25" s="22"/>
      <c r="U25" s="23"/>
      <c r="V25" s="23"/>
      <c r="W25" s="23"/>
      <c r="X25" s="23"/>
      <c r="Y25" s="23"/>
      <c r="Z25" s="23"/>
      <c r="AA25" s="23"/>
      <c r="AB25" s="23"/>
      <c r="AC25" s="23"/>
      <c r="AD25" s="23"/>
      <c r="AE25" s="23"/>
      <c r="AF25" s="23">
        <f t="shared" si="1"/>
        <v>13</v>
      </c>
      <c r="AG25" s="23">
        <f t="shared" si="2"/>
        <v>24</v>
      </c>
      <c r="AH25" s="23">
        <f t="shared" si="3"/>
        <v>5</v>
      </c>
      <c r="AI25" s="23">
        <f t="shared" si="4"/>
        <v>0</v>
      </c>
      <c r="AJ25" s="23">
        <f t="shared" si="5"/>
        <v>0</v>
      </c>
      <c r="AK25" s="23">
        <f t="shared" si="6"/>
        <v>0</v>
      </c>
      <c r="AL25" s="24">
        <f t="shared" si="7"/>
        <v>1305000000</v>
      </c>
      <c r="AM25" s="23">
        <f t="shared" si="8"/>
        <v>24</v>
      </c>
    </row>
    <row r="26" ht="16.5" customHeight="1">
      <c r="A26" s="15">
        <v>19.0</v>
      </c>
      <c r="B26" s="20" t="str">
        <f t="shared" si="9"/>
        <v/>
      </c>
      <c r="C26" s="16" t="s">
        <v>63</v>
      </c>
      <c r="D26" s="22"/>
      <c r="E26" s="23"/>
      <c r="F26" s="22">
        <v>1.0</v>
      </c>
      <c r="G26" s="23"/>
      <c r="H26" s="22"/>
      <c r="I26" s="22"/>
      <c r="J26" s="22">
        <v>8.0</v>
      </c>
      <c r="K26" s="22">
        <v>1.0</v>
      </c>
      <c r="L26" s="23"/>
      <c r="M26" s="23"/>
      <c r="N26" s="23"/>
      <c r="O26" s="23"/>
      <c r="P26" s="22"/>
      <c r="Q26" s="22"/>
      <c r="R26" s="22"/>
      <c r="S26" s="22"/>
      <c r="T26" s="23"/>
      <c r="U26" s="22"/>
      <c r="V26" s="23"/>
      <c r="W26" s="23"/>
      <c r="X26" s="23"/>
      <c r="Y26" s="23"/>
      <c r="Z26" s="23"/>
      <c r="AA26" s="23"/>
      <c r="AB26" s="23"/>
      <c r="AC26" s="23"/>
      <c r="AD26" s="23"/>
      <c r="AE26" s="23"/>
      <c r="AF26" s="23">
        <f t="shared" si="1"/>
        <v>10</v>
      </c>
      <c r="AG26" s="23">
        <f t="shared" si="2"/>
        <v>25</v>
      </c>
      <c r="AH26" s="23">
        <f t="shared" si="3"/>
        <v>4</v>
      </c>
      <c r="AI26" s="23">
        <f t="shared" si="4"/>
        <v>0</v>
      </c>
      <c r="AJ26" s="23">
        <f t="shared" si="5"/>
        <v>1</v>
      </c>
      <c r="AK26" s="23">
        <f t="shared" si="6"/>
        <v>1</v>
      </c>
      <c r="AL26" s="24">
        <f t="shared" si="7"/>
        <v>1004000101</v>
      </c>
      <c r="AM26" s="23">
        <f t="shared" si="8"/>
        <v>25</v>
      </c>
    </row>
    <row r="27" ht="16.5" customHeight="1">
      <c r="A27" s="15">
        <v>6.0</v>
      </c>
      <c r="B27" s="20" t="str">
        <f t="shared" si="9"/>
        <v/>
      </c>
      <c r="C27" s="16" t="s">
        <v>59</v>
      </c>
      <c r="D27" s="22"/>
      <c r="E27" s="23"/>
      <c r="F27" s="22"/>
      <c r="G27" s="23"/>
      <c r="H27" s="22"/>
      <c r="I27" s="22"/>
      <c r="J27" s="23"/>
      <c r="K27" s="22"/>
      <c r="L27" s="22">
        <v>6.0</v>
      </c>
      <c r="M27" s="23"/>
      <c r="N27" s="23"/>
      <c r="O27" s="23"/>
      <c r="P27" s="22"/>
      <c r="Q27" s="22"/>
      <c r="R27" s="22"/>
      <c r="S27" s="23"/>
      <c r="T27" s="22"/>
      <c r="U27" s="23"/>
      <c r="V27" s="23"/>
      <c r="W27" s="23"/>
      <c r="X27" s="23"/>
      <c r="Y27" s="23"/>
      <c r="Z27" s="23"/>
      <c r="AA27" s="23"/>
      <c r="AB27" s="22"/>
      <c r="AC27" s="23"/>
      <c r="AD27" s="23"/>
      <c r="AE27" s="23"/>
      <c r="AF27" s="23">
        <f t="shared" si="1"/>
        <v>6</v>
      </c>
      <c r="AG27" s="23">
        <f t="shared" si="2"/>
        <v>26</v>
      </c>
      <c r="AH27" s="23">
        <f t="shared" si="3"/>
        <v>2</v>
      </c>
      <c r="AI27" s="23">
        <f t="shared" si="4"/>
        <v>0</v>
      </c>
      <c r="AJ27" s="23">
        <f t="shared" si="5"/>
        <v>0</v>
      </c>
      <c r="AK27" s="23">
        <f t="shared" si="6"/>
        <v>0</v>
      </c>
      <c r="AL27" s="24">
        <f t="shared" si="7"/>
        <v>602000000</v>
      </c>
      <c r="AM27" s="23">
        <f t="shared" si="8"/>
        <v>26</v>
      </c>
    </row>
    <row r="28" ht="16.5" customHeight="1">
      <c r="A28" s="26">
        <v>27.0</v>
      </c>
      <c r="B28" s="21" t="str">
        <f t="shared" si="9"/>
        <v/>
      </c>
      <c r="C28" s="45"/>
      <c r="D28" s="22"/>
      <c r="E28" s="22"/>
      <c r="F28" s="22"/>
      <c r="G28" s="23"/>
      <c r="H28" s="23"/>
      <c r="I28" s="22"/>
      <c r="J28" s="22"/>
      <c r="K28" s="23"/>
      <c r="L28" s="23"/>
      <c r="M28" s="22"/>
      <c r="N28" s="23"/>
      <c r="O28" s="22"/>
      <c r="P28" s="22"/>
      <c r="Q28" s="23"/>
      <c r="R28" s="23"/>
      <c r="S28" s="22"/>
      <c r="T28" s="23"/>
      <c r="U28" s="22"/>
      <c r="V28" s="23"/>
      <c r="W28" s="23"/>
      <c r="X28" s="23"/>
      <c r="Y28" s="23"/>
      <c r="Z28" s="23"/>
      <c r="AA28" s="23"/>
      <c r="AB28" s="23"/>
      <c r="AC28" s="23"/>
      <c r="AD28" s="23"/>
      <c r="AE28" s="23"/>
      <c r="AF28" s="23">
        <f t="shared" si="1"/>
        <v>0</v>
      </c>
      <c r="AG28" s="23">
        <f t="shared" si="2"/>
        <v>27</v>
      </c>
      <c r="AH28" s="23">
        <f t="shared" si="3"/>
        <v>0</v>
      </c>
      <c r="AI28" s="23">
        <f t="shared" si="4"/>
        <v>0</v>
      </c>
      <c r="AJ28" s="23">
        <f t="shared" si="5"/>
        <v>0</v>
      </c>
      <c r="AK28" s="23">
        <f t="shared" si="6"/>
        <v>0</v>
      </c>
      <c r="AL28" s="24">
        <f t="shared" si="7"/>
        <v>0</v>
      </c>
      <c r="AM28" s="23">
        <f t="shared" si="8"/>
        <v>27</v>
      </c>
    </row>
    <row r="30">
      <c r="B30" s="29"/>
      <c r="C30" s="29" t="s">
        <v>40</v>
      </c>
      <c r="D30" s="30">
        <f t="shared" ref="D30:AE30" si="10">SUM(D2:D28)</f>
        <v>54</v>
      </c>
      <c r="E30" s="30">
        <f t="shared" si="10"/>
        <v>58</v>
      </c>
      <c r="F30" s="30">
        <f t="shared" si="10"/>
        <v>58</v>
      </c>
      <c r="G30" s="30">
        <f t="shared" si="10"/>
        <v>58</v>
      </c>
      <c r="H30" s="30">
        <f t="shared" si="10"/>
        <v>58</v>
      </c>
      <c r="I30" s="30">
        <f t="shared" si="10"/>
        <v>58</v>
      </c>
      <c r="J30" s="30">
        <f t="shared" si="10"/>
        <v>58</v>
      </c>
      <c r="K30" s="30">
        <f t="shared" si="10"/>
        <v>58</v>
      </c>
      <c r="L30" s="30">
        <f t="shared" si="10"/>
        <v>58</v>
      </c>
      <c r="M30" s="30">
        <f t="shared" si="10"/>
        <v>58</v>
      </c>
      <c r="N30" s="30">
        <f t="shared" si="10"/>
        <v>58</v>
      </c>
      <c r="O30" s="30">
        <f t="shared" si="10"/>
        <v>58</v>
      </c>
      <c r="P30" s="30">
        <f t="shared" si="10"/>
        <v>58</v>
      </c>
      <c r="Q30" s="30">
        <f t="shared" si="10"/>
        <v>58</v>
      </c>
      <c r="R30" s="30">
        <f t="shared" si="10"/>
        <v>0</v>
      </c>
      <c r="S30" s="30">
        <f t="shared" si="10"/>
        <v>0</v>
      </c>
      <c r="T30" s="30">
        <f t="shared" si="10"/>
        <v>0</v>
      </c>
      <c r="U30" s="30">
        <f t="shared" si="10"/>
        <v>0</v>
      </c>
      <c r="V30" s="30">
        <f t="shared" si="10"/>
        <v>0</v>
      </c>
      <c r="W30" s="30">
        <f t="shared" si="10"/>
        <v>0</v>
      </c>
      <c r="X30" s="30">
        <f t="shared" si="10"/>
        <v>0</v>
      </c>
      <c r="Y30" s="30">
        <f t="shared" si="10"/>
        <v>0</v>
      </c>
      <c r="Z30" s="30">
        <f t="shared" si="10"/>
        <v>0</v>
      </c>
      <c r="AA30" s="30">
        <f t="shared" si="10"/>
        <v>0</v>
      </c>
      <c r="AB30" s="30">
        <f t="shared" si="10"/>
        <v>0</v>
      </c>
      <c r="AC30" s="30">
        <f t="shared" si="10"/>
        <v>0</v>
      </c>
      <c r="AD30" s="30">
        <f t="shared" si="10"/>
        <v>0</v>
      </c>
      <c r="AE30" s="30">
        <f t="shared" si="10"/>
        <v>0</v>
      </c>
    </row>
    <row r="31">
      <c r="B31" s="29"/>
      <c r="C31" s="29" t="s">
        <v>42</v>
      </c>
      <c r="E31" s="30" t="b">
        <f>IFERROR(__xludf.DUMMYFUNCTION("AND(COUNTIF(E2:E28, 1) = 1, 
    COUNTIF(E2:E28, 2) = 1, 
    COUNTIF(E2:E28, 3) = 1, 
    COUNTIF(E2:E28, 4) = 1, 
    COUNTIF(E2:E28, 5) = 1, 
    COUNTIF(E2:E28, 6) = 1, 
    COUNTIF(E2:E28, 7) = 1, 
    COUNTIF(E2:E28, 8) = 1, 
    COUNTIF(E2:E28, 10)"&amp;" = 1, 
    COUNTIF(E2:E28, 12) = 1, 
    COUNTUNIQUE(E2:E28) = 10)"),TRUE)</f>
        <v>1</v>
      </c>
      <c r="F31" s="30" t="b">
        <f>IFERROR(__xludf.DUMMYFUNCTION("AND(COUNTIF(F2:F28, 1) = 1, 
    COUNTIF(F2:F28, 2) = 1, 
    COUNTIF(F2:F28, 3) = 1, 
    COUNTIF(F2:F28, 4) = 1, 
    COUNTIF(F2:F28, 5) = 1, 
    COUNTIF(F2:F28, 6) = 1, 
    COUNTIF(F2:F28, 7) = 1, 
    COUNTIF(F2:F28, 8) = 1, 
    COUNTIF(F2:F28, 10)"&amp;" = 1, 
    COUNTIF(F2:F28, 12) = 1, 
    COUNTUNIQUE(F2:F28) = 10)"),TRUE)</f>
        <v>1</v>
      </c>
      <c r="G31" s="30" t="b">
        <f>IFERROR(__xludf.DUMMYFUNCTION("AND(COUNTIF(G2:G28, 1) = 1, 
    COUNTIF(G2:G28, 2) = 1, 
    COUNTIF(G2:G28, 3) = 1, 
    COUNTIF(G2:G28, 4) = 1, 
    COUNTIF(G2:G28, 5) = 1, 
    COUNTIF(G2:G28, 6) = 1, 
    COUNTIF(G2:G28, 7) = 1, 
    COUNTIF(G2:G28, 8) = 1, 
    COUNTIF(G2:G28, 10)"&amp;" = 1, 
    COUNTIF(G2:G28, 12) = 1, 
    COUNTUNIQUE(G2:G28) = 10)"),TRUE)</f>
        <v>1</v>
      </c>
      <c r="H31" s="30" t="b">
        <f>IFERROR(__xludf.DUMMYFUNCTION("AND(COUNTIF(H2:H28, 1) = 1, 
    COUNTIF(H2:H28, 2) = 1, 
    COUNTIF(H2:H28, 3) = 1, 
    COUNTIF(H2:H28, 4) = 1, 
    COUNTIF(H2:H28, 5) = 1, 
    COUNTIF(H2:H28, 6) = 1, 
    COUNTIF(H2:H28, 7) = 1, 
    COUNTIF(H2:H28, 8) = 1, 
    COUNTIF(H2:H28, 10)"&amp;" = 1, 
    COUNTIF(H2:H28, 12) = 1, 
    COUNTUNIQUE(H2:H28) = 10)"),TRUE)</f>
        <v>1</v>
      </c>
      <c r="I31" s="30" t="b">
        <f>IFERROR(__xludf.DUMMYFUNCTION("AND(COUNTIF(I2:I28, 1) = 1, 
    COUNTIF(I2:I28, 2) = 1, 
    COUNTIF(I2:I28, 3) = 1, 
    COUNTIF(I2:I28, 4) = 1, 
    COUNTIF(I2:I28, 5) = 1, 
    COUNTIF(I2:I28, 6) = 1, 
    COUNTIF(I2:I28, 7) = 1, 
    COUNTIF(I2:I28, 8) = 1, 
    COUNTIF(I2:I28, 10)"&amp;" = 1, 
    COUNTIF(I2:I28, 12) = 1, 
    COUNTUNIQUE(I2:I28) = 10)"),TRUE)</f>
        <v>1</v>
      </c>
      <c r="J31" s="30" t="b">
        <f>IFERROR(__xludf.DUMMYFUNCTION("AND(COUNTIF(J2:J28, 1) = 1, 
    COUNTIF(J2:J28, 2) = 1, 
    COUNTIF(J2:J28, 3) = 1, 
    COUNTIF(J2:J28, 4) = 1, 
    COUNTIF(J2:J28, 5) = 1, 
    COUNTIF(J2:J28, 6) = 1, 
    COUNTIF(J2:J28, 7) = 1, 
    COUNTIF(J2:J28, 8) = 1, 
    COUNTIF(J2:J28, 10)"&amp;" = 1, 
    COUNTIF(J2:J28, 12) = 1, 
    COUNTUNIQUE(J2:J28) = 10)"),TRUE)</f>
        <v>1</v>
      </c>
      <c r="K31" s="30" t="b">
        <f>IFERROR(__xludf.DUMMYFUNCTION("AND(COUNTIF(K2:K28, 1) = 1, 
    COUNTIF(K2:K28, 2) = 1, 
    COUNTIF(K2:K28, 3) = 1, 
    COUNTIF(K2:K28, 4) = 1, 
    COUNTIF(K2:K28, 5) = 1, 
    COUNTIF(K2:K28, 6) = 1, 
    COUNTIF(K2:K28, 7) = 1, 
    COUNTIF(K2:K28, 8) = 1, 
    COUNTIF(K2:K28, 10)"&amp;" = 1, 
    COUNTIF(K2:K28, 12) = 1, 
    COUNTUNIQUE(K2:K28) = 10)"),TRUE)</f>
        <v>1</v>
      </c>
      <c r="L31" s="30" t="b">
        <f>IFERROR(__xludf.DUMMYFUNCTION("AND(COUNTIF(L2:L28, 1) = 1, 
    COUNTIF(L2:L28, 2) = 1, 
    COUNTIF(L2:L28, 3) = 1, 
    COUNTIF(L2:L28, 4) = 1, 
    COUNTIF(L2:L28, 5) = 1, 
    COUNTIF(L2:L28, 6) = 1, 
    COUNTIF(L2:L28, 7) = 1, 
    COUNTIF(L2:L28, 8) = 1, 
    COUNTIF(L2:L28, 10)"&amp;" = 1, 
    COUNTIF(L2:L28, 12) = 1, 
    COUNTUNIQUE(L2:L28) = 10)"),TRUE)</f>
        <v>1</v>
      </c>
      <c r="M31" s="30" t="b">
        <f>IFERROR(__xludf.DUMMYFUNCTION("AND(COUNTIF(M2:M28, 1) = 1, 
    COUNTIF(M2:M28, 2) = 1, 
    COUNTIF(M2:M28, 3) = 1, 
    COUNTIF(M2:M28, 4) = 1, 
    COUNTIF(M2:M28, 5) = 1, 
    COUNTIF(M2:M28, 6) = 1, 
    COUNTIF(M2:M28, 7) = 1, 
    COUNTIF(M2:M28, 8) = 1, 
    COUNTIF(M2:M28, 10)"&amp;" = 1, 
    COUNTIF(M2:M28, 12) = 1, 
    COUNTUNIQUE(M2:M28) = 10)"),TRUE)</f>
        <v>1</v>
      </c>
      <c r="N31" s="30" t="b">
        <f>IFERROR(__xludf.DUMMYFUNCTION("AND(COUNTIF(N2:N28, 1) = 1, 
    COUNTIF(N2:N28, 2) = 1, 
    COUNTIF(N2:N28, 3) = 1, 
    COUNTIF(N2:N28, 4) = 1, 
    COUNTIF(N2:N28, 5) = 1, 
    COUNTIF(N2:N28, 6) = 1, 
    COUNTIF(N2:N28, 7) = 1, 
    COUNTIF(N2:N28, 8) = 1, 
    COUNTIF(N2:N28, 10)"&amp;" = 1, 
    COUNTIF(N2:N28, 12) = 1, 
    COUNTUNIQUE(N2:N28) = 10)"),TRUE)</f>
        <v>1</v>
      </c>
      <c r="O31" s="30" t="b">
        <f>IFERROR(__xludf.DUMMYFUNCTION("AND(COUNTIF(O2:O28, 1) = 1, 
    COUNTIF(O2:O28, 2) = 1, 
    COUNTIF(O2:O28, 3) = 1, 
    COUNTIF(O2:O28, 4) = 1, 
    COUNTIF(O2:O28, 5) = 1, 
    COUNTIF(O2:O28, 6) = 1, 
    COUNTIF(O2:O28, 7) = 1, 
    COUNTIF(O2:O28, 8) = 1, 
    COUNTIF(O2:O28, 10)"&amp;" = 1, 
    COUNTIF(O2:O28, 12) = 1, 
    COUNTUNIQUE(O2:O28) = 10)"),TRUE)</f>
        <v>1</v>
      </c>
      <c r="P31" s="30" t="b">
        <f>IFERROR(__xludf.DUMMYFUNCTION("AND(COUNTIF(P2:P28, 1) = 1, 
    COUNTIF(P2:P28, 2) = 1, 
    COUNTIF(P2:P28, 3) = 1, 
    COUNTIF(P2:P28, 4) = 1, 
    COUNTIF(P2:P28, 5) = 1, 
    COUNTIF(P2:P28, 6) = 1, 
    COUNTIF(P2:P28, 7) = 1, 
    COUNTIF(P2:P28, 8) = 1, 
    COUNTIF(P2:P28, 10)"&amp;" = 1, 
    COUNTIF(P2:P28, 12) = 1, 
    COUNTUNIQUE(P2:P28) = 10)"),TRUE)</f>
        <v>1</v>
      </c>
      <c r="Q31" s="30" t="b">
        <f>IFERROR(__xludf.DUMMYFUNCTION("AND(COUNTIF(Q2:Q28, 1) = 1, 
    COUNTIF(Q2:Q28, 2) = 1, 
    COUNTIF(Q2:Q28, 3) = 1, 
    COUNTIF(Q2:Q28, 4) = 1, 
    COUNTIF(Q2:Q28, 5) = 1, 
    COUNTIF(Q2:Q28, 6) = 1, 
    COUNTIF(Q2:Q28, 7) = 1, 
    COUNTIF(Q2:Q28, 8) = 1, 
    COUNTIF(Q2:Q28, 10)"&amp;" = 1, 
    COUNTIF(Q2:Q28, 12) = 1, 
    COUNTUNIQUE(Q2:Q28) = 10)"),TRUE)</f>
        <v>1</v>
      </c>
      <c r="R31" s="30" t="b">
        <f>IFERROR(__xludf.DUMMYFUNCTION("AND(COUNTIF(R2:R28, 1) = 1, 
    COUNTIF(R2:R28, 2) = 1, 
    COUNTIF(R2:R28, 3) = 1, 
    COUNTIF(R2:R28, 4) = 1, 
    COUNTIF(R2:R28, 5) = 1, 
    COUNTIF(R2:R28, 6) = 1, 
    COUNTIF(R2:R28, 7) = 1, 
    COUNTIF(R2:R28, 8) = 1, 
    COUNTIF(R2:R28, 10)"&amp;" = 1, 
    COUNTIF(R2:R28, 12) = 1, 
    COUNTUNIQUE(R2:R28) = 10)"),FALSE)</f>
        <v>0</v>
      </c>
      <c r="S31" s="30" t="b">
        <f>IFERROR(__xludf.DUMMYFUNCTION("AND(COUNTIF(S2:S28, 1) = 1, 
    COUNTIF(S2:S28, 2) = 1, 
    COUNTIF(S2:S28, 3) = 1, 
    COUNTIF(S2:S28, 4) = 1, 
    COUNTIF(S2:S28, 5) = 1, 
    COUNTIF(S2:S28, 6) = 1, 
    COUNTIF(S2:S28, 7) = 1, 
    COUNTIF(S2:S28, 8) = 1, 
    COUNTIF(S2:S28, 10)"&amp;" = 1, 
    COUNTIF(S2:S28, 12) = 1, 
    COUNTUNIQUE(S2:S28) = 10)"),FALSE)</f>
        <v>0</v>
      </c>
      <c r="T31" s="30" t="b">
        <f>IFERROR(__xludf.DUMMYFUNCTION("AND(COUNTIF(T2:T28, 1) = 1, 
    COUNTIF(T2:T28, 2) = 1, 
    COUNTIF(T2:T28, 3) = 1, 
    COUNTIF(T2:T28, 4) = 1, 
    COUNTIF(T2:T28, 5) = 1, 
    COUNTIF(T2:T28, 6) = 1, 
    COUNTIF(T2:T28, 7) = 1, 
    COUNTIF(T2:T28, 8) = 1, 
    COUNTIF(T2:T28, 10)"&amp;" = 1, 
    COUNTIF(T2:T28, 12) = 1, 
    COUNTUNIQUE(T2:T28) = 10)"),FALSE)</f>
        <v>0</v>
      </c>
      <c r="U31" s="30" t="b">
        <f>IFERROR(__xludf.DUMMYFUNCTION("AND(COUNTIF(U2:U28, 1) = 1, 
    COUNTIF(U2:U28, 2) = 1, 
    COUNTIF(U2:U28, 3) = 1, 
    COUNTIF(U2:U28, 4) = 1, 
    COUNTIF(U2:U28, 5) = 1, 
    COUNTIF(U2:U28, 6) = 1, 
    COUNTIF(U2:U28, 7) = 1, 
    COUNTIF(U2:U28, 8) = 1, 
    COUNTIF(U2:U28, 10)"&amp;" = 1, 
    COUNTIF(U2:U28, 12) = 1, 
    COUNTUNIQUE(U2:U28) = 10)"),FALSE)</f>
        <v>0</v>
      </c>
      <c r="V31" s="30" t="b">
        <f>IFERROR(__xludf.DUMMYFUNCTION("AND(COUNTIF(V2:V28, 1) = 1, 
    COUNTIF(V2:V28, 2) = 1, 
    COUNTIF(V2:V28, 3) = 1, 
    COUNTIF(V2:V28, 4) = 1, 
    COUNTIF(V2:V28, 5) = 1, 
    COUNTIF(V2:V28, 6) = 1, 
    COUNTIF(V2:V28, 7) = 1, 
    COUNTIF(V2:V28, 8) = 1, 
    COUNTIF(V2:V28, 10)"&amp;" = 1, 
    COUNTIF(V2:V28, 12) = 1, 
    COUNTUNIQUE(V2:V28) = 10)"),FALSE)</f>
        <v>0</v>
      </c>
      <c r="W31" s="30" t="b">
        <f>IFERROR(__xludf.DUMMYFUNCTION("AND(COUNTIF(W2:W28, 1) = 1, 
    COUNTIF(W2:W28, 2) = 1, 
    COUNTIF(W2:W28, 3) = 1, 
    COUNTIF(W2:W28, 4) = 1, 
    COUNTIF(W2:W28, 5) = 1, 
    COUNTIF(W2:W28, 6) = 1, 
    COUNTIF(W2:W28, 7) = 1, 
    COUNTIF(W2:W28, 8) = 1, 
    COUNTIF(W2:W28, 10)"&amp;" = 1, 
    COUNTIF(W2:W28, 12) = 1, 
    COUNTUNIQUE(W2:W28) = 10)"),FALSE)</f>
        <v>0</v>
      </c>
      <c r="X31" s="30" t="b">
        <f>IFERROR(__xludf.DUMMYFUNCTION("AND(COUNTIF(X2:X28, 1) = 1, 
    COUNTIF(X2:X28, 2) = 1, 
    COUNTIF(X2:X28, 3) = 1, 
    COUNTIF(X2:X28, 4) = 1, 
    COUNTIF(X2:X28, 5) = 1, 
    COUNTIF(X2:X28, 6) = 1, 
    COUNTIF(X2:X28, 7) = 1, 
    COUNTIF(X2:X28, 8) = 1, 
    COUNTIF(X2:X28, 10)"&amp;" = 1, 
    COUNTIF(X2:X28, 12) = 1, 
    COUNTUNIQUE(X2:X28) = 10)"),FALSE)</f>
        <v>0</v>
      </c>
      <c r="Y31" s="30" t="b">
        <f>IFERROR(__xludf.DUMMYFUNCTION("AND(COUNTIF(Y2:Y28, 1) = 1, 
    COUNTIF(Y2:Y28, 2) = 1, 
    COUNTIF(Y2:Y28, 3) = 1, 
    COUNTIF(Y2:Y28, 4) = 1, 
    COUNTIF(Y2:Y28, 5) = 1, 
    COUNTIF(Y2:Y28, 6) = 1, 
    COUNTIF(Y2:Y28, 7) = 1, 
    COUNTIF(Y2:Y28, 8) = 1, 
    COUNTIF(Y2:Y28, 10)"&amp;" = 1, 
    COUNTIF(Y2:Y28, 12) = 1, 
    COUNTUNIQUE(Y2:Y28) = 10)"),FALSE)</f>
        <v>0</v>
      </c>
      <c r="Z31" s="30" t="b">
        <f>IFERROR(__xludf.DUMMYFUNCTION("AND(COUNTIF(Z2:Z28, 1) = 1, 
    COUNTIF(Z2:Z28, 2) = 1, 
    COUNTIF(Z2:Z28, 3) = 1, 
    COUNTIF(Z2:Z28, 4) = 1, 
    COUNTIF(Z2:Z28, 5) = 1, 
    COUNTIF(Z2:Z28, 6) = 1, 
    COUNTIF(Z2:Z28, 7) = 1, 
    COUNTIF(Z2:Z28, 8) = 1, 
    COUNTIF(Z2:Z28, 10)"&amp;" = 1, 
    COUNTIF(Z2:Z28, 12) = 1, 
    COUNTUNIQUE(Z2:Z28) = 10)"),FALSE)</f>
        <v>0</v>
      </c>
      <c r="AA31" s="30" t="b">
        <f>IFERROR(__xludf.DUMMYFUNCTION("AND(COUNTIF(AA2:AA28, 1) = 1, 
    COUNTIF(AA2:AA28, 2) = 1, 
    COUNTIF(AA2:AA28, 3) = 1, 
    COUNTIF(AA2:AA28, 4) = 1, 
    COUNTIF(AA2:AA28, 5) = 1, 
    COUNTIF(AA2:AA28, 6) = 1, 
    COUNTIF(AA2:AA28, 7) = 1, 
    COUNTIF(AA2:AA28, 8) = 1, 
    COU"&amp;"NTIF(AA2:AA28, 10) = 1, 
    COUNTIF(AA2:AA28, 12) = 1, 
    COUNTUNIQUE(AA2:AA28) = 10)"),FALSE)</f>
        <v>0</v>
      </c>
      <c r="AB31" s="30" t="b">
        <f>IFERROR(__xludf.DUMMYFUNCTION("AND(COUNTIF(AB2:AB28, 1) = 1, 
    COUNTIF(AB2:AB28, 2) = 1, 
    COUNTIF(AB2:AB28, 3) = 1, 
    COUNTIF(AB2:AB28, 4) = 1, 
    COUNTIF(AB2:AB28, 5) = 1, 
    COUNTIF(AB2:AB28, 6) = 1, 
    COUNTIF(AB2:AB28, 7) = 1, 
    COUNTIF(AB2:AB28, 8) = 1, 
    COU"&amp;"NTIF(AB2:AB28, 10) = 1, 
    COUNTIF(AB2:AB28, 12) = 1, 
    COUNTUNIQUE(AB2:AB28) = 10)"),FALSE)</f>
        <v>0</v>
      </c>
      <c r="AC31" s="30" t="b">
        <f>IFERROR(__xludf.DUMMYFUNCTION("AND(COUNTIF(AC2:AC28, 1) = 1, 
    COUNTIF(AC2:AC28, 2) = 1, 
    COUNTIF(AC2:AC28, 3) = 1, 
    COUNTIF(AC2:AC28, 4) = 1, 
    COUNTIF(AC2:AC28, 5) = 1, 
    COUNTIF(AC2:AC28, 6) = 1, 
    COUNTIF(AC2:AC28, 7) = 1, 
    COUNTIF(AC2:AC28, 8) = 1, 
    COU"&amp;"NTIF(AC2:AC28, 10) = 1, 
    COUNTIF(AC2:AC28, 12) = 1, 
    COUNTUNIQUE(AC2:AC28) = 10)"),FALSE)</f>
        <v>0</v>
      </c>
      <c r="AD31" s="30" t="b">
        <f>IFERROR(__xludf.DUMMYFUNCTION("AND(COUNTIF(AD2:AD28, 1) = 1, 
    COUNTIF(AD2:AD28, 2) = 1, 
    COUNTIF(AD2:AD28, 3) = 1, 
    COUNTIF(AD2:AD28, 4) = 1, 
    COUNTIF(AD2:AD28, 5) = 1, 
    COUNTIF(AD2:AD28, 6) = 1, 
    COUNTIF(AD2:AD28, 7) = 1, 
    COUNTIF(AD2:AD28, 8) = 1, 
    COU"&amp;"NTIF(AD2:AD28, 10) = 1, 
    COUNTIF(AD2:AD28, 12) = 1, 
    COUNTUNIQUE(AD2:AD28) = 10)"),FALSE)</f>
        <v>0</v>
      </c>
      <c r="AE31" s="30" t="b">
        <f>IFERROR(__xludf.DUMMYFUNCTION("AND(COUNTIF(AE2:AE28, 1) = 1, 
    COUNTIF(AE2:AE28, 2) = 1, 
    COUNTIF(AE2:AE28, 3) = 1, 
    COUNTIF(AE2:AE28, 4) = 1, 
    COUNTIF(AE2:AE28, 5) = 1, 
    COUNTIF(AE2:AE28, 6) = 1, 
    COUNTIF(AE2:AE28, 7) = 1, 
    COUNTIF(AE2:AE28, 8) = 1, 
    COU"&amp;"NTIF(AE2:AE28, 10) = 1, 
    COUNTIF(AE2:AE28, 12) = 1, 
    COUNTUNIQUE(AE2:AE28) = 10)"),FALSE)</f>
        <v>0</v>
      </c>
    </row>
    <row r="32">
      <c r="B32" s="29"/>
      <c r="C32" s="29" t="s">
        <v>43</v>
      </c>
      <c r="D32" s="30">
        <f t="shared" ref="D32:AE32" si="11">COUNT(D2:D28)</f>
        <v>9</v>
      </c>
      <c r="E32" s="30">
        <f t="shared" si="11"/>
        <v>10</v>
      </c>
      <c r="F32" s="30">
        <f t="shared" si="11"/>
        <v>10</v>
      </c>
      <c r="G32" s="30">
        <f t="shared" si="11"/>
        <v>10</v>
      </c>
      <c r="H32" s="30">
        <f t="shared" si="11"/>
        <v>10</v>
      </c>
      <c r="I32" s="30">
        <f t="shared" si="11"/>
        <v>10</v>
      </c>
      <c r="J32" s="30">
        <f t="shared" si="11"/>
        <v>10</v>
      </c>
      <c r="K32" s="30">
        <f t="shared" si="11"/>
        <v>10</v>
      </c>
      <c r="L32" s="30">
        <f t="shared" si="11"/>
        <v>10</v>
      </c>
      <c r="M32" s="30">
        <f t="shared" si="11"/>
        <v>10</v>
      </c>
      <c r="N32" s="30">
        <f t="shared" si="11"/>
        <v>10</v>
      </c>
      <c r="O32" s="30">
        <f t="shared" si="11"/>
        <v>10</v>
      </c>
      <c r="P32" s="30">
        <f t="shared" si="11"/>
        <v>10</v>
      </c>
      <c r="Q32" s="30">
        <f t="shared" si="11"/>
        <v>10</v>
      </c>
      <c r="R32" s="30">
        <f t="shared" si="11"/>
        <v>0</v>
      </c>
      <c r="S32" s="30">
        <f t="shared" si="11"/>
        <v>0</v>
      </c>
      <c r="T32" s="30">
        <f t="shared" si="11"/>
        <v>0</v>
      </c>
      <c r="U32" s="30">
        <f t="shared" si="11"/>
        <v>0</v>
      </c>
      <c r="V32" s="30">
        <f t="shared" si="11"/>
        <v>0</v>
      </c>
      <c r="W32" s="30">
        <f t="shared" si="11"/>
        <v>0</v>
      </c>
      <c r="X32" s="30">
        <f t="shared" si="11"/>
        <v>0</v>
      </c>
      <c r="Y32" s="30">
        <f t="shared" si="11"/>
        <v>0</v>
      </c>
      <c r="Z32" s="30">
        <f t="shared" si="11"/>
        <v>0</v>
      </c>
      <c r="AA32" s="30">
        <f t="shared" si="11"/>
        <v>0</v>
      </c>
      <c r="AB32" s="30">
        <f t="shared" si="11"/>
        <v>0</v>
      </c>
      <c r="AC32" s="30">
        <f t="shared" si="11"/>
        <v>0</v>
      </c>
      <c r="AD32" s="30">
        <f t="shared" si="11"/>
        <v>0</v>
      </c>
      <c r="AE32" s="30">
        <f t="shared" si="11"/>
        <v>0</v>
      </c>
    </row>
    <row r="33">
      <c r="AG33" s="31" t="s">
        <v>41</v>
      </c>
      <c r="AH33" s="56">
        <v>67.0</v>
      </c>
      <c r="AI33" s="56">
        <v>1.0</v>
      </c>
    </row>
    <row r="34">
      <c r="AD34" s="46" t="s">
        <v>60</v>
      </c>
      <c r="AG34" s="31" t="s">
        <v>41</v>
      </c>
      <c r="AH34" s="56">
        <v>51.0</v>
      </c>
      <c r="AI34" s="56">
        <v>2.0</v>
      </c>
    </row>
    <row r="35">
      <c r="AD35" s="46" t="s">
        <v>66</v>
      </c>
      <c r="AG35" s="64" t="s">
        <v>100</v>
      </c>
      <c r="AH35" s="56">
        <v>48.0</v>
      </c>
      <c r="AI35" s="56">
        <v>3.0</v>
      </c>
    </row>
    <row r="36">
      <c r="AD36" s="46" t="s">
        <v>61</v>
      </c>
      <c r="AG36" s="31" t="s">
        <v>65</v>
      </c>
      <c r="AH36" s="56">
        <v>46.0</v>
      </c>
      <c r="AI36" s="56">
        <v>4.0</v>
      </c>
    </row>
    <row r="37">
      <c r="AD37" s="46" t="s">
        <v>52</v>
      </c>
      <c r="AG37" s="31" t="s">
        <v>41</v>
      </c>
      <c r="AH37" s="56">
        <v>44.0</v>
      </c>
      <c r="AI37" s="56">
        <v>5.0</v>
      </c>
    </row>
    <row r="38">
      <c r="AD38" s="46" t="s">
        <v>47</v>
      </c>
      <c r="AG38" s="31" t="s">
        <v>53</v>
      </c>
      <c r="AH38" s="56">
        <v>42.0</v>
      </c>
      <c r="AI38" s="56">
        <v>6.0</v>
      </c>
    </row>
    <row r="39">
      <c r="AD39" s="46" t="s">
        <v>64</v>
      </c>
      <c r="AG39" s="31" t="s">
        <v>62</v>
      </c>
      <c r="AH39" s="56">
        <v>41.0</v>
      </c>
      <c r="AI39" s="56">
        <v>7.0</v>
      </c>
    </row>
    <row r="40">
      <c r="AD40" s="46" t="s">
        <v>72</v>
      </c>
      <c r="AG40" s="31" t="s">
        <v>68</v>
      </c>
      <c r="AH40" s="56">
        <v>40.0</v>
      </c>
      <c r="AI40" s="56">
        <v>8.0</v>
      </c>
    </row>
    <row r="41">
      <c r="AD41" s="46" t="s">
        <v>56</v>
      </c>
      <c r="AG41" s="31" t="s">
        <v>41</v>
      </c>
      <c r="AH41" s="56">
        <v>39.0</v>
      </c>
      <c r="AI41" s="56">
        <v>9.0</v>
      </c>
    </row>
    <row r="42">
      <c r="AD42" s="46" t="s">
        <v>67</v>
      </c>
      <c r="AG42" s="31" t="s">
        <v>41</v>
      </c>
      <c r="AH42" s="56">
        <v>39.0</v>
      </c>
      <c r="AI42" s="56">
        <v>9.0</v>
      </c>
    </row>
    <row r="43">
      <c r="AD43" s="46" t="s">
        <v>57</v>
      </c>
      <c r="AG43" s="31" t="s">
        <v>41</v>
      </c>
      <c r="AH43" s="56">
        <v>37.0</v>
      </c>
      <c r="AI43" s="56">
        <v>11.0</v>
      </c>
    </row>
    <row r="44">
      <c r="AG44" s="31" t="s">
        <v>70</v>
      </c>
      <c r="AH44" s="56">
        <v>35.0</v>
      </c>
      <c r="AI44" s="56">
        <v>12.0</v>
      </c>
    </row>
    <row r="45">
      <c r="AG45" s="31" t="s">
        <v>50</v>
      </c>
      <c r="AH45" s="56">
        <v>33.0</v>
      </c>
      <c r="AI45" s="56">
        <v>13.0</v>
      </c>
    </row>
    <row r="46">
      <c r="AG46" s="31" t="s">
        <v>69</v>
      </c>
      <c r="AH46" s="56">
        <v>30.0</v>
      </c>
      <c r="AI46" s="56">
        <v>14.0</v>
      </c>
    </row>
    <row r="47">
      <c r="AG47" s="31" t="s">
        <v>71</v>
      </c>
      <c r="AH47" s="56">
        <v>29.0</v>
      </c>
      <c r="AI47" s="56">
        <v>15.0</v>
      </c>
    </row>
    <row r="48">
      <c r="AG48" s="31" t="s">
        <v>41</v>
      </c>
      <c r="AH48" s="56">
        <v>26.0</v>
      </c>
      <c r="AI48" s="56">
        <v>16.0</v>
      </c>
    </row>
    <row r="49">
      <c r="AG49" s="31" t="s">
        <v>41</v>
      </c>
      <c r="AH49" s="56">
        <v>24.0</v>
      </c>
      <c r="AI49" s="56">
        <v>17.0</v>
      </c>
    </row>
    <row r="50">
      <c r="AG50" s="31" t="s">
        <v>48</v>
      </c>
      <c r="AH50" s="56">
        <v>22.0</v>
      </c>
      <c r="AI50" s="56">
        <v>18.0</v>
      </c>
    </row>
    <row r="51">
      <c r="AG51" s="31" t="s">
        <v>41</v>
      </c>
      <c r="AH51" s="56">
        <v>20.0</v>
      </c>
      <c r="AI51" s="56">
        <v>19.0</v>
      </c>
    </row>
    <row r="52">
      <c r="AG52" s="31" t="s">
        <v>41</v>
      </c>
      <c r="AH52" s="56">
        <v>18.0</v>
      </c>
      <c r="AI52" s="56">
        <v>20.0</v>
      </c>
    </row>
    <row r="53">
      <c r="AG53" s="31" t="s">
        <v>55</v>
      </c>
      <c r="AH53" s="56">
        <v>17.0</v>
      </c>
      <c r="AI53" s="56">
        <v>21.0</v>
      </c>
    </row>
    <row r="54">
      <c r="AG54" s="31" t="s">
        <v>49</v>
      </c>
      <c r="AH54" s="56">
        <v>16.0</v>
      </c>
      <c r="AI54" s="56">
        <v>22.0</v>
      </c>
    </row>
    <row r="55">
      <c r="AG55" s="31" t="s">
        <v>51</v>
      </c>
      <c r="AH55" s="56">
        <v>15.0</v>
      </c>
      <c r="AI55" s="56">
        <v>23.0</v>
      </c>
    </row>
    <row r="56">
      <c r="AG56" s="31" t="s">
        <v>58</v>
      </c>
      <c r="AH56" s="56">
        <v>13.0</v>
      </c>
      <c r="AI56" s="56">
        <v>24.0</v>
      </c>
    </row>
    <row r="57">
      <c r="AG57" s="31" t="s">
        <v>63</v>
      </c>
      <c r="AH57" s="56">
        <v>10.0</v>
      </c>
      <c r="AI57" s="56">
        <v>25.0</v>
      </c>
    </row>
    <row r="58">
      <c r="AG58" s="31" t="s">
        <v>59</v>
      </c>
      <c r="AH58" s="56">
        <v>6.0</v>
      </c>
      <c r="AI58" s="56">
        <v>26.0</v>
      </c>
    </row>
  </sheetData>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63"/>
    <col customWidth="1" min="2" max="2" width="6.63"/>
    <col customWidth="1" min="3" max="3" width="6.5"/>
    <col customWidth="1" min="4" max="4" width="10.13"/>
    <col customWidth="1" min="5" max="5" width="18.5"/>
    <col customWidth="1" min="6" max="65" width="5.5"/>
    <col customWidth="1" min="66" max="66" width="8.88"/>
    <col customWidth="1" min="67" max="67" width="9.25"/>
    <col customWidth="1" min="68" max="68" width="10.38"/>
    <col customWidth="1" min="69" max="70" width="8.25"/>
    <col customWidth="1" min="71" max="73" width="7.25"/>
  </cols>
  <sheetData>
    <row r="1" ht="69.0" customHeight="1">
      <c r="A1" s="1" t="s">
        <v>101</v>
      </c>
      <c r="B1" s="65" t="s">
        <v>102</v>
      </c>
      <c r="C1" s="1" t="s">
        <v>103</v>
      </c>
      <c r="D1" s="1" t="s">
        <v>104</v>
      </c>
      <c r="E1" s="66" t="s">
        <v>105</v>
      </c>
      <c r="F1" s="57" t="s">
        <v>73</v>
      </c>
      <c r="G1" s="67" t="s">
        <v>106</v>
      </c>
      <c r="H1" s="57" t="s">
        <v>48</v>
      </c>
      <c r="I1" s="67" t="s">
        <v>107</v>
      </c>
      <c r="J1" s="57" t="s">
        <v>22</v>
      </c>
      <c r="K1" s="57" t="s">
        <v>21</v>
      </c>
      <c r="L1" s="57" t="s">
        <v>16</v>
      </c>
      <c r="M1" s="57" t="s">
        <v>20</v>
      </c>
      <c r="N1" s="57" t="s">
        <v>11</v>
      </c>
      <c r="O1" s="57" t="s">
        <v>52</v>
      </c>
      <c r="P1" s="57" t="s">
        <v>54</v>
      </c>
      <c r="Q1" s="57" t="s">
        <v>108</v>
      </c>
      <c r="R1" s="57" t="s">
        <v>10</v>
      </c>
      <c r="S1" s="57" t="s">
        <v>12</v>
      </c>
      <c r="T1" s="57" t="s">
        <v>8</v>
      </c>
      <c r="U1" s="57" t="s">
        <v>67</v>
      </c>
      <c r="V1" s="57" t="s">
        <v>56</v>
      </c>
      <c r="W1" s="57" t="s">
        <v>109</v>
      </c>
      <c r="X1" s="57" t="s">
        <v>5</v>
      </c>
      <c r="Y1" s="57" t="s">
        <v>29</v>
      </c>
      <c r="Z1" s="57" t="s">
        <v>13</v>
      </c>
      <c r="AA1" s="57" t="s">
        <v>66</v>
      </c>
      <c r="AB1" s="57" t="s">
        <v>9</v>
      </c>
      <c r="AC1" s="57" t="s">
        <v>47</v>
      </c>
      <c r="AD1" s="57" t="s">
        <v>110</v>
      </c>
      <c r="AE1" s="57" t="s">
        <v>71</v>
      </c>
      <c r="AF1" s="57" t="s">
        <v>49</v>
      </c>
      <c r="AG1" s="57" t="s">
        <v>60</v>
      </c>
      <c r="AH1" s="67" t="s">
        <v>24</v>
      </c>
      <c r="AI1" s="57" t="s">
        <v>53</v>
      </c>
      <c r="AJ1" s="57" t="s">
        <v>61</v>
      </c>
      <c r="AK1" s="57" t="s">
        <v>3</v>
      </c>
      <c r="AL1" s="57" t="s">
        <v>14</v>
      </c>
      <c r="AM1" s="57" t="s">
        <v>23</v>
      </c>
      <c r="AN1" s="57" t="s">
        <v>19</v>
      </c>
      <c r="AO1" s="57" t="s">
        <v>15</v>
      </c>
      <c r="AP1" s="57" t="s">
        <v>26</v>
      </c>
      <c r="AQ1" s="57" t="s">
        <v>68</v>
      </c>
      <c r="AR1" s="57" t="s">
        <v>18</v>
      </c>
      <c r="AS1" s="57" t="s">
        <v>75</v>
      </c>
      <c r="AT1" s="57" t="s">
        <v>58</v>
      </c>
      <c r="AU1" s="57" t="s">
        <v>63</v>
      </c>
      <c r="AV1" s="57" t="s">
        <v>7</v>
      </c>
      <c r="AW1" s="57" t="s">
        <v>74</v>
      </c>
      <c r="AX1" s="57" t="s">
        <v>69</v>
      </c>
      <c r="AY1" s="57" t="s">
        <v>111</v>
      </c>
      <c r="AZ1" s="57" t="s">
        <v>51</v>
      </c>
      <c r="BA1" s="57" t="s">
        <v>112</v>
      </c>
      <c r="BB1" s="57" t="s">
        <v>55</v>
      </c>
      <c r="BC1" s="57" t="s">
        <v>17</v>
      </c>
      <c r="BD1" s="57" t="s">
        <v>27</v>
      </c>
      <c r="BE1" s="57" t="s">
        <v>4</v>
      </c>
      <c r="BF1" s="57" t="s">
        <v>50</v>
      </c>
      <c r="BG1" s="6" t="s">
        <v>6</v>
      </c>
      <c r="BH1" s="6" t="s">
        <v>62</v>
      </c>
      <c r="BI1" s="68" t="s">
        <v>113</v>
      </c>
      <c r="BJ1" s="68" t="s">
        <v>114</v>
      </c>
      <c r="BK1" s="6" t="s">
        <v>115</v>
      </c>
      <c r="BL1" s="68" t="s">
        <v>116</v>
      </c>
      <c r="BM1" s="69" t="s">
        <v>117</v>
      </c>
      <c r="BN1" s="7" t="s">
        <v>32</v>
      </c>
      <c r="BO1" s="7" t="s">
        <v>33</v>
      </c>
      <c r="BP1" s="7" t="s">
        <v>34</v>
      </c>
      <c r="BQ1" s="7" t="s">
        <v>35</v>
      </c>
      <c r="BR1" s="7" t="s">
        <v>36</v>
      </c>
      <c r="BS1" s="7" t="s">
        <v>37</v>
      </c>
      <c r="BT1" s="8" t="s">
        <v>38</v>
      </c>
      <c r="BU1" s="8" t="s">
        <v>39</v>
      </c>
    </row>
    <row r="2" ht="16.5" customHeight="1">
      <c r="A2" s="70">
        <v>18.0</v>
      </c>
      <c r="B2" s="71">
        <f t="shared" ref="B2:C2" si="1">BN2</f>
        <v>200</v>
      </c>
      <c r="C2" s="72">
        <f t="shared" si="1"/>
        <v>1</v>
      </c>
      <c r="D2" s="70"/>
      <c r="E2" s="73" t="s">
        <v>24</v>
      </c>
      <c r="F2" s="74">
        <v>10.0</v>
      </c>
      <c r="G2" s="70"/>
      <c r="H2" s="74">
        <v>5.0</v>
      </c>
      <c r="I2" s="74">
        <v>7.0</v>
      </c>
      <c r="J2" s="74">
        <v>4.0</v>
      </c>
      <c r="K2" s="74">
        <v>10.0</v>
      </c>
      <c r="L2" s="74">
        <v>12.0</v>
      </c>
      <c r="M2" s="74"/>
      <c r="N2" s="74">
        <v>10.0</v>
      </c>
      <c r="O2" s="74">
        <v>1.0</v>
      </c>
      <c r="P2" s="74"/>
      <c r="Q2" s="74"/>
      <c r="R2" s="74">
        <v>12.0</v>
      </c>
      <c r="S2" s="74">
        <v>10.0</v>
      </c>
      <c r="T2" s="74"/>
      <c r="U2" s="74">
        <v>12.0</v>
      </c>
      <c r="V2" s="74">
        <v>10.0</v>
      </c>
      <c r="W2" s="74">
        <v>1.0</v>
      </c>
      <c r="X2" s="74">
        <v>10.0</v>
      </c>
      <c r="Y2" s="74"/>
      <c r="Z2" s="74"/>
      <c r="AA2" s="74"/>
      <c r="AB2" s="74"/>
      <c r="AC2" s="74">
        <v>5.0</v>
      </c>
      <c r="AD2" s="74"/>
      <c r="AE2" s="74">
        <v>3.0</v>
      </c>
      <c r="AF2" s="74"/>
      <c r="AG2" s="74">
        <v>5.0</v>
      </c>
      <c r="AH2" s="74"/>
      <c r="AI2" s="74">
        <v>12.0</v>
      </c>
      <c r="AJ2" s="74"/>
      <c r="AK2" s="74">
        <v>6.0</v>
      </c>
      <c r="AL2" s="70"/>
      <c r="AM2" s="74">
        <v>12.0</v>
      </c>
      <c r="AN2" s="74"/>
      <c r="AO2" s="74"/>
      <c r="AP2" s="70"/>
      <c r="AQ2" s="74">
        <v>2.0</v>
      </c>
      <c r="AR2" s="74">
        <v>8.0</v>
      </c>
      <c r="AS2" s="74"/>
      <c r="AT2" s="74"/>
      <c r="AU2" s="74">
        <v>2.0</v>
      </c>
      <c r="AV2" s="74">
        <v>7.0</v>
      </c>
      <c r="AW2" s="70"/>
      <c r="AX2" s="74"/>
      <c r="AY2" s="74"/>
      <c r="AZ2" s="74">
        <v>8.0</v>
      </c>
      <c r="BA2" s="74"/>
      <c r="BB2" s="74"/>
      <c r="BC2" s="74"/>
      <c r="BD2" s="74"/>
      <c r="BE2" s="74"/>
      <c r="BF2" s="74">
        <v>4.0</v>
      </c>
      <c r="BG2" s="74"/>
      <c r="BH2" s="74">
        <v>12.0</v>
      </c>
      <c r="BI2" s="74"/>
      <c r="BJ2" s="74"/>
      <c r="BK2" s="74"/>
      <c r="BL2" s="74"/>
      <c r="BM2" s="74"/>
      <c r="BN2" s="70">
        <f t="shared" ref="BN2:BN29" si="3">SUM(F2:BM2)</f>
        <v>200</v>
      </c>
      <c r="BO2" s="70">
        <f t="shared" ref="BO2:BO29" si="4">RANK(BN2, $BN$2:$BN$29)
</f>
        <v>1</v>
      </c>
      <c r="BP2" s="70">
        <f t="shared" ref="BP2:BP29" si="5">COUNTIF(F2:BM2, "&gt;0")</f>
        <v>27</v>
      </c>
      <c r="BQ2" s="70">
        <f t="shared" ref="BQ2:BQ29" si="6">COUNTIF(F2:BM2, "12")</f>
        <v>6</v>
      </c>
      <c r="BR2" s="70">
        <f t="shared" ref="BR2:BR29" si="7">COUNTIF(F2:BM2, "10")</f>
        <v>6</v>
      </c>
      <c r="BS2" s="70">
        <f t="shared" ref="BS2:BS29" si="8">COUNTIF(F2:BM2, "8")</f>
        <v>2</v>
      </c>
      <c r="BT2" s="75">
        <f t="shared" ref="BT2:BT29" si="9">VALUE(BN2 &amp; TEXT(BP2, "00") &amp; TEXT(BQ2, "00") &amp; TEXT(BR2, "00") &amp; TEXT(BS2, "00"))
</f>
        <v>20027060602</v>
      </c>
      <c r="BU2" s="70">
        <f t="shared" ref="BU2:BU29" si="10">RANK(BT2, $BT$2:$BT$29)
</f>
        <v>1</v>
      </c>
    </row>
    <row r="3" ht="16.5" customHeight="1">
      <c r="A3" s="13">
        <v>6.0</v>
      </c>
      <c r="B3" s="76">
        <f t="shared" ref="B3:C3" si="2">BN3</f>
        <v>173</v>
      </c>
      <c r="C3" s="77">
        <f t="shared" si="2"/>
        <v>2</v>
      </c>
      <c r="D3" s="13"/>
      <c r="E3" s="78" t="s">
        <v>66</v>
      </c>
      <c r="F3" s="12"/>
      <c r="G3" s="12">
        <v>8.0</v>
      </c>
      <c r="H3" s="13"/>
      <c r="I3" s="12">
        <v>4.0</v>
      </c>
      <c r="J3" s="12">
        <v>12.0</v>
      </c>
      <c r="K3" s="12"/>
      <c r="L3" s="12">
        <v>7.0</v>
      </c>
      <c r="M3" s="12">
        <v>6.0</v>
      </c>
      <c r="N3" s="12"/>
      <c r="O3" s="12"/>
      <c r="P3" s="12"/>
      <c r="Q3" s="12">
        <v>10.0</v>
      </c>
      <c r="R3" s="12"/>
      <c r="S3" s="12">
        <v>7.0</v>
      </c>
      <c r="T3" s="12">
        <v>10.0</v>
      </c>
      <c r="U3" s="12"/>
      <c r="V3" s="12"/>
      <c r="W3" s="12"/>
      <c r="X3" s="12">
        <v>6.0</v>
      </c>
      <c r="Y3" s="12"/>
      <c r="Z3" s="12">
        <v>12.0</v>
      </c>
      <c r="AA3" s="12"/>
      <c r="AB3" s="12"/>
      <c r="AC3" s="12">
        <v>7.0</v>
      </c>
      <c r="AD3" s="12"/>
      <c r="AE3" s="12"/>
      <c r="AF3" s="12"/>
      <c r="AG3" s="12">
        <v>12.0</v>
      </c>
      <c r="AH3" s="12"/>
      <c r="AI3" s="12"/>
      <c r="AJ3" s="12">
        <v>5.0</v>
      </c>
      <c r="AK3" s="12"/>
      <c r="AL3" s="12">
        <v>12.0</v>
      </c>
      <c r="AM3" s="12"/>
      <c r="AN3" s="12"/>
      <c r="AO3" s="12"/>
      <c r="AP3" s="12"/>
      <c r="AQ3" s="12">
        <v>1.0</v>
      </c>
      <c r="AR3" s="12"/>
      <c r="AS3" s="13"/>
      <c r="AT3" s="13"/>
      <c r="AU3" s="12">
        <v>10.0</v>
      </c>
      <c r="AV3" s="13"/>
      <c r="AW3" s="12">
        <v>12.0</v>
      </c>
      <c r="AX3" s="12">
        <v>12.0</v>
      </c>
      <c r="AY3" s="12"/>
      <c r="AZ3" s="12">
        <v>4.0</v>
      </c>
      <c r="BA3" s="12"/>
      <c r="BB3" s="12"/>
      <c r="BC3" s="13"/>
      <c r="BD3" s="12">
        <v>10.0</v>
      </c>
      <c r="BE3" s="13"/>
      <c r="BF3" s="12">
        <v>3.0</v>
      </c>
      <c r="BG3" s="12">
        <v>3.0</v>
      </c>
      <c r="BH3" s="12"/>
      <c r="BI3" s="12"/>
      <c r="BJ3" s="12"/>
      <c r="BK3" s="12"/>
      <c r="BL3" s="12"/>
      <c r="BM3" s="12"/>
      <c r="BN3" s="13">
        <f t="shared" si="3"/>
        <v>173</v>
      </c>
      <c r="BO3" s="13">
        <f t="shared" si="4"/>
        <v>2</v>
      </c>
      <c r="BP3" s="13">
        <f t="shared" si="5"/>
        <v>22</v>
      </c>
      <c r="BQ3" s="13">
        <f t="shared" si="6"/>
        <v>6</v>
      </c>
      <c r="BR3" s="13">
        <f t="shared" si="7"/>
        <v>4</v>
      </c>
      <c r="BS3" s="13">
        <f t="shared" si="8"/>
        <v>1</v>
      </c>
      <c r="BT3" s="14">
        <f t="shared" si="9"/>
        <v>17322060401</v>
      </c>
      <c r="BU3" s="13">
        <f t="shared" si="10"/>
        <v>2</v>
      </c>
    </row>
    <row r="4" ht="16.5" customHeight="1">
      <c r="A4" s="12">
        <v>25.0</v>
      </c>
      <c r="B4" s="76">
        <f t="shared" ref="B4:C4" si="11">BN4</f>
        <v>147</v>
      </c>
      <c r="C4" s="77">
        <f t="shared" si="11"/>
        <v>3</v>
      </c>
      <c r="D4" s="12"/>
      <c r="E4" s="78" t="s">
        <v>23</v>
      </c>
      <c r="F4" s="12">
        <v>4.0</v>
      </c>
      <c r="G4" s="12">
        <v>5.0</v>
      </c>
      <c r="H4" s="12">
        <v>12.0</v>
      </c>
      <c r="I4" s="12">
        <v>8.0</v>
      </c>
      <c r="J4" s="12">
        <v>6.0</v>
      </c>
      <c r="K4" s="12">
        <v>8.0</v>
      </c>
      <c r="L4" s="13"/>
      <c r="M4" s="12">
        <v>1.0</v>
      </c>
      <c r="N4" s="13"/>
      <c r="O4" s="12">
        <v>3.0</v>
      </c>
      <c r="P4" s="12">
        <v>6.0</v>
      </c>
      <c r="Q4" s="12"/>
      <c r="R4" s="12"/>
      <c r="S4" s="12">
        <v>2.0</v>
      </c>
      <c r="T4" s="12">
        <v>4.0</v>
      </c>
      <c r="U4" s="12">
        <v>4.0</v>
      </c>
      <c r="V4" s="12">
        <v>7.0</v>
      </c>
      <c r="W4" s="12"/>
      <c r="X4" s="12">
        <v>3.0</v>
      </c>
      <c r="Y4" s="12"/>
      <c r="Z4" s="12"/>
      <c r="AA4" s="12">
        <v>1.0</v>
      </c>
      <c r="AB4" s="12"/>
      <c r="AC4" s="13"/>
      <c r="AD4" s="13"/>
      <c r="AE4" s="13"/>
      <c r="AF4" s="12"/>
      <c r="AG4" s="12">
        <v>3.0</v>
      </c>
      <c r="AH4" s="13"/>
      <c r="AI4" s="12">
        <v>10.0</v>
      </c>
      <c r="AJ4" s="13"/>
      <c r="AK4" s="12"/>
      <c r="AL4" s="13"/>
      <c r="AM4" s="12"/>
      <c r="AN4" s="12"/>
      <c r="AO4" s="12">
        <v>12.0</v>
      </c>
      <c r="AP4" s="12">
        <v>5.0</v>
      </c>
      <c r="AQ4" s="12">
        <v>6.0</v>
      </c>
      <c r="AR4" s="12"/>
      <c r="AS4" s="12"/>
      <c r="AT4" s="13"/>
      <c r="AU4" s="12"/>
      <c r="AV4" s="12"/>
      <c r="AW4" s="12"/>
      <c r="AX4" s="12"/>
      <c r="AY4" s="12"/>
      <c r="AZ4" s="12">
        <v>1.0</v>
      </c>
      <c r="BA4" s="12">
        <v>7.0</v>
      </c>
      <c r="BB4" s="13"/>
      <c r="BC4" s="12">
        <v>5.0</v>
      </c>
      <c r="BD4" s="12">
        <v>7.0</v>
      </c>
      <c r="BE4" s="13"/>
      <c r="BF4" s="12">
        <v>7.0</v>
      </c>
      <c r="BG4" s="12"/>
      <c r="BH4" s="12">
        <v>10.0</v>
      </c>
      <c r="BI4" s="12"/>
      <c r="BJ4" s="12"/>
      <c r="BK4" s="12"/>
      <c r="BL4" s="12"/>
      <c r="BM4" s="12"/>
      <c r="BN4" s="13">
        <f t="shared" si="3"/>
        <v>147</v>
      </c>
      <c r="BO4" s="13">
        <f t="shared" si="4"/>
        <v>3</v>
      </c>
      <c r="BP4" s="13">
        <f t="shared" si="5"/>
        <v>26</v>
      </c>
      <c r="BQ4" s="13">
        <f t="shared" si="6"/>
        <v>2</v>
      </c>
      <c r="BR4" s="13">
        <f t="shared" si="7"/>
        <v>2</v>
      </c>
      <c r="BS4" s="13">
        <f t="shared" si="8"/>
        <v>2</v>
      </c>
      <c r="BT4" s="14">
        <f t="shared" si="9"/>
        <v>14726020202</v>
      </c>
      <c r="BU4" s="13">
        <f t="shared" si="10"/>
        <v>3</v>
      </c>
    </row>
    <row r="5" ht="16.5" customHeight="1">
      <c r="A5" s="12">
        <v>27.0</v>
      </c>
      <c r="B5" s="76">
        <f t="shared" ref="B5:C5" si="12">BN5</f>
        <v>144</v>
      </c>
      <c r="C5" s="77">
        <f t="shared" si="12"/>
        <v>4</v>
      </c>
      <c r="D5" s="12"/>
      <c r="E5" s="78" t="s">
        <v>22</v>
      </c>
      <c r="F5" s="12">
        <v>1.0</v>
      </c>
      <c r="G5" s="12"/>
      <c r="H5" s="12"/>
      <c r="I5" s="12">
        <v>12.0</v>
      </c>
      <c r="J5" s="13"/>
      <c r="K5" s="12">
        <v>5.0</v>
      </c>
      <c r="L5" s="12">
        <v>8.0</v>
      </c>
      <c r="M5" s="12"/>
      <c r="N5" s="12">
        <v>7.0</v>
      </c>
      <c r="O5" s="12">
        <v>10.0</v>
      </c>
      <c r="P5" s="12"/>
      <c r="Q5" s="13"/>
      <c r="R5" s="12">
        <v>6.0</v>
      </c>
      <c r="S5" s="12">
        <v>12.0</v>
      </c>
      <c r="T5" s="12">
        <v>12.0</v>
      </c>
      <c r="U5" s="12">
        <v>6.0</v>
      </c>
      <c r="V5" s="12">
        <v>5.0</v>
      </c>
      <c r="W5" s="12"/>
      <c r="X5" s="12">
        <v>12.0</v>
      </c>
      <c r="Y5" s="12">
        <v>7.0</v>
      </c>
      <c r="Z5" s="12"/>
      <c r="AA5" s="13"/>
      <c r="AB5" s="12"/>
      <c r="AC5" s="13"/>
      <c r="AD5" s="12"/>
      <c r="AE5" s="12"/>
      <c r="AF5" s="12"/>
      <c r="AG5" s="12">
        <v>2.0</v>
      </c>
      <c r="AH5" s="12"/>
      <c r="AI5" s="12"/>
      <c r="AJ5" s="12"/>
      <c r="AK5" s="13"/>
      <c r="AL5" s="12"/>
      <c r="AM5" s="12"/>
      <c r="AN5" s="12"/>
      <c r="AO5" s="13"/>
      <c r="AP5" s="13"/>
      <c r="AQ5" s="13"/>
      <c r="AR5" s="12"/>
      <c r="AS5" s="12"/>
      <c r="AT5" s="12"/>
      <c r="AU5" s="12"/>
      <c r="AV5" s="12">
        <v>8.0</v>
      </c>
      <c r="AW5" s="12"/>
      <c r="AX5" s="12"/>
      <c r="AY5" s="13"/>
      <c r="AZ5" s="12">
        <v>10.0</v>
      </c>
      <c r="BA5" s="12">
        <v>8.0</v>
      </c>
      <c r="BB5" s="12"/>
      <c r="BC5" s="13"/>
      <c r="BD5" s="13"/>
      <c r="BE5" s="13"/>
      <c r="BF5" s="12"/>
      <c r="BG5" s="12">
        <v>7.0</v>
      </c>
      <c r="BH5" s="12">
        <v>6.0</v>
      </c>
      <c r="BI5" s="12"/>
      <c r="BJ5" s="12"/>
      <c r="BK5" s="13"/>
      <c r="BL5" s="12"/>
      <c r="BM5" s="12"/>
      <c r="BN5" s="13">
        <f t="shared" si="3"/>
        <v>144</v>
      </c>
      <c r="BO5" s="13">
        <f t="shared" si="4"/>
        <v>4</v>
      </c>
      <c r="BP5" s="13">
        <f t="shared" si="5"/>
        <v>19</v>
      </c>
      <c r="BQ5" s="13">
        <f t="shared" si="6"/>
        <v>4</v>
      </c>
      <c r="BR5" s="13">
        <f t="shared" si="7"/>
        <v>2</v>
      </c>
      <c r="BS5" s="13">
        <f t="shared" si="8"/>
        <v>3</v>
      </c>
      <c r="BT5" s="14">
        <f t="shared" si="9"/>
        <v>14419040203</v>
      </c>
      <c r="BU5" s="13">
        <f t="shared" si="10"/>
        <v>4</v>
      </c>
    </row>
    <row r="6" ht="16.5" customHeight="1">
      <c r="A6" s="13">
        <v>11.0</v>
      </c>
      <c r="B6" s="76">
        <f t="shared" ref="B6:C6" si="13">BN6</f>
        <v>137</v>
      </c>
      <c r="C6" s="77">
        <f t="shared" si="13"/>
        <v>5</v>
      </c>
      <c r="D6" s="13"/>
      <c r="E6" s="78" t="s">
        <v>64</v>
      </c>
      <c r="F6" s="12">
        <v>12.0</v>
      </c>
      <c r="G6" s="12"/>
      <c r="H6" s="12">
        <v>6.0</v>
      </c>
      <c r="I6" s="12"/>
      <c r="J6" s="12">
        <v>5.0</v>
      </c>
      <c r="K6" s="12">
        <v>3.0</v>
      </c>
      <c r="L6" s="12"/>
      <c r="M6" s="12"/>
      <c r="N6" s="12">
        <v>6.0</v>
      </c>
      <c r="O6" s="12"/>
      <c r="P6" s="12"/>
      <c r="Q6" s="12">
        <v>2.0</v>
      </c>
      <c r="R6" s="12"/>
      <c r="S6" s="12"/>
      <c r="T6" s="12"/>
      <c r="U6" s="12"/>
      <c r="V6" s="12">
        <v>12.0</v>
      </c>
      <c r="W6" s="12"/>
      <c r="X6" s="12"/>
      <c r="Y6" s="12">
        <v>5.0</v>
      </c>
      <c r="Z6" s="12"/>
      <c r="AA6" s="12"/>
      <c r="AB6" s="12">
        <v>3.0</v>
      </c>
      <c r="AC6" s="12"/>
      <c r="AD6" s="12"/>
      <c r="AE6" s="12">
        <v>2.0</v>
      </c>
      <c r="AF6" s="12"/>
      <c r="AG6" s="12"/>
      <c r="AH6" s="12">
        <v>8.0</v>
      </c>
      <c r="AI6" s="12">
        <v>2.0</v>
      </c>
      <c r="AJ6" s="12"/>
      <c r="AK6" s="12">
        <v>12.0</v>
      </c>
      <c r="AL6" s="13"/>
      <c r="AM6" s="12">
        <v>10.0</v>
      </c>
      <c r="AN6" s="12"/>
      <c r="AO6" s="12"/>
      <c r="AP6" s="12">
        <v>4.0</v>
      </c>
      <c r="AQ6" s="12">
        <v>4.0</v>
      </c>
      <c r="AR6" s="12">
        <v>2.0</v>
      </c>
      <c r="AS6" s="12"/>
      <c r="AT6" s="12"/>
      <c r="AU6" s="12">
        <v>1.0</v>
      </c>
      <c r="AV6" s="12">
        <v>10.0</v>
      </c>
      <c r="AW6" s="12"/>
      <c r="AX6" s="13"/>
      <c r="AY6" s="13"/>
      <c r="AZ6" s="12"/>
      <c r="BA6" s="12">
        <v>12.0</v>
      </c>
      <c r="BB6" s="12"/>
      <c r="BC6" s="12">
        <v>2.0</v>
      </c>
      <c r="BD6" s="12"/>
      <c r="BE6" s="12"/>
      <c r="BF6" s="12">
        <v>6.0</v>
      </c>
      <c r="BG6" s="13"/>
      <c r="BH6" s="12">
        <v>8.0</v>
      </c>
      <c r="BI6" s="12"/>
      <c r="BJ6" s="13"/>
      <c r="BK6" s="13"/>
      <c r="BL6" s="12"/>
      <c r="BM6" s="12"/>
      <c r="BN6" s="13">
        <f t="shared" si="3"/>
        <v>137</v>
      </c>
      <c r="BO6" s="13">
        <f t="shared" si="4"/>
        <v>5</v>
      </c>
      <c r="BP6" s="13">
        <f t="shared" si="5"/>
        <v>23</v>
      </c>
      <c r="BQ6" s="13">
        <f t="shared" si="6"/>
        <v>4</v>
      </c>
      <c r="BR6" s="13">
        <f t="shared" si="7"/>
        <v>2</v>
      </c>
      <c r="BS6" s="13">
        <f t="shared" si="8"/>
        <v>2</v>
      </c>
      <c r="BT6" s="14">
        <f t="shared" si="9"/>
        <v>13723040202</v>
      </c>
      <c r="BU6" s="13">
        <f t="shared" si="10"/>
        <v>5</v>
      </c>
    </row>
    <row r="7" ht="16.5" customHeight="1">
      <c r="A7" s="13">
        <v>5.0</v>
      </c>
      <c r="B7" s="76">
        <f t="shared" ref="B7:C7" si="14">BN7</f>
        <v>129</v>
      </c>
      <c r="C7" s="77">
        <f t="shared" si="14"/>
        <v>6</v>
      </c>
      <c r="D7" s="13"/>
      <c r="E7" s="78" t="s">
        <v>19</v>
      </c>
      <c r="F7" s="12"/>
      <c r="G7" s="12">
        <v>6.0</v>
      </c>
      <c r="H7" s="12"/>
      <c r="I7" s="12"/>
      <c r="J7" s="12">
        <v>2.0</v>
      </c>
      <c r="K7" s="13"/>
      <c r="L7" s="13"/>
      <c r="M7" s="13"/>
      <c r="N7" s="12">
        <v>8.0</v>
      </c>
      <c r="O7" s="12"/>
      <c r="P7" s="12">
        <v>5.0</v>
      </c>
      <c r="Q7" s="12"/>
      <c r="R7" s="12"/>
      <c r="S7" s="12">
        <v>8.0</v>
      </c>
      <c r="T7" s="12">
        <v>5.0</v>
      </c>
      <c r="U7" s="12">
        <v>1.0</v>
      </c>
      <c r="V7" s="12">
        <v>1.0</v>
      </c>
      <c r="W7" s="12">
        <v>8.0</v>
      </c>
      <c r="X7" s="13"/>
      <c r="Y7" s="13"/>
      <c r="Z7" s="12"/>
      <c r="AA7" s="13"/>
      <c r="AB7" s="12">
        <v>1.0</v>
      </c>
      <c r="AC7" s="12"/>
      <c r="AD7" s="12">
        <v>5.0</v>
      </c>
      <c r="AE7" s="12"/>
      <c r="AF7" s="12">
        <v>8.0</v>
      </c>
      <c r="AG7" s="12"/>
      <c r="AH7" s="13"/>
      <c r="AI7" s="12"/>
      <c r="AJ7" s="12">
        <v>7.0</v>
      </c>
      <c r="AK7" s="12"/>
      <c r="AL7" s="12">
        <v>6.0</v>
      </c>
      <c r="AM7" s="12"/>
      <c r="AN7" s="12"/>
      <c r="AO7" s="12">
        <v>2.0</v>
      </c>
      <c r="AP7" s="13"/>
      <c r="AQ7" s="13"/>
      <c r="AR7" s="12">
        <v>7.0</v>
      </c>
      <c r="AS7" s="12">
        <v>6.0</v>
      </c>
      <c r="AT7" s="12">
        <v>12.0</v>
      </c>
      <c r="AU7" s="12"/>
      <c r="AV7" s="12">
        <v>4.0</v>
      </c>
      <c r="AW7" s="12"/>
      <c r="AX7" s="12">
        <v>1.0</v>
      </c>
      <c r="AY7" s="12">
        <v>4.0</v>
      </c>
      <c r="AZ7" s="12">
        <v>3.0</v>
      </c>
      <c r="BA7" s="12">
        <v>1.0</v>
      </c>
      <c r="BB7" s="12">
        <v>7.0</v>
      </c>
      <c r="BC7" s="12">
        <v>3.0</v>
      </c>
      <c r="BD7" s="12"/>
      <c r="BE7" s="12">
        <v>8.0</v>
      </c>
      <c r="BF7" s="12"/>
      <c r="BG7" s="12"/>
      <c r="BH7" s="13"/>
      <c r="BI7" s="13"/>
      <c r="BJ7" s="12"/>
      <c r="BK7" s="13"/>
      <c r="BL7" s="12"/>
      <c r="BM7" s="12"/>
      <c r="BN7" s="13">
        <f t="shared" si="3"/>
        <v>129</v>
      </c>
      <c r="BO7" s="13">
        <f t="shared" si="4"/>
        <v>6</v>
      </c>
      <c r="BP7" s="13">
        <f t="shared" si="5"/>
        <v>26</v>
      </c>
      <c r="BQ7" s="13">
        <f t="shared" si="6"/>
        <v>1</v>
      </c>
      <c r="BR7" s="13">
        <f t="shared" si="7"/>
        <v>0</v>
      </c>
      <c r="BS7" s="13">
        <f t="shared" si="8"/>
        <v>5</v>
      </c>
      <c r="BT7" s="14">
        <f t="shared" si="9"/>
        <v>12926010005</v>
      </c>
      <c r="BU7" s="13">
        <f t="shared" si="10"/>
        <v>6</v>
      </c>
    </row>
    <row r="8" ht="16.5" customHeight="1">
      <c r="A8" s="23">
        <v>3.0</v>
      </c>
      <c r="B8" s="79">
        <f t="shared" ref="B8:C8" si="15">BN8</f>
        <v>129</v>
      </c>
      <c r="C8" s="80">
        <f t="shared" si="15"/>
        <v>6</v>
      </c>
      <c r="D8" s="23"/>
      <c r="E8" s="81" t="s">
        <v>72</v>
      </c>
      <c r="F8" s="22">
        <v>3.0</v>
      </c>
      <c r="G8" s="17"/>
      <c r="H8" s="22">
        <v>1.0</v>
      </c>
      <c r="I8" s="23"/>
      <c r="J8" s="22"/>
      <c r="K8" s="22">
        <v>4.0</v>
      </c>
      <c r="L8" s="22">
        <v>1.0</v>
      </c>
      <c r="M8" s="23"/>
      <c r="N8" s="22"/>
      <c r="O8" s="23"/>
      <c r="P8" s="22">
        <v>3.0</v>
      </c>
      <c r="Q8" s="23"/>
      <c r="R8" s="22">
        <v>5.0</v>
      </c>
      <c r="S8" s="23"/>
      <c r="T8" s="22">
        <v>8.0</v>
      </c>
      <c r="U8" s="23"/>
      <c r="V8" s="22"/>
      <c r="W8" s="23"/>
      <c r="X8" s="22"/>
      <c r="Y8" s="22"/>
      <c r="Z8" s="22"/>
      <c r="AA8" s="22"/>
      <c r="AB8" s="23"/>
      <c r="AC8" s="23"/>
      <c r="AD8" s="22">
        <v>8.0</v>
      </c>
      <c r="AE8" s="22"/>
      <c r="AF8" s="22"/>
      <c r="AG8" s="22"/>
      <c r="AH8" s="17">
        <v>2.0</v>
      </c>
      <c r="AI8" s="22">
        <v>1.0</v>
      </c>
      <c r="AJ8" s="22">
        <v>12.0</v>
      </c>
      <c r="AK8" s="22"/>
      <c r="AL8" s="22"/>
      <c r="AM8" s="22">
        <v>7.0</v>
      </c>
      <c r="AN8" s="22">
        <v>5.0</v>
      </c>
      <c r="AO8" s="22">
        <v>10.0</v>
      </c>
      <c r="AP8" s="22">
        <v>12.0</v>
      </c>
      <c r="AQ8" s="22">
        <v>7.0</v>
      </c>
      <c r="AR8" s="22">
        <v>6.0</v>
      </c>
      <c r="AS8" s="22"/>
      <c r="AT8" s="23"/>
      <c r="AU8" s="22"/>
      <c r="AV8" s="22"/>
      <c r="AW8" s="22"/>
      <c r="AX8" s="23"/>
      <c r="AY8" s="23"/>
      <c r="AZ8" s="22"/>
      <c r="BA8" s="23"/>
      <c r="BB8" s="22">
        <v>12.0</v>
      </c>
      <c r="BC8" s="22">
        <v>10.0</v>
      </c>
      <c r="BD8" s="22"/>
      <c r="BE8" s="22"/>
      <c r="BF8" s="22">
        <v>12.0</v>
      </c>
      <c r="BG8" s="23"/>
      <c r="BH8" s="22"/>
      <c r="BI8" s="22"/>
      <c r="BJ8" s="22"/>
      <c r="BK8" s="22"/>
      <c r="BL8" s="23"/>
      <c r="BM8" s="17"/>
      <c r="BN8" s="23">
        <f t="shared" si="3"/>
        <v>129</v>
      </c>
      <c r="BO8" s="23">
        <f t="shared" si="4"/>
        <v>6</v>
      </c>
      <c r="BP8" s="23">
        <f t="shared" si="5"/>
        <v>20</v>
      </c>
      <c r="BQ8" s="23">
        <f t="shared" si="6"/>
        <v>4</v>
      </c>
      <c r="BR8" s="23">
        <f t="shared" si="7"/>
        <v>2</v>
      </c>
      <c r="BS8" s="23">
        <f t="shared" si="8"/>
        <v>2</v>
      </c>
      <c r="BT8" s="24">
        <f t="shared" si="9"/>
        <v>12920040202</v>
      </c>
      <c r="BU8" s="23">
        <f t="shared" si="10"/>
        <v>7</v>
      </c>
    </row>
    <row r="9" ht="16.5" customHeight="1">
      <c r="A9" s="18">
        <v>1.0</v>
      </c>
      <c r="B9" s="79">
        <f t="shared" ref="B9:C9" si="16">BN9</f>
        <v>128</v>
      </c>
      <c r="C9" s="80">
        <f t="shared" si="16"/>
        <v>8</v>
      </c>
      <c r="D9" s="18"/>
      <c r="E9" s="81" t="s">
        <v>47</v>
      </c>
      <c r="F9" s="17"/>
      <c r="G9" s="18"/>
      <c r="H9" s="17"/>
      <c r="I9" s="18"/>
      <c r="J9" s="17"/>
      <c r="K9" s="17"/>
      <c r="L9" s="18"/>
      <c r="M9" s="17">
        <v>12.0</v>
      </c>
      <c r="N9" s="17"/>
      <c r="O9" s="17"/>
      <c r="P9" s="17">
        <v>12.0</v>
      </c>
      <c r="Q9" s="17">
        <v>7.0</v>
      </c>
      <c r="R9" s="17"/>
      <c r="S9" s="17">
        <v>3.0</v>
      </c>
      <c r="T9" s="17">
        <v>2.0</v>
      </c>
      <c r="U9" s="18"/>
      <c r="V9" s="18"/>
      <c r="W9" s="18"/>
      <c r="X9" s="18"/>
      <c r="Y9" s="17"/>
      <c r="Z9" s="17">
        <v>7.0</v>
      </c>
      <c r="AA9" s="17">
        <v>12.0</v>
      </c>
      <c r="AB9" s="17">
        <v>7.0</v>
      </c>
      <c r="AC9" s="18"/>
      <c r="AD9" s="17"/>
      <c r="AE9" s="17">
        <v>4.0</v>
      </c>
      <c r="AF9" s="18"/>
      <c r="AG9" s="17"/>
      <c r="AH9" s="17"/>
      <c r="AI9" s="18"/>
      <c r="AJ9" s="18"/>
      <c r="AK9" s="17"/>
      <c r="AL9" s="17"/>
      <c r="AM9" s="17">
        <v>4.0</v>
      </c>
      <c r="AN9" s="18"/>
      <c r="AO9" s="17">
        <v>3.0</v>
      </c>
      <c r="AP9" s="17"/>
      <c r="AQ9" s="17">
        <v>8.0</v>
      </c>
      <c r="AR9" s="17"/>
      <c r="AS9" s="17"/>
      <c r="AT9" s="17">
        <v>10.0</v>
      </c>
      <c r="AU9" s="17">
        <v>3.0</v>
      </c>
      <c r="AV9" s="17"/>
      <c r="AW9" s="17">
        <v>7.0</v>
      </c>
      <c r="AX9" s="17">
        <v>6.0</v>
      </c>
      <c r="AY9" s="17">
        <v>3.0</v>
      </c>
      <c r="AZ9" s="17">
        <v>2.0</v>
      </c>
      <c r="BA9" s="17"/>
      <c r="BB9" s="17"/>
      <c r="BC9" s="17">
        <v>4.0</v>
      </c>
      <c r="BD9" s="17">
        <v>8.0</v>
      </c>
      <c r="BE9" s="17"/>
      <c r="BF9" s="17"/>
      <c r="BG9" s="17">
        <v>4.0</v>
      </c>
      <c r="BH9" s="18"/>
      <c r="BI9" s="17"/>
      <c r="BJ9" s="17"/>
      <c r="BK9" s="17"/>
      <c r="BL9" s="17"/>
      <c r="BM9" s="17"/>
      <c r="BN9" s="18">
        <f t="shared" si="3"/>
        <v>128</v>
      </c>
      <c r="BO9" s="18">
        <f t="shared" si="4"/>
        <v>8</v>
      </c>
      <c r="BP9" s="18">
        <f t="shared" si="5"/>
        <v>21</v>
      </c>
      <c r="BQ9" s="18">
        <f t="shared" si="6"/>
        <v>3</v>
      </c>
      <c r="BR9" s="18">
        <f t="shared" si="7"/>
        <v>1</v>
      </c>
      <c r="BS9" s="18">
        <f t="shared" si="8"/>
        <v>2</v>
      </c>
      <c r="BT9" s="19">
        <f t="shared" si="9"/>
        <v>12821030102</v>
      </c>
      <c r="BU9" s="18">
        <f t="shared" si="10"/>
        <v>8</v>
      </c>
    </row>
    <row r="10" ht="16.5" customHeight="1">
      <c r="A10" s="23">
        <v>15.0</v>
      </c>
      <c r="B10" s="79">
        <f t="shared" ref="B10:C10" si="17">BN10</f>
        <v>128</v>
      </c>
      <c r="C10" s="80">
        <f t="shared" si="17"/>
        <v>8</v>
      </c>
      <c r="D10" s="23"/>
      <c r="E10" s="81" t="s">
        <v>18</v>
      </c>
      <c r="F10" s="22">
        <v>7.0</v>
      </c>
      <c r="G10" s="17">
        <v>3.0</v>
      </c>
      <c r="H10" s="22">
        <v>8.0</v>
      </c>
      <c r="I10" s="23"/>
      <c r="J10" s="22"/>
      <c r="K10" s="22">
        <v>12.0</v>
      </c>
      <c r="L10" s="22"/>
      <c r="M10" s="22"/>
      <c r="N10" s="22">
        <v>4.0</v>
      </c>
      <c r="O10" s="23"/>
      <c r="P10" s="22"/>
      <c r="Q10" s="22"/>
      <c r="R10" s="22">
        <v>4.0</v>
      </c>
      <c r="S10" s="22"/>
      <c r="T10" s="22">
        <v>6.0</v>
      </c>
      <c r="U10" s="22">
        <v>10.0</v>
      </c>
      <c r="V10" s="22"/>
      <c r="W10" s="22"/>
      <c r="X10" s="23"/>
      <c r="Y10" s="22">
        <v>4.0</v>
      </c>
      <c r="Z10" s="23"/>
      <c r="AA10" s="22"/>
      <c r="AB10" s="22"/>
      <c r="AC10" s="22"/>
      <c r="AD10" s="22">
        <v>6.0</v>
      </c>
      <c r="AE10" s="22">
        <v>8.0</v>
      </c>
      <c r="AF10" s="22">
        <v>3.0</v>
      </c>
      <c r="AG10" s="23"/>
      <c r="AH10" s="17">
        <v>10.0</v>
      </c>
      <c r="AI10" s="22"/>
      <c r="AJ10" s="22">
        <v>10.0</v>
      </c>
      <c r="AK10" s="22">
        <v>8.0</v>
      </c>
      <c r="AL10" s="23"/>
      <c r="AM10" s="22">
        <v>5.0</v>
      </c>
      <c r="AN10" s="22">
        <v>3.0</v>
      </c>
      <c r="AO10" s="22"/>
      <c r="AP10" s="22"/>
      <c r="AQ10" s="23"/>
      <c r="AR10" s="22"/>
      <c r="AS10" s="23"/>
      <c r="AT10" s="23"/>
      <c r="AU10" s="22"/>
      <c r="AV10" s="23"/>
      <c r="AW10" s="22"/>
      <c r="AX10" s="22"/>
      <c r="AY10" s="22"/>
      <c r="AZ10" s="22"/>
      <c r="BA10" s="22">
        <v>3.0</v>
      </c>
      <c r="BB10" s="22">
        <v>8.0</v>
      </c>
      <c r="BC10" s="22">
        <v>6.0</v>
      </c>
      <c r="BD10" s="22"/>
      <c r="BE10" s="22"/>
      <c r="BF10" s="22"/>
      <c r="BG10" s="22"/>
      <c r="BH10" s="23"/>
      <c r="BI10" s="22"/>
      <c r="BJ10" s="22"/>
      <c r="BK10" s="22"/>
      <c r="BL10" s="22"/>
      <c r="BM10" s="17"/>
      <c r="BN10" s="23">
        <f t="shared" si="3"/>
        <v>128</v>
      </c>
      <c r="BO10" s="23">
        <f t="shared" si="4"/>
        <v>8</v>
      </c>
      <c r="BP10" s="23">
        <f t="shared" si="5"/>
        <v>20</v>
      </c>
      <c r="BQ10" s="23">
        <f t="shared" si="6"/>
        <v>1</v>
      </c>
      <c r="BR10" s="23">
        <f t="shared" si="7"/>
        <v>3</v>
      </c>
      <c r="BS10" s="23">
        <f t="shared" si="8"/>
        <v>4</v>
      </c>
      <c r="BT10" s="24">
        <f t="shared" si="9"/>
        <v>12820010304</v>
      </c>
      <c r="BU10" s="23">
        <f t="shared" si="10"/>
        <v>9</v>
      </c>
    </row>
    <row r="11" ht="16.5" customHeight="1">
      <c r="A11" s="18">
        <v>2.0</v>
      </c>
      <c r="B11" s="79">
        <f t="shared" ref="B11:C11" si="18">BN11</f>
        <v>126</v>
      </c>
      <c r="C11" s="80">
        <f t="shared" si="18"/>
        <v>10</v>
      </c>
      <c r="D11" s="18"/>
      <c r="E11" s="81" t="s">
        <v>8</v>
      </c>
      <c r="F11" s="18"/>
      <c r="G11" s="18"/>
      <c r="H11" s="17"/>
      <c r="I11" s="17"/>
      <c r="J11" s="17"/>
      <c r="K11" s="17"/>
      <c r="L11" s="17"/>
      <c r="M11" s="17"/>
      <c r="N11" s="17">
        <v>5.0</v>
      </c>
      <c r="O11" s="17">
        <v>8.0</v>
      </c>
      <c r="P11" s="17"/>
      <c r="Q11" s="17">
        <v>3.0</v>
      </c>
      <c r="R11" s="17"/>
      <c r="S11" s="17">
        <v>6.0</v>
      </c>
      <c r="T11" s="17"/>
      <c r="U11" s="17">
        <v>7.0</v>
      </c>
      <c r="V11" s="17"/>
      <c r="W11" s="17"/>
      <c r="X11" s="17"/>
      <c r="Y11" s="17">
        <v>8.0</v>
      </c>
      <c r="Z11" s="17">
        <v>4.0</v>
      </c>
      <c r="AA11" s="17"/>
      <c r="AB11" s="17">
        <v>6.0</v>
      </c>
      <c r="AC11" s="17"/>
      <c r="AD11" s="17"/>
      <c r="AE11" s="17"/>
      <c r="AF11" s="17">
        <v>4.0</v>
      </c>
      <c r="AG11" s="17">
        <v>7.0</v>
      </c>
      <c r="AH11" s="17"/>
      <c r="AI11" s="17">
        <v>3.0</v>
      </c>
      <c r="AJ11" s="17">
        <v>8.0</v>
      </c>
      <c r="AK11" s="17">
        <v>10.0</v>
      </c>
      <c r="AL11" s="17"/>
      <c r="AM11" s="17">
        <v>1.0</v>
      </c>
      <c r="AN11" s="17"/>
      <c r="AO11" s="18"/>
      <c r="AP11" s="17">
        <v>10.0</v>
      </c>
      <c r="AQ11" s="17">
        <v>5.0</v>
      </c>
      <c r="AR11" s="17">
        <v>3.0</v>
      </c>
      <c r="AS11" s="17">
        <v>5.0</v>
      </c>
      <c r="AT11" s="17"/>
      <c r="AU11" s="17"/>
      <c r="AV11" s="17">
        <v>1.0</v>
      </c>
      <c r="AW11" s="17"/>
      <c r="AX11" s="17"/>
      <c r="AY11" s="17">
        <v>2.0</v>
      </c>
      <c r="AZ11" s="17"/>
      <c r="BA11" s="17">
        <v>4.0</v>
      </c>
      <c r="BB11" s="17">
        <v>6.0</v>
      </c>
      <c r="BC11" s="17"/>
      <c r="BD11" s="17"/>
      <c r="BE11" s="17">
        <v>4.0</v>
      </c>
      <c r="BF11" s="17">
        <v>5.0</v>
      </c>
      <c r="BG11" s="17">
        <v>1.0</v>
      </c>
      <c r="BH11" s="17"/>
      <c r="BI11" s="18"/>
      <c r="BJ11" s="17"/>
      <c r="BK11" s="18"/>
      <c r="BL11" s="17"/>
      <c r="BM11" s="17"/>
      <c r="BN11" s="18">
        <f t="shared" si="3"/>
        <v>126</v>
      </c>
      <c r="BO11" s="18">
        <f t="shared" si="4"/>
        <v>10</v>
      </c>
      <c r="BP11" s="18">
        <f t="shared" si="5"/>
        <v>25</v>
      </c>
      <c r="BQ11" s="18">
        <f t="shared" si="6"/>
        <v>0</v>
      </c>
      <c r="BR11" s="18">
        <f t="shared" si="7"/>
        <v>2</v>
      </c>
      <c r="BS11" s="18">
        <f t="shared" si="8"/>
        <v>3</v>
      </c>
      <c r="BT11" s="19">
        <f t="shared" si="9"/>
        <v>12625000203</v>
      </c>
      <c r="BU11" s="18">
        <f t="shared" si="10"/>
        <v>10</v>
      </c>
    </row>
    <row r="12" ht="16.5" customHeight="1">
      <c r="A12" s="18">
        <v>14.0</v>
      </c>
      <c r="B12" s="79">
        <f t="shared" ref="B12:C12" si="19">BN12</f>
        <v>124</v>
      </c>
      <c r="C12" s="80">
        <f t="shared" si="19"/>
        <v>11</v>
      </c>
      <c r="D12" s="18"/>
      <c r="E12" s="81" t="s">
        <v>26</v>
      </c>
      <c r="F12" s="17"/>
      <c r="G12" s="17"/>
      <c r="H12" s="17">
        <v>3.0</v>
      </c>
      <c r="I12" s="18"/>
      <c r="J12" s="17"/>
      <c r="K12" s="17"/>
      <c r="L12" s="17"/>
      <c r="M12" s="17">
        <v>4.0</v>
      </c>
      <c r="N12" s="17"/>
      <c r="O12" s="17">
        <v>7.0</v>
      </c>
      <c r="P12" s="18"/>
      <c r="Q12" s="18"/>
      <c r="R12" s="17">
        <v>10.0</v>
      </c>
      <c r="S12" s="17"/>
      <c r="T12" s="17"/>
      <c r="U12" s="18"/>
      <c r="V12" s="18"/>
      <c r="W12" s="17">
        <v>10.0</v>
      </c>
      <c r="X12" s="17"/>
      <c r="Y12" s="17">
        <v>12.0</v>
      </c>
      <c r="Z12" s="17">
        <v>1.0</v>
      </c>
      <c r="AA12" s="18"/>
      <c r="AB12" s="17">
        <v>10.0</v>
      </c>
      <c r="AC12" s="17"/>
      <c r="AD12" s="17"/>
      <c r="AE12" s="17"/>
      <c r="AF12" s="17">
        <v>7.0</v>
      </c>
      <c r="AG12" s="17"/>
      <c r="AH12" s="17">
        <v>7.0</v>
      </c>
      <c r="AI12" s="17"/>
      <c r="AJ12" s="17">
        <v>6.0</v>
      </c>
      <c r="AK12" s="17">
        <v>5.0</v>
      </c>
      <c r="AL12" s="17"/>
      <c r="AM12" s="17"/>
      <c r="AN12" s="17">
        <v>1.0</v>
      </c>
      <c r="AO12" s="17"/>
      <c r="AP12" s="17"/>
      <c r="AQ12" s="17"/>
      <c r="AR12" s="17"/>
      <c r="AS12" s="17">
        <v>12.0</v>
      </c>
      <c r="AT12" s="17"/>
      <c r="AU12" s="18"/>
      <c r="AV12" s="17">
        <v>3.0</v>
      </c>
      <c r="AW12" s="17"/>
      <c r="AX12" s="17"/>
      <c r="AY12" s="17">
        <v>8.0</v>
      </c>
      <c r="AZ12" s="17"/>
      <c r="BA12" s="17">
        <v>5.0</v>
      </c>
      <c r="BB12" s="17">
        <v>3.0</v>
      </c>
      <c r="BC12" s="18"/>
      <c r="BD12" s="17"/>
      <c r="BE12" s="17">
        <v>10.0</v>
      </c>
      <c r="BF12" s="18"/>
      <c r="BG12" s="17"/>
      <c r="BH12" s="17"/>
      <c r="BI12" s="18"/>
      <c r="BJ12" s="17"/>
      <c r="BK12" s="17"/>
      <c r="BL12" s="17"/>
      <c r="BM12" s="17"/>
      <c r="BN12" s="18">
        <f t="shared" si="3"/>
        <v>124</v>
      </c>
      <c r="BO12" s="18">
        <f t="shared" si="4"/>
        <v>11</v>
      </c>
      <c r="BP12" s="18">
        <f t="shared" si="5"/>
        <v>19</v>
      </c>
      <c r="BQ12" s="18">
        <f t="shared" si="6"/>
        <v>2</v>
      </c>
      <c r="BR12" s="18">
        <f t="shared" si="7"/>
        <v>4</v>
      </c>
      <c r="BS12" s="18">
        <f t="shared" si="8"/>
        <v>1</v>
      </c>
      <c r="BT12" s="19">
        <f t="shared" si="9"/>
        <v>12419020401</v>
      </c>
      <c r="BU12" s="18">
        <f t="shared" si="10"/>
        <v>11</v>
      </c>
    </row>
    <row r="13" ht="16.5" customHeight="1">
      <c r="A13" s="23">
        <v>21.0</v>
      </c>
      <c r="B13" s="79">
        <f t="shared" ref="B13:C13" si="20">BN13</f>
        <v>123</v>
      </c>
      <c r="C13" s="80">
        <f t="shared" si="20"/>
        <v>12</v>
      </c>
      <c r="D13" s="23"/>
      <c r="E13" s="81" t="s">
        <v>12</v>
      </c>
      <c r="F13" s="22"/>
      <c r="G13" s="17"/>
      <c r="H13" s="23"/>
      <c r="I13" s="23"/>
      <c r="J13" s="22"/>
      <c r="K13" s="22">
        <v>2.0</v>
      </c>
      <c r="L13" s="22"/>
      <c r="M13" s="22"/>
      <c r="N13" s="22"/>
      <c r="O13" s="22">
        <v>5.0</v>
      </c>
      <c r="P13" s="22">
        <v>8.0</v>
      </c>
      <c r="Q13" s="23"/>
      <c r="R13" s="22"/>
      <c r="S13" s="22"/>
      <c r="T13" s="22">
        <v>7.0</v>
      </c>
      <c r="U13" s="23"/>
      <c r="V13" s="22"/>
      <c r="W13" s="22"/>
      <c r="X13" s="22"/>
      <c r="Y13" s="22">
        <v>6.0</v>
      </c>
      <c r="Z13" s="23"/>
      <c r="AA13" s="22"/>
      <c r="AB13" s="22">
        <v>8.0</v>
      </c>
      <c r="AC13" s="22"/>
      <c r="AD13" s="22">
        <v>12.0</v>
      </c>
      <c r="AE13" s="22">
        <v>6.0</v>
      </c>
      <c r="AF13" s="22">
        <v>10.0</v>
      </c>
      <c r="AG13" s="23"/>
      <c r="AH13" s="17"/>
      <c r="AI13" s="22"/>
      <c r="AJ13" s="22"/>
      <c r="AK13" s="22">
        <v>1.0</v>
      </c>
      <c r="AL13" s="22">
        <v>5.0</v>
      </c>
      <c r="AM13" s="22">
        <v>3.0</v>
      </c>
      <c r="AN13" s="22">
        <v>10.0</v>
      </c>
      <c r="AO13" s="22">
        <v>5.0</v>
      </c>
      <c r="AP13" s="23"/>
      <c r="AQ13" s="23"/>
      <c r="AR13" s="23"/>
      <c r="AS13" s="22">
        <v>2.0</v>
      </c>
      <c r="AT13" s="22">
        <v>2.0</v>
      </c>
      <c r="AU13" s="22"/>
      <c r="AV13" s="22"/>
      <c r="AW13" s="22"/>
      <c r="AX13" s="23"/>
      <c r="AY13" s="22"/>
      <c r="AZ13" s="23"/>
      <c r="BA13" s="22">
        <v>2.0</v>
      </c>
      <c r="BB13" s="22">
        <v>5.0</v>
      </c>
      <c r="BC13" s="22">
        <v>12.0</v>
      </c>
      <c r="BD13" s="22"/>
      <c r="BE13" s="22">
        <v>12.0</v>
      </c>
      <c r="BF13" s="23"/>
      <c r="BG13" s="22"/>
      <c r="BH13" s="23"/>
      <c r="BI13" s="22"/>
      <c r="BJ13" s="22"/>
      <c r="BK13" s="22"/>
      <c r="BL13" s="22"/>
      <c r="BM13" s="17"/>
      <c r="BN13" s="23">
        <f t="shared" si="3"/>
        <v>123</v>
      </c>
      <c r="BO13" s="23">
        <f t="shared" si="4"/>
        <v>12</v>
      </c>
      <c r="BP13" s="23">
        <f t="shared" si="5"/>
        <v>20</v>
      </c>
      <c r="BQ13" s="23">
        <f t="shared" si="6"/>
        <v>3</v>
      </c>
      <c r="BR13" s="23">
        <f t="shared" si="7"/>
        <v>2</v>
      </c>
      <c r="BS13" s="23">
        <f t="shared" si="8"/>
        <v>2</v>
      </c>
      <c r="BT13" s="24">
        <f t="shared" si="9"/>
        <v>12320030202</v>
      </c>
      <c r="BU13" s="23">
        <f t="shared" si="10"/>
        <v>12</v>
      </c>
    </row>
    <row r="14" ht="16.5" customHeight="1">
      <c r="A14" s="23">
        <v>22.0</v>
      </c>
      <c r="B14" s="79">
        <f t="shared" ref="B14:C14" si="21">BN14</f>
        <v>118</v>
      </c>
      <c r="C14" s="80">
        <f t="shared" si="21"/>
        <v>13</v>
      </c>
      <c r="D14" s="23"/>
      <c r="E14" s="81" t="s">
        <v>57</v>
      </c>
      <c r="F14" s="22"/>
      <c r="G14" s="17">
        <v>2.0</v>
      </c>
      <c r="H14" s="22">
        <v>4.0</v>
      </c>
      <c r="I14" s="22"/>
      <c r="J14" s="22">
        <v>10.0</v>
      </c>
      <c r="K14" s="22"/>
      <c r="L14" s="22"/>
      <c r="M14" s="23"/>
      <c r="N14" s="22"/>
      <c r="O14" s="22">
        <v>12.0</v>
      </c>
      <c r="P14" s="22">
        <v>7.0</v>
      </c>
      <c r="Q14" s="22">
        <v>8.0</v>
      </c>
      <c r="R14" s="22">
        <v>8.0</v>
      </c>
      <c r="S14" s="22"/>
      <c r="T14" s="22"/>
      <c r="U14" s="22"/>
      <c r="V14" s="22"/>
      <c r="W14" s="22">
        <v>12.0</v>
      </c>
      <c r="X14" s="22">
        <v>1.0</v>
      </c>
      <c r="Y14" s="23"/>
      <c r="Z14" s="23"/>
      <c r="AA14" s="22"/>
      <c r="AB14" s="22"/>
      <c r="AC14" s="22"/>
      <c r="AD14" s="22"/>
      <c r="AE14" s="22"/>
      <c r="AF14" s="22">
        <v>1.0</v>
      </c>
      <c r="AG14" s="22"/>
      <c r="AH14" s="17"/>
      <c r="AI14" s="23"/>
      <c r="AJ14" s="22"/>
      <c r="AK14" s="22"/>
      <c r="AL14" s="22">
        <v>10.0</v>
      </c>
      <c r="AM14" s="23"/>
      <c r="AN14" s="22">
        <v>7.0</v>
      </c>
      <c r="AO14" s="22">
        <v>1.0</v>
      </c>
      <c r="AP14" s="22">
        <v>6.0</v>
      </c>
      <c r="AQ14" s="22"/>
      <c r="AR14" s="22"/>
      <c r="AS14" s="22">
        <v>10.0</v>
      </c>
      <c r="AT14" s="22">
        <v>5.0</v>
      </c>
      <c r="AU14" s="22"/>
      <c r="AV14" s="22"/>
      <c r="AW14" s="22">
        <v>3.0</v>
      </c>
      <c r="AX14" s="22">
        <v>4.0</v>
      </c>
      <c r="AY14" s="23"/>
      <c r="AZ14" s="22"/>
      <c r="BA14" s="22"/>
      <c r="BB14" s="22">
        <v>1.0</v>
      </c>
      <c r="BC14" s="23"/>
      <c r="BD14" s="22">
        <v>4.0</v>
      </c>
      <c r="BE14" s="22">
        <v>2.0</v>
      </c>
      <c r="BF14" s="22"/>
      <c r="BG14" s="22"/>
      <c r="BH14" s="23"/>
      <c r="BI14" s="22"/>
      <c r="BJ14" s="22"/>
      <c r="BK14" s="22"/>
      <c r="BL14" s="22"/>
      <c r="BM14" s="17"/>
      <c r="BN14" s="23">
        <f t="shared" si="3"/>
        <v>118</v>
      </c>
      <c r="BO14" s="23">
        <f t="shared" si="4"/>
        <v>13</v>
      </c>
      <c r="BP14" s="23">
        <f t="shared" si="5"/>
        <v>21</v>
      </c>
      <c r="BQ14" s="23">
        <f t="shared" si="6"/>
        <v>2</v>
      </c>
      <c r="BR14" s="23">
        <f t="shared" si="7"/>
        <v>3</v>
      </c>
      <c r="BS14" s="23">
        <f t="shared" si="8"/>
        <v>2</v>
      </c>
      <c r="BT14" s="24">
        <f t="shared" si="9"/>
        <v>11821020302</v>
      </c>
      <c r="BU14" s="23">
        <f t="shared" si="10"/>
        <v>13</v>
      </c>
    </row>
    <row r="15" ht="16.5" customHeight="1">
      <c r="A15" s="18">
        <v>13.0</v>
      </c>
      <c r="B15" s="79">
        <f t="shared" ref="B15:C15" si="22">BN15</f>
        <v>117</v>
      </c>
      <c r="C15" s="80">
        <f t="shared" si="22"/>
        <v>14</v>
      </c>
      <c r="D15" s="18"/>
      <c r="E15" s="81" t="s">
        <v>67</v>
      </c>
      <c r="F15" s="17">
        <v>8.0</v>
      </c>
      <c r="G15" s="17">
        <v>4.0</v>
      </c>
      <c r="H15" s="17">
        <v>7.0</v>
      </c>
      <c r="I15" s="17">
        <v>6.0</v>
      </c>
      <c r="J15" s="17">
        <v>7.0</v>
      </c>
      <c r="K15" s="17"/>
      <c r="L15" s="17"/>
      <c r="M15" s="17"/>
      <c r="N15" s="17">
        <v>1.0</v>
      </c>
      <c r="O15" s="17"/>
      <c r="P15" s="17">
        <v>4.0</v>
      </c>
      <c r="Q15" s="17"/>
      <c r="R15" s="17">
        <v>1.0</v>
      </c>
      <c r="S15" s="17"/>
      <c r="T15" s="17">
        <v>1.0</v>
      </c>
      <c r="U15" s="17"/>
      <c r="V15" s="17">
        <v>2.0</v>
      </c>
      <c r="W15" s="17"/>
      <c r="X15" s="17"/>
      <c r="Y15" s="17">
        <v>2.0</v>
      </c>
      <c r="Z15" s="17"/>
      <c r="AA15" s="17"/>
      <c r="AB15" s="17"/>
      <c r="AC15" s="17">
        <v>6.0</v>
      </c>
      <c r="AD15" s="17"/>
      <c r="AE15" s="17">
        <v>5.0</v>
      </c>
      <c r="AF15" s="17"/>
      <c r="AG15" s="17">
        <v>8.0</v>
      </c>
      <c r="AH15" s="17">
        <v>12.0</v>
      </c>
      <c r="AI15" s="17">
        <v>6.0</v>
      </c>
      <c r="AJ15" s="17"/>
      <c r="AK15" s="17">
        <v>3.0</v>
      </c>
      <c r="AL15" s="17"/>
      <c r="AM15" s="17">
        <v>6.0</v>
      </c>
      <c r="AN15" s="17"/>
      <c r="AO15" s="17"/>
      <c r="AP15" s="17"/>
      <c r="AQ15" s="17"/>
      <c r="AR15" s="17">
        <v>5.0</v>
      </c>
      <c r="AS15" s="17"/>
      <c r="AT15" s="17"/>
      <c r="AU15" s="17"/>
      <c r="AV15" s="17">
        <v>6.0</v>
      </c>
      <c r="AW15" s="17"/>
      <c r="AX15" s="17"/>
      <c r="AY15" s="17"/>
      <c r="AZ15" s="17"/>
      <c r="BA15" s="17">
        <v>10.0</v>
      </c>
      <c r="BB15" s="17"/>
      <c r="BC15" s="17"/>
      <c r="BD15" s="17"/>
      <c r="BE15" s="18"/>
      <c r="BF15" s="17"/>
      <c r="BG15" s="17"/>
      <c r="BH15" s="17">
        <v>7.0</v>
      </c>
      <c r="BI15" s="17"/>
      <c r="BJ15" s="17"/>
      <c r="BK15" s="17"/>
      <c r="BL15" s="17"/>
      <c r="BM15" s="17"/>
      <c r="BN15" s="18">
        <f t="shared" si="3"/>
        <v>117</v>
      </c>
      <c r="BO15" s="18">
        <f t="shared" si="4"/>
        <v>14</v>
      </c>
      <c r="BP15" s="18">
        <f t="shared" si="5"/>
        <v>22</v>
      </c>
      <c r="BQ15" s="18">
        <f t="shared" si="6"/>
        <v>1</v>
      </c>
      <c r="BR15" s="18">
        <f t="shared" si="7"/>
        <v>1</v>
      </c>
      <c r="BS15" s="18">
        <f t="shared" si="8"/>
        <v>2</v>
      </c>
      <c r="BT15" s="19">
        <f t="shared" si="9"/>
        <v>11722010102</v>
      </c>
      <c r="BU15" s="18">
        <f t="shared" si="10"/>
        <v>14</v>
      </c>
    </row>
    <row r="16" ht="16.5" customHeight="1">
      <c r="A16" s="23">
        <v>16.0</v>
      </c>
      <c r="B16" s="79">
        <f t="shared" ref="B16:C16" si="23">BN16</f>
        <v>113</v>
      </c>
      <c r="C16" s="80">
        <f t="shared" si="23"/>
        <v>15</v>
      </c>
      <c r="D16" s="23"/>
      <c r="E16" s="81" t="s">
        <v>56</v>
      </c>
      <c r="F16" s="22">
        <v>6.0</v>
      </c>
      <c r="G16" s="17"/>
      <c r="H16" s="22"/>
      <c r="I16" s="22"/>
      <c r="J16" s="22"/>
      <c r="K16" s="22"/>
      <c r="L16" s="22">
        <v>3.0</v>
      </c>
      <c r="M16" s="22"/>
      <c r="N16" s="22"/>
      <c r="O16" s="22"/>
      <c r="P16" s="22"/>
      <c r="Q16" s="22">
        <v>1.0</v>
      </c>
      <c r="R16" s="22">
        <v>7.0</v>
      </c>
      <c r="S16" s="22"/>
      <c r="T16" s="22"/>
      <c r="U16" s="22">
        <v>8.0</v>
      </c>
      <c r="V16" s="22"/>
      <c r="W16" s="22"/>
      <c r="X16" s="22"/>
      <c r="Y16" s="22"/>
      <c r="Z16" s="22"/>
      <c r="AA16" s="22"/>
      <c r="AB16" s="22"/>
      <c r="AC16" s="22">
        <v>3.0</v>
      </c>
      <c r="AD16" s="22">
        <v>2.0</v>
      </c>
      <c r="AE16" s="22">
        <v>1.0</v>
      </c>
      <c r="AF16" s="22">
        <v>5.0</v>
      </c>
      <c r="AG16" s="22"/>
      <c r="AH16" s="17">
        <v>4.0</v>
      </c>
      <c r="AI16" s="22">
        <v>7.0</v>
      </c>
      <c r="AJ16" s="22">
        <v>1.0</v>
      </c>
      <c r="AK16" s="22"/>
      <c r="AL16" s="22"/>
      <c r="AM16" s="22">
        <v>8.0</v>
      </c>
      <c r="AN16" s="23"/>
      <c r="AO16" s="22"/>
      <c r="AP16" s="22"/>
      <c r="AQ16" s="22">
        <v>12.0</v>
      </c>
      <c r="AR16" s="22">
        <v>4.0</v>
      </c>
      <c r="AS16" s="23"/>
      <c r="AT16" s="23"/>
      <c r="AU16" s="22">
        <v>5.0</v>
      </c>
      <c r="AV16" s="22">
        <v>12.0</v>
      </c>
      <c r="AW16" s="23"/>
      <c r="AX16" s="22"/>
      <c r="AY16" s="23"/>
      <c r="AZ16" s="23"/>
      <c r="BA16" s="22"/>
      <c r="BB16" s="22"/>
      <c r="BC16" s="22">
        <v>7.0</v>
      </c>
      <c r="BD16" s="22">
        <v>6.0</v>
      </c>
      <c r="BE16" s="22"/>
      <c r="BF16" s="22">
        <v>10.0</v>
      </c>
      <c r="BG16" s="22"/>
      <c r="BH16" s="22">
        <v>1.0</v>
      </c>
      <c r="BI16" s="22"/>
      <c r="BJ16" s="22"/>
      <c r="BK16" s="22"/>
      <c r="BL16" s="22"/>
      <c r="BM16" s="17"/>
      <c r="BN16" s="23">
        <f t="shared" si="3"/>
        <v>113</v>
      </c>
      <c r="BO16" s="23">
        <f t="shared" si="4"/>
        <v>15</v>
      </c>
      <c r="BP16" s="23">
        <f t="shared" si="5"/>
        <v>21</v>
      </c>
      <c r="BQ16" s="23">
        <f t="shared" si="6"/>
        <v>2</v>
      </c>
      <c r="BR16" s="23">
        <f t="shared" si="7"/>
        <v>1</v>
      </c>
      <c r="BS16" s="23">
        <f t="shared" si="8"/>
        <v>2</v>
      </c>
      <c r="BT16" s="24">
        <f t="shared" si="9"/>
        <v>11321020102</v>
      </c>
      <c r="BU16" s="23">
        <f t="shared" si="10"/>
        <v>15</v>
      </c>
    </row>
    <row r="17" ht="16.5" customHeight="1">
      <c r="A17" s="18">
        <v>9.0</v>
      </c>
      <c r="B17" s="79">
        <f t="shared" ref="B17:C17" si="24">BN17</f>
        <v>113</v>
      </c>
      <c r="C17" s="80">
        <f t="shared" si="24"/>
        <v>15</v>
      </c>
      <c r="D17" s="18"/>
      <c r="E17" s="81" t="s">
        <v>60</v>
      </c>
      <c r="F17" s="17"/>
      <c r="G17" s="17"/>
      <c r="H17" s="17"/>
      <c r="I17" s="17"/>
      <c r="J17" s="17"/>
      <c r="K17" s="17"/>
      <c r="L17" s="17"/>
      <c r="M17" s="17">
        <v>3.0</v>
      </c>
      <c r="N17" s="17"/>
      <c r="O17" s="17"/>
      <c r="P17" s="17"/>
      <c r="Q17" s="17">
        <v>6.0</v>
      </c>
      <c r="R17" s="17"/>
      <c r="S17" s="17"/>
      <c r="T17" s="17"/>
      <c r="U17" s="17"/>
      <c r="V17" s="17"/>
      <c r="W17" s="17"/>
      <c r="X17" s="17"/>
      <c r="Y17" s="17"/>
      <c r="Z17" s="17">
        <v>6.0</v>
      </c>
      <c r="AA17" s="17">
        <v>5.0</v>
      </c>
      <c r="AB17" s="17">
        <v>4.0</v>
      </c>
      <c r="AC17" s="17">
        <v>12.0</v>
      </c>
      <c r="AD17" s="17">
        <v>3.0</v>
      </c>
      <c r="AE17" s="17"/>
      <c r="AF17" s="17"/>
      <c r="AG17" s="17"/>
      <c r="AH17" s="17"/>
      <c r="AI17" s="17"/>
      <c r="AJ17" s="17"/>
      <c r="AK17" s="17"/>
      <c r="AL17" s="17"/>
      <c r="AM17" s="17"/>
      <c r="AN17" s="17"/>
      <c r="AO17" s="17">
        <v>8.0</v>
      </c>
      <c r="AP17" s="17"/>
      <c r="AQ17" s="17">
        <v>3.0</v>
      </c>
      <c r="AR17" s="17"/>
      <c r="AS17" s="17">
        <v>7.0</v>
      </c>
      <c r="AT17" s="17">
        <v>8.0</v>
      </c>
      <c r="AU17" s="17">
        <v>8.0</v>
      </c>
      <c r="AV17" s="17"/>
      <c r="AW17" s="17">
        <v>6.0</v>
      </c>
      <c r="AX17" s="17">
        <v>5.0</v>
      </c>
      <c r="AY17" s="17"/>
      <c r="AZ17" s="17">
        <v>6.0</v>
      </c>
      <c r="BA17" s="17">
        <v>6.0</v>
      </c>
      <c r="BB17" s="17"/>
      <c r="BC17" s="17">
        <v>1.0</v>
      </c>
      <c r="BD17" s="17">
        <v>5.0</v>
      </c>
      <c r="BE17" s="17"/>
      <c r="BF17" s="17">
        <v>1.0</v>
      </c>
      <c r="BG17" s="17">
        <v>6.0</v>
      </c>
      <c r="BH17" s="17">
        <v>4.0</v>
      </c>
      <c r="BI17" s="17"/>
      <c r="BJ17" s="17"/>
      <c r="BK17" s="17"/>
      <c r="BL17" s="18"/>
      <c r="BM17" s="17"/>
      <c r="BN17" s="18">
        <f t="shared" si="3"/>
        <v>113</v>
      </c>
      <c r="BO17" s="18">
        <f t="shared" si="4"/>
        <v>15</v>
      </c>
      <c r="BP17" s="18">
        <f t="shared" si="5"/>
        <v>21</v>
      </c>
      <c r="BQ17" s="18">
        <f t="shared" si="6"/>
        <v>1</v>
      </c>
      <c r="BR17" s="18">
        <f t="shared" si="7"/>
        <v>0</v>
      </c>
      <c r="BS17" s="18">
        <f t="shared" si="8"/>
        <v>3</v>
      </c>
      <c r="BT17" s="19">
        <f t="shared" si="9"/>
        <v>11321010003</v>
      </c>
      <c r="BU17" s="18">
        <f t="shared" si="10"/>
        <v>16</v>
      </c>
    </row>
    <row r="18" ht="16.5" customHeight="1">
      <c r="A18" s="18">
        <v>10.0</v>
      </c>
      <c r="B18" s="79">
        <f t="shared" ref="B18:C18" si="25">BN18</f>
        <v>112</v>
      </c>
      <c r="C18" s="80">
        <f t="shared" si="25"/>
        <v>17</v>
      </c>
      <c r="D18" s="18"/>
      <c r="E18" s="81" t="s">
        <v>30</v>
      </c>
      <c r="F18" s="17"/>
      <c r="G18" s="17"/>
      <c r="H18" s="17"/>
      <c r="I18" s="17"/>
      <c r="J18" s="17"/>
      <c r="K18" s="18"/>
      <c r="L18" s="17"/>
      <c r="M18" s="17">
        <v>5.0</v>
      </c>
      <c r="N18" s="18"/>
      <c r="O18" s="17"/>
      <c r="P18" s="18"/>
      <c r="Q18" s="18"/>
      <c r="R18" s="18"/>
      <c r="S18" s="17">
        <v>4.0</v>
      </c>
      <c r="T18" s="18"/>
      <c r="U18" s="17"/>
      <c r="V18" s="17">
        <v>3.0</v>
      </c>
      <c r="W18" s="17"/>
      <c r="X18" s="18"/>
      <c r="Y18" s="18"/>
      <c r="Z18" s="17">
        <v>5.0</v>
      </c>
      <c r="AA18" s="17">
        <v>4.0</v>
      </c>
      <c r="AB18" s="17">
        <v>12.0</v>
      </c>
      <c r="AC18" s="17">
        <v>8.0</v>
      </c>
      <c r="AD18" s="18"/>
      <c r="AE18" s="18"/>
      <c r="AF18" s="17">
        <v>2.0</v>
      </c>
      <c r="AG18" s="17">
        <v>4.0</v>
      </c>
      <c r="AH18" s="17">
        <v>1.0</v>
      </c>
      <c r="AI18" s="17">
        <v>5.0</v>
      </c>
      <c r="AJ18" s="18"/>
      <c r="AK18" s="18"/>
      <c r="AL18" s="17">
        <v>7.0</v>
      </c>
      <c r="AM18" s="17"/>
      <c r="AN18" s="17">
        <v>8.0</v>
      </c>
      <c r="AO18" s="17">
        <v>7.0</v>
      </c>
      <c r="AP18" s="18"/>
      <c r="AQ18" s="17">
        <v>10.0</v>
      </c>
      <c r="AR18" s="17"/>
      <c r="AS18" s="17">
        <v>1.0</v>
      </c>
      <c r="AT18" s="17">
        <v>6.0</v>
      </c>
      <c r="AU18" s="18"/>
      <c r="AV18" s="18"/>
      <c r="AW18" s="17">
        <v>5.0</v>
      </c>
      <c r="AX18" s="17">
        <v>3.0</v>
      </c>
      <c r="AY18" s="17">
        <v>5.0</v>
      </c>
      <c r="AZ18" s="17"/>
      <c r="BA18" s="17"/>
      <c r="BB18" s="18"/>
      <c r="BC18" s="17"/>
      <c r="BD18" s="18"/>
      <c r="BE18" s="17">
        <v>5.0</v>
      </c>
      <c r="BF18" s="17">
        <v>2.0</v>
      </c>
      <c r="BG18" s="17"/>
      <c r="BH18" s="17"/>
      <c r="BI18" s="18"/>
      <c r="BJ18" s="18"/>
      <c r="BK18" s="17"/>
      <c r="BL18" s="17"/>
      <c r="BM18" s="18"/>
      <c r="BN18" s="18">
        <f t="shared" si="3"/>
        <v>112</v>
      </c>
      <c r="BO18" s="18">
        <f t="shared" si="4"/>
        <v>17</v>
      </c>
      <c r="BP18" s="18">
        <f t="shared" si="5"/>
        <v>22</v>
      </c>
      <c r="BQ18" s="18">
        <f t="shared" si="6"/>
        <v>1</v>
      </c>
      <c r="BR18" s="18">
        <f t="shared" si="7"/>
        <v>1</v>
      </c>
      <c r="BS18" s="18">
        <f t="shared" si="8"/>
        <v>2</v>
      </c>
      <c r="BT18" s="19">
        <f t="shared" si="9"/>
        <v>11222010102</v>
      </c>
      <c r="BU18" s="18">
        <f t="shared" si="10"/>
        <v>17</v>
      </c>
    </row>
    <row r="19" ht="16.5" customHeight="1">
      <c r="A19" s="22">
        <v>24.0</v>
      </c>
      <c r="B19" s="79">
        <f t="shared" ref="B19:C19" si="26">BN19</f>
        <v>105</v>
      </c>
      <c r="C19" s="80">
        <f t="shared" si="26"/>
        <v>18</v>
      </c>
      <c r="D19" s="22"/>
      <c r="E19" s="81" t="s">
        <v>13</v>
      </c>
      <c r="F19" s="22"/>
      <c r="G19" s="17">
        <v>12.0</v>
      </c>
      <c r="H19" s="23"/>
      <c r="I19" s="22">
        <v>3.0</v>
      </c>
      <c r="J19" s="22">
        <v>8.0</v>
      </c>
      <c r="K19" s="23"/>
      <c r="L19" s="22">
        <v>2.0</v>
      </c>
      <c r="M19" s="22">
        <v>10.0</v>
      </c>
      <c r="N19" s="23"/>
      <c r="O19" s="23"/>
      <c r="P19" s="23"/>
      <c r="Q19" s="22">
        <v>4.0</v>
      </c>
      <c r="R19" s="22"/>
      <c r="S19" s="23"/>
      <c r="T19" s="23"/>
      <c r="U19" s="22"/>
      <c r="V19" s="22"/>
      <c r="W19" s="23"/>
      <c r="X19" s="23"/>
      <c r="Y19" s="23"/>
      <c r="Z19" s="22"/>
      <c r="AA19" s="22">
        <v>7.0</v>
      </c>
      <c r="AB19" s="23"/>
      <c r="AC19" s="22">
        <v>2.0</v>
      </c>
      <c r="AD19" s="23"/>
      <c r="AE19" s="23"/>
      <c r="AF19" s="22"/>
      <c r="AG19" s="22">
        <v>1.0</v>
      </c>
      <c r="AH19" s="17"/>
      <c r="AI19" s="23"/>
      <c r="AJ19" s="22">
        <v>2.0</v>
      </c>
      <c r="AK19" s="22"/>
      <c r="AL19" s="22">
        <v>4.0</v>
      </c>
      <c r="AM19" s="22"/>
      <c r="AN19" s="22">
        <v>4.0</v>
      </c>
      <c r="AO19" s="22">
        <v>6.0</v>
      </c>
      <c r="AP19" s="22"/>
      <c r="AQ19" s="22"/>
      <c r="AR19" s="22"/>
      <c r="AS19" s="22"/>
      <c r="AT19" s="23"/>
      <c r="AU19" s="22">
        <v>12.0</v>
      </c>
      <c r="AV19" s="23"/>
      <c r="AW19" s="22">
        <v>10.0</v>
      </c>
      <c r="AX19" s="22">
        <v>7.0</v>
      </c>
      <c r="AY19" s="23"/>
      <c r="AZ19" s="22"/>
      <c r="BA19" s="22"/>
      <c r="BB19" s="22"/>
      <c r="BC19" s="22"/>
      <c r="BD19" s="22">
        <v>1.0</v>
      </c>
      <c r="BE19" s="22"/>
      <c r="BF19" s="22"/>
      <c r="BG19" s="22">
        <v>10.0</v>
      </c>
      <c r="BH19" s="22"/>
      <c r="BI19" s="22"/>
      <c r="BJ19" s="22"/>
      <c r="BK19" s="22"/>
      <c r="BL19" s="22"/>
      <c r="BM19" s="18"/>
      <c r="BN19" s="23">
        <f t="shared" si="3"/>
        <v>105</v>
      </c>
      <c r="BO19" s="23">
        <f t="shared" si="4"/>
        <v>18</v>
      </c>
      <c r="BP19" s="23">
        <f t="shared" si="5"/>
        <v>18</v>
      </c>
      <c r="BQ19" s="23">
        <f t="shared" si="6"/>
        <v>2</v>
      </c>
      <c r="BR19" s="23">
        <f t="shared" si="7"/>
        <v>3</v>
      </c>
      <c r="BS19" s="23">
        <f t="shared" si="8"/>
        <v>1</v>
      </c>
      <c r="BT19" s="24">
        <f t="shared" si="9"/>
        <v>10518020301</v>
      </c>
      <c r="BU19" s="23">
        <f t="shared" si="10"/>
        <v>18</v>
      </c>
    </row>
    <row r="20" ht="16.5" customHeight="1">
      <c r="A20" s="23">
        <v>23.0</v>
      </c>
      <c r="B20" s="79">
        <f t="shared" ref="B20:C20" si="27">BN20</f>
        <v>104</v>
      </c>
      <c r="C20" s="80">
        <f t="shared" si="27"/>
        <v>19</v>
      </c>
      <c r="D20" s="23"/>
      <c r="E20" s="81" t="s">
        <v>61</v>
      </c>
      <c r="F20" s="22">
        <v>5.0</v>
      </c>
      <c r="G20" s="18"/>
      <c r="H20" s="22">
        <v>2.0</v>
      </c>
      <c r="I20" s="22">
        <v>10.0</v>
      </c>
      <c r="J20" s="22"/>
      <c r="K20" s="22"/>
      <c r="L20" s="22"/>
      <c r="M20" s="22"/>
      <c r="N20" s="22"/>
      <c r="O20" s="22"/>
      <c r="P20" s="22">
        <v>10.0</v>
      </c>
      <c r="Q20" s="22">
        <v>5.0</v>
      </c>
      <c r="R20" s="22"/>
      <c r="S20" s="22"/>
      <c r="T20" s="22">
        <v>3.0</v>
      </c>
      <c r="U20" s="22"/>
      <c r="V20" s="22"/>
      <c r="W20" s="22"/>
      <c r="X20" s="22"/>
      <c r="Y20" s="22"/>
      <c r="Z20" s="22"/>
      <c r="AA20" s="22">
        <v>10.0</v>
      </c>
      <c r="AB20" s="22"/>
      <c r="AC20" s="22"/>
      <c r="AD20" s="22">
        <v>10.0</v>
      </c>
      <c r="AE20" s="22">
        <v>7.0</v>
      </c>
      <c r="AF20" s="22">
        <v>12.0</v>
      </c>
      <c r="AG20" s="22"/>
      <c r="AH20" s="17">
        <v>6.0</v>
      </c>
      <c r="AI20" s="22"/>
      <c r="AJ20" s="22"/>
      <c r="AK20" s="22"/>
      <c r="AL20" s="22"/>
      <c r="AM20" s="22">
        <v>2.0</v>
      </c>
      <c r="AN20" s="22"/>
      <c r="AO20" s="22"/>
      <c r="AP20" s="23"/>
      <c r="AQ20" s="22"/>
      <c r="AR20" s="22">
        <v>12.0</v>
      </c>
      <c r="AS20" s="22"/>
      <c r="AT20" s="22"/>
      <c r="AU20" s="23"/>
      <c r="AV20" s="22"/>
      <c r="AW20" s="22">
        <v>4.0</v>
      </c>
      <c r="AX20" s="22"/>
      <c r="AY20" s="23"/>
      <c r="AZ20" s="23"/>
      <c r="BA20" s="22"/>
      <c r="BB20" s="22">
        <v>4.0</v>
      </c>
      <c r="BC20" s="22"/>
      <c r="BD20" s="22">
        <v>2.0</v>
      </c>
      <c r="BE20" s="22"/>
      <c r="BF20" s="23"/>
      <c r="BG20" s="23"/>
      <c r="BH20" s="22"/>
      <c r="BI20" s="22"/>
      <c r="BJ20" s="22"/>
      <c r="BK20" s="22"/>
      <c r="BL20" s="23"/>
      <c r="BM20" s="18"/>
      <c r="BN20" s="23">
        <f t="shared" si="3"/>
        <v>104</v>
      </c>
      <c r="BO20" s="23">
        <f t="shared" si="4"/>
        <v>19</v>
      </c>
      <c r="BP20" s="23">
        <f t="shared" si="5"/>
        <v>16</v>
      </c>
      <c r="BQ20" s="23">
        <f t="shared" si="6"/>
        <v>2</v>
      </c>
      <c r="BR20" s="23">
        <f t="shared" si="7"/>
        <v>4</v>
      </c>
      <c r="BS20" s="23">
        <f t="shared" si="8"/>
        <v>0</v>
      </c>
      <c r="BT20" s="24">
        <f t="shared" si="9"/>
        <v>10416020400</v>
      </c>
      <c r="BU20" s="23">
        <f t="shared" si="10"/>
        <v>19</v>
      </c>
    </row>
    <row r="21" ht="16.5" customHeight="1">
      <c r="A21" s="18">
        <v>20.0</v>
      </c>
      <c r="B21" s="79">
        <f t="shared" ref="B21:C21" si="28">BN21</f>
        <v>100</v>
      </c>
      <c r="C21" s="80">
        <f t="shared" si="28"/>
        <v>20</v>
      </c>
      <c r="D21" s="18"/>
      <c r="E21" s="81" t="s">
        <v>73</v>
      </c>
      <c r="F21" s="18"/>
      <c r="G21" s="17">
        <v>10.0</v>
      </c>
      <c r="H21" s="17">
        <v>10.0</v>
      </c>
      <c r="I21" s="17"/>
      <c r="J21" s="17">
        <v>1.0</v>
      </c>
      <c r="K21" s="17"/>
      <c r="L21" s="17"/>
      <c r="M21" s="17"/>
      <c r="N21" s="17"/>
      <c r="O21" s="17"/>
      <c r="P21" s="17"/>
      <c r="Q21" s="17">
        <v>12.0</v>
      </c>
      <c r="R21" s="17"/>
      <c r="S21" s="17"/>
      <c r="T21" s="17"/>
      <c r="U21" s="17"/>
      <c r="V21" s="17"/>
      <c r="W21" s="17">
        <v>2.0</v>
      </c>
      <c r="X21" s="17"/>
      <c r="Y21" s="17">
        <v>3.0</v>
      </c>
      <c r="Z21" s="17">
        <v>10.0</v>
      </c>
      <c r="AA21" s="17">
        <v>6.0</v>
      </c>
      <c r="AB21" s="17"/>
      <c r="AC21" s="17">
        <v>4.0</v>
      </c>
      <c r="AD21" s="17"/>
      <c r="AE21" s="17"/>
      <c r="AF21" s="17"/>
      <c r="AG21" s="17"/>
      <c r="AH21" s="17"/>
      <c r="AI21" s="17"/>
      <c r="AJ21" s="17"/>
      <c r="AK21" s="17"/>
      <c r="AL21" s="17">
        <v>3.0</v>
      </c>
      <c r="AM21" s="17"/>
      <c r="AN21" s="17"/>
      <c r="AO21" s="18"/>
      <c r="AP21" s="17"/>
      <c r="AQ21" s="17"/>
      <c r="AR21" s="17"/>
      <c r="AS21" s="17"/>
      <c r="AT21" s="18"/>
      <c r="AU21" s="17">
        <v>4.0</v>
      </c>
      <c r="AV21" s="17"/>
      <c r="AW21" s="17">
        <v>8.0</v>
      </c>
      <c r="AX21" s="17">
        <v>8.0</v>
      </c>
      <c r="AY21" s="18"/>
      <c r="AZ21" s="17"/>
      <c r="BA21" s="17"/>
      <c r="BB21" s="18"/>
      <c r="BC21" s="17"/>
      <c r="BD21" s="17">
        <v>12.0</v>
      </c>
      <c r="BE21" s="17"/>
      <c r="BF21" s="18"/>
      <c r="BG21" s="17">
        <v>5.0</v>
      </c>
      <c r="BH21" s="17">
        <v>2.0</v>
      </c>
      <c r="BI21" s="18"/>
      <c r="BJ21" s="18"/>
      <c r="BK21" s="17"/>
      <c r="BL21" s="17"/>
      <c r="BM21" s="17"/>
      <c r="BN21" s="18">
        <f t="shared" si="3"/>
        <v>100</v>
      </c>
      <c r="BO21" s="18">
        <f t="shared" si="4"/>
        <v>20</v>
      </c>
      <c r="BP21" s="18">
        <f t="shared" si="5"/>
        <v>16</v>
      </c>
      <c r="BQ21" s="18">
        <f t="shared" si="6"/>
        <v>2</v>
      </c>
      <c r="BR21" s="18">
        <f t="shared" si="7"/>
        <v>3</v>
      </c>
      <c r="BS21" s="18">
        <f t="shared" si="8"/>
        <v>2</v>
      </c>
      <c r="BT21" s="19">
        <f t="shared" si="9"/>
        <v>10016020302</v>
      </c>
      <c r="BU21" s="18">
        <f t="shared" si="10"/>
        <v>20</v>
      </c>
    </row>
    <row r="22" ht="16.5" customHeight="1">
      <c r="A22" s="18">
        <v>19.0</v>
      </c>
      <c r="B22" s="79">
        <f t="shared" ref="B22:C22" si="29">BN22</f>
        <v>98</v>
      </c>
      <c r="C22" s="80">
        <f t="shared" si="29"/>
        <v>21</v>
      </c>
      <c r="D22" s="18"/>
      <c r="E22" s="81" t="s">
        <v>52</v>
      </c>
      <c r="F22" s="17"/>
      <c r="G22" s="17">
        <v>7.0</v>
      </c>
      <c r="H22" s="17"/>
      <c r="I22" s="18"/>
      <c r="J22" s="17">
        <v>3.0</v>
      </c>
      <c r="K22" s="17">
        <v>1.0</v>
      </c>
      <c r="L22" s="17">
        <v>10.0</v>
      </c>
      <c r="M22" s="17"/>
      <c r="N22" s="18"/>
      <c r="O22" s="17"/>
      <c r="P22" s="17">
        <v>1.0</v>
      </c>
      <c r="Q22" s="17"/>
      <c r="R22" s="17"/>
      <c r="S22" s="18"/>
      <c r="T22" s="18"/>
      <c r="U22" s="17">
        <v>5.0</v>
      </c>
      <c r="V22" s="17">
        <v>4.0</v>
      </c>
      <c r="W22" s="17">
        <v>3.0</v>
      </c>
      <c r="X22" s="17">
        <v>5.0</v>
      </c>
      <c r="Y22" s="17"/>
      <c r="Z22" s="18"/>
      <c r="AA22" s="18"/>
      <c r="AB22" s="18"/>
      <c r="AC22" s="17"/>
      <c r="AD22" s="17">
        <v>4.0</v>
      </c>
      <c r="AE22" s="18"/>
      <c r="AF22" s="17"/>
      <c r="AG22" s="17">
        <v>6.0</v>
      </c>
      <c r="AH22" s="18"/>
      <c r="AI22" s="17">
        <v>4.0</v>
      </c>
      <c r="AJ22" s="17">
        <v>4.0</v>
      </c>
      <c r="AK22" s="17">
        <v>2.0</v>
      </c>
      <c r="AL22" s="17"/>
      <c r="AM22" s="18"/>
      <c r="AN22" s="17"/>
      <c r="AO22" s="17"/>
      <c r="AP22" s="17">
        <v>2.0</v>
      </c>
      <c r="AQ22" s="18"/>
      <c r="AR22" s="18"/>
      <c r="AS22" s="17">
        <v>3.0</v>
      </c>
      <c r="AT22" s="18"/>
      <c r="AU22" s="17"/>
      <c r="AV22" s="17">
        <v>2.0</v>
      </c>
      <c r="AW22" s="17"/>
      <c r="AX22" s="17"/>
      <c r="AY22" s="17">
        <v>12.0</v>
      </c>
      <c r="AZ22" s="17">
        <v>12.0</v>
      </c>
      <c r="BA22" s="17"/>
      <c r="BB22" s="17">
        <v>2.0</v>
      </c>
      <c r="BC22" s="17"/>
      <c r="BD22" s="17"/>
      <c r="BE22" s="17">
        <v>3.0</v>
      </c>
      <c r="BF22" s="17"/>
      <c r="BG22" s="17"/>
      <c r="BH22" s="17">
        <v>3.0</v>
      </c>
      <c r="BI22" s="17"/>
      <c r="BJ22" s="18"/>
      <c r="BK22" s="18"/>
      <c r="BL22" s="17"/>
      <c r="BM22" s="17"/>
      <c r="BN22" s="18">
        <f t="shared" si="3"/>
        <v>98</v>
      </c>
      <c r="BO22" s="18">
        <f t="shared" si="4"/>
        <v>21</v>
      </c>
      <c r="BP22" s="18">
        <f t="shared" si="5"/>
        <v>22</v>
      </c>
      <c r="BQ22" s="18">
        <f t="shared" si="6"/>
        <v>2</v>
      </c>
      <c r="BR22" s="18">
        <f t="shared" si="7"/>
        <v>1</v>
      </c>
      <c r="BS22" s="18">
        <f t="shared" si="8"/>
        <v>0</v>
      </c>
      <c r="BT22" s="19">
        <f t="shared" si="9"/>
        <v>9822020100</v>
      </c>
      <c r="BU22" s="18">
        <f t="shared" si="10"/>
        <v>21</v>
      </c>
    </row>
    <row r="23" ht="16.5" customHeight="1">
      <c r="A23" s="23">
        <v>12.0</v>
      </c>
      <c r="B23" s="79">
        <f t="shared" ref="B23:C23" si="30">BN23</f>
        <v>97</v>
      </c>
      <c r="C23" s="80">
        <f t="shared" si="30"/>
        <v>22</v>
      </c>
      <c r="D23" s="23"/>
      <c r="E23" s="81" t="s">
        <v>75</v>
      </c>
      <c r="F23" s="22"/>
      <c r="G23" s="18"/>
      <c r="H23" s="23"/>
      <c r="I23" s="22">
        <v>1.0</v>
      </c>
      <c r="J23" s="23"/>
      <c r="K23" s="22">
        <v>6.0</v>
      </c>
      <c r="L23" s="22">
        <v>5.0</v>
      </c>
      <c r="M23" s="22"/>
      <c r="N23" s="22">
        <v>2.0</v>
      </c>
      <c r="O23" s="22">
        <v>6.0</v>
      </c>
      <c r="P23" s="22"/>
      <c r="Q23" s="22"/>
      <c r="R23" s="22"/>
      <c r="S23" s="23"/>
      <c r="T23" s="23"/>
      <c r="U23" s="23"/>
      <c r="V23" s="23"/>
      <c r="W23" s="22">
        <v>4.0</v>
      </c>
      <c r="X23" s="22">
        <v>4.0</v>
      </c>
      <c r="Y23" s="22">
        <v>10.0</v>
      </c>
      <c r="Z23" s="22">
        <v>2.0</v>
      </c>
      <c r="AA23" s="23"/>
      <c r="AB23" s="22">
        <v>2.0</v>
      </c>
      <c r="AC23" s="22"/>
      <c r="AD23" s="22"/>
      <c r="AE23" s="23"/>
      <c r="AF23" s="22">
        <v>6.0</v>
      </c>
      <c r="AG23" s="22">
        <v>10.0</v>
      </c>
      <c r="AH23" s="18"/>
      <c r="AI23" s="22"/>
      <c r="AJ23" s="23"/>
      <c r="AK23" s="22">
        <v>4.0</v>
      </c>
      <c r="AL23" s="22"/>
      <c r="AM23" s="22"/>
      <c r="AN23" s="23"/>
      <c r="AO23" s="22">
        <v>4.0</v>
      </c>
      <c r="AP23" s="22">
        <v>8.0</v>
      </c>
      <c r="AQ23" s="22"/>
      <c r="AR23" s="22"/>
      <c r="AS23" s="22"/>
      <c r="AT23" s="22"/>
      <c r="AU23" s="22"/>
      <c r="AV23" s="22"/>
      <c r="AW23" s="22"/>
      <c r="AX23" s="22"/>
      <c r="AY23" s="22">
        <v>7.0</v>
      </c>
      <c r="AZ23" s="22"/>
      <c r="BA23" s="23"/>
      <c r="BB23" s="22">
        <v>10.0</v>
      </c>
      <c r="BC23" s="23"/>
      <c r="BD23" s="22"/>
      <c r="BE23" s="22">
        <v>6.0</v>
      </c>
      <c r="BF23" s="22"/>
      <c r="BG23" s="23"/>
      <c r="BH23" s="22"/>
      <c r="BI23" s="23"/>
      <c r="BJ23" s="23"/>
      <c r="BK23" s="23"/>
      <c r="BL23" s="22"/>
      <c r="BM23" s="17"/>
      <c r="BN23" s="23">
        <f t="shared" si="3"/>
        <v>97</v>
      </c>
      <c r="BO23" s="23">
        <f t="shared" si="4"/>
        <v>22</v>
      </c>
      <c r="BP23" s="23">
        <f t="shared" si="5"/>
        <v>18</v>
      </c>
      <c r="BQ23" s="23">
        <f t="shared" si="6"/>
        <v>0</v>
      </c>
      <c r="BR23" s="23">
        <f t="shared" si="7"/>
        <v>3</v>
      </c>
      <c r="BS23" s="23">
        <f t="shared" si="8"/>
        <v>1</v>
      </c>
      <c r="BT23" s="24">
        <f t="shared" si="9"/>
        <v>9718000301</v>
      </c>
      <c r="BU23" s="23">
        <f t="shared" si="10"/>
        <v>22</v>
      </c>
    </row>
    <row r="24" ht="16.5" customHeight="1">
      <c r="A24" s="23">
        <v>17.0</v>
      </c>
      <c r="B24" s="79">
        <f t="shared" ref="B24:C24" si="31">BN24</f>
        <v>96</v>
      </c>
      <c r="C24" s="80">
        <f t="shared" si="31"/>
        <v>23</v>
      </c>
      <c r="D24" s="23"/>
      <c r="E24" s="81" t="s">
        <v>74</v>
      </c>
      <c r="F24" s="22"/>
      <c r="G24" s="18"/>
      <c r="H24" s="22"/>
      <c r="I24" s="23"/>
      <c r="J24" s="22"/>
      <c r="K24" s="22"/>
      <c r="L24" s="22">
        <v>6.0</v>
      </c>
      <c r="M24" s="22">
        <v>8.0</v>
      </c>
      <c r="N24" s="22"/>
      <c r="O24" s="22"/>
      <c r="P24" s="22"/>
      <c r="Q24" s="22"/>
      <c r="R24" s="22"/>
      <c r="S24" s="22">
        <v>1.0</v>
      </c>
      <c r="T24" s="23"/>
      <c r="U24" s="22"/>
      <c r="V24" s="23"/>
      <c r="W24" s="22"/>
      <c r="X24" s="22">
        <v>8.0</v>
      </c>
      <c r="Y24" s="22"/>
      <c r="Z24" s="22">
        <v>8.0</v>
      </c>
      <c r="AA24" s="22">
        <v>8.0</v>
      </c>
      <c r="AB24" s="22">
        <v>5.0</v>
      </c>
      <c r="AC24" s="22">
        <v>10.0</v>
      </c>
      <c r="AD24" s="22"/>
      <c r="AE24" s="22"/>
      <c r="AF24" s="22"/>
      <c r="AG24" s="22"/>
      <c r="AH24" s="17"/>
      <c r="AI24" s="22"/>
      <c r="AJ24" s="23"/>
      <c r="AK24" s="22"/>
      <c r="AL24" s="22"/>
      <c r="AM24" s="22"/>
      <c r="AN24" s="22">
        <v>2.0</v>
      </c>
      <c r="AO24" s="23"/>
      <c r="AP24" s="22">
        <v>1.0</v>
      </c>
      <c r="AQ24" s="22"/>
      <c r="AR24" s="22"/>
      <c r="AS24" s="22"/>
      <c r="AT24" s="22">
        <v>4.0</v>
      </c>
      <c r="AU24" s="22">
        <v>6.0</v>
      </c>
      <c r="AV24" s="22"/>
      <c r="AW24" s="22"/>
      <c r="AX24" s="22">
        <v>10.0</v>
      </c>
      <c r="AY24" s="22">
        <v>1.0</v>
      </c>
      <c r="AZ24" s="22">
        <v>5.0</v>
      </c>
      <c r="BA24" s="23"/>
      <c r="BB24" s="22"/>
      <c r="BC24" s="22">
        <v>8.0</v>
      </c>
      <c r="BD24" s="22">
        <v>3.0</v>
      </c>
      <c r="BE24" s="22"/>
      <c r="BF24" s="22"/>
      <c r="BG24" s="22">
        <v>2.0</v>
      </c>
      <c r="BH24" s="23"/>
      <c r="BI24" s="22"/>
      <c r="BJ24" s="22"/>
      <c r="BK24" s="22"/>
      <c r="BL24" s="22"/>
      <c r="BM24" s="17"/>
      <c r="BN24" s="23">
        <f t="shared" si="3"/>
        <v>96</v>
      </c>
      <c r="BO24" s="23">
        <f t="shared" si="4"/>
        <v>23</v>
      </c>
      <c r="BP24" s="23">
        <f t="shared" si="5"/>
        <v>18</v>
      </c>
      <c r="BQ24" s="23">
        <f t="shared" si="6"/>
        <v>0</v>
      </c>
      <c r="BR24" s="23">
        <f t="shared" si="7"/>
        <v>2</v>
      </c>
      <c r="BS24" s="23">
        <f t="shared" si="8"/>
        <v>5</v>
      </c>
      <c r="BT24" s="24">
        <f t="shared" si="9"/>
        <v>9618000205</v>
      </c>
      <c r="BU24" s="23">
        <f t="shared" si="10"/>
        <v>23</v>
      </c>
    </row>
    <row r="25" ht="16.5" customHeight="1">
      <c r="A25" s="17">
        <v>28.0</v>
      </c>
      <c r="B25" s="82">
        <f t="shared" ref="B25:C25" si="32">BN25</f>
        <v>81</v>
      </c>
      <c r="C25" s="83">
        <f t="shared" si="32"/>
        <v>24</v>
      </c>
      <c r="D25" s="17"/>
      <c r="E25" s="81" t="s">
        <v>54</v>
      </c>
      <c r="F25" s="17">
        <v>2.0</v>
      </c>
      <c r="G25" s="17">
        <v>1.0</v>
      </c>
      <c r="H25" s="17"/>
      <c r="I25" s="17">
        <v>2.0</v>
      </c>
      <c r="J25" s="17"/>
      <c r="K25" s="17">
        <v>7.0</v>
      </c>
      <c r="L25" s="17"/>
      <c r="M25" s="17"/>
      <c r="N25" s="17">
        <v>12.0</v>
      </c>
      <c r="O25" s="17">
        <v>4.0</v>
      </c>
      <c r="P25" s="17"/>
      <c r="Q25" s="17"/>
      <c r="R25" s="17">
        <v>3.0</v>
      </c>
      <c r="S25" s="17"/>
      <c r="T25" s="18"/>
      <c r="U25" s="17"/>
      <c r="V25" s="17"/>
      <c r="W25" s="17">
        <v>6.0</v>
      </c>
      <c r="X25" s="17"/>
      <c r="Y25" s="18"/>
      <c r="Z25" s="17"/>
      <c r="AA25" s="17"/>
      <c r="AB25" s="18"/>
      <c r="AC25" s="17"/>
      <c r="AD25" s="18"/>
      <c r="AE25" s="18"/>
      <c r="AF25" s="18"/>
      <c r="AG25" s="17"/>
      <c r="AH25" s="17">
        <v>5.0</v>
      </c>
      <c r="AI25" s="18"/>
      <c r="AJ25" s="17"/>
      <c r="AK25" s="18"/>
      <c r="AL25" s="17">
        <v>1.0</v>
      </c>
      <c r="AM25" s="18"/>
      <c r="AN25" s="17">
        <v>6.0</v>
      </c>
      <c r="AO25" s="17"/>
      <c r="AP25" s="17">
        <v>3.0</v>
      </c>
      <c r="AQ25" s="17"/>
      <c r="AR25" s="17">
        <v>1.0</v>
      </c>
      <c r="AS25" s="17">
        <v>8.0</v>
      </c>
      <c r="AT25" s="17">
        <v>1.0</v>
      </c>
      <c r="AU25" s="17"/>
      <c r="AV25" s="18"/>
      <c r="AW25" s="17">
        <v>2.0</v>
      </c>
      <c r="AX25" s="17"/>
      <c r="AY25" s="17">
        <v>10.0</v>
      </c>
      <c r="AZ25" s="17"/>
      <c r="BA25" s="17"/>
      <c r="BB25" s="18"/>
      <c r="BC25" s="18"/>
      <c r="BD25" s="18"/>
      <c r="BE25" s="17">
        <v>7.0</v>
      </c>
      <c r="BF25" s="18"/>
      <c r="BG25" s="18"/>
      <c r="BH25" s="17"/>
      <c r="BI25" s="18"/>
      <c r="BJ25" s="18"/>
      <c r="BK25" s="18"/>
      <c r="BL25" s="17"/>
      <c r="BM25" s="17"/>
      <c r="BN25" s="18">
        <f t="shared" si="3"/>
        <v>81</v>
      </c>
      <c r="BO25" s="18">
        <f t="shared" si="4"/>
        <v>24</v>
      </c>
      <c r="BP25" s="18">
        <f t="shared" si="5"/>
        <v>18</v>
      </c>
      <c r="BQ25" s="18">
        <f t="shared" si="6"/>
        <v>1</v>
      </c>
      <c r="BR25" s="18">
        <f t="shared" si="7"/>
        <v>1</v>
      </c>
      <c r="BS25" s="18">
        <f t="shared" si="8"/>
        <v>1</v>
      </c>
      <c r="BT25" s="19">
        <f t="shared" si="9"/>
        <v>8118010101</v>
      </c>
      <c r="BU25" s="18">
        <f t="shared" si="10"/>
        <v>24</v>
      </c>
    </row>
    <row r="26" ht="16.5" customHeight="1">
      <c r="A26" s="23">
        <v>4.0</v>
      </c>
      <c r="B26" s="79">
        <f t="shared" ref="B26:C26" si="33">BN26</f>
        <v>78</v>
      </c>
      <c r="C26" s="80">
        <f t="shared" si="33"/>
        <v>25</v>
      </c>
      <c r="D26" s="23"/>
      <c r="E26" s="81" t="s">
        <v>28</v>
      </c>
      <c r="F26" s="22"/>
      <c r="G26" s="17"/>
      <c r="H26" s="22"/>
      <c r="I26" s="22">
        <v>5.0</v>
      </c>
      <c r="J26" s="22"/>
      <c r="K26" s="22"/>
      <c r="L26" s="22">
        <v>4.0</v>
      </c>
      <c r="M26" s="22"/>
      <c r="N26" s="22"/>
      <c r="O26" s="22"/>
      <c r="P26" s="22"/>
      <c r="Q26" s="22"/>
      <c r="R26" s="22"/>
      <c r="S26" s="23"/>
      <c r="T26" s="22"/>
      <c r="U26" s="22">
        <v>3.0</v>
      </c>
      <c r="V26" s="22">
        <v>6.0</v>
      </c>
      <c r="W26" s="22">
        <v>5.0</v>
      </c>
      <c r="X26" s="22">
        <v>7.0</v>
      </c>
      <c r="Y26" s="22">
        <v>1.0</v>
      </c>
      <c r="Z26" s="22"/>
      <c r="AA26" s="22"/>
      <c r="AB26" s="23"/>
      <c r="AC26" s="22">
        <v>1.0</v>
      </c>
      <c r="AD26" s="22"/>
      <c r="AE26" s="22"/>
      <c r="AF26" s="23"/>
      <c r="AG26" s="22"/>
      <c r="AH26" s="17">
        <v>3.0</v>
      </c>
      <c r="AI26" s="22"/>
      <c r="AJ26" s="22"/>
      <c r="AK26" s="22">
        <v>7.0</v>
      </c>
      <c r="AL26" s="22">
        <v>2.0</v>
      </c>
      <c r="AM26" s="22"/>
      <c r="AN26" s="22"/>
      <c r="AO26" s="22"/>
      <c r="AP26" s="22">
        <v>7.0</v>
      </c>
      <c r="AQ26" s="22"/>
      <c r="AR26" s="22"/>
      <c r="AS26" s="22"/>
      <c r="AT26" s="22">
        <v>7.0</v>
      </c>
      <c r="AU26" s="22">
        <v>7.0</v>
      </c>
      <c r="AV26" s="22"/>
      <c r="AW26" s="22"/>
      <c r="AX26" s="22"/>
      <c r="AY26" s="22"/>
      <c r="AZ26" s="23"/>
      <c r="BA26" s="22"/>
      <c r="BB26" s="22"/>
      <c r="BC26" s="22"/>
      <c r="BD26" s="22"/>
      <c r="BE26" s="23"/>
      <c r="BF26" s="22">
        <v>8.0</v>
      </c>
      <c r="BG26" s="22"/>
      <c r="BH26" s="22">
        <v>5.0</v>
      </c>
      <c r="BI26" s="23"/>
      <c r="BJ26" s="22"/>
      <c r="BK26" s="23"/>
      <c r="BL26" s="22"/>
      <c r="BM26" s="17"/>
      <c r="BN26" s="23">
        <f t="shared" si="3"/>
        <v>78</v>
      </c>
      <c r="BO26" s="23">
        <f t="shared" si="4"/>
        <v>25</v>
      </c>
      <c r="BP26" s="23">
        <f t="shared" si="5"/>
        <v>16</v>
      </c>
      <c r="BQ26" s="23">
        <f t="shared" si="6"/>
        <v>0</v>
      </c>
      <c r="BR26" s="23">
        <f t="shared" si="7"/>
        <v>0</v>
      </c>
      <c r="BS26" s="23">
        <f t="shared" si="8"/>
        <v>1</v>
      </c>
      <c r="BT26" s="24">
        <f t="shared" si="9"/>
        <v>7816000001</v>
      </c>
      <c r="BU26" s="23">
        <f t="shared" si="10"/>
        <v>25</v>
      </c>
    </row>
    <row r="27" ht="16.5" customHeight="1">
      <c r="A27" s="18">
        <v>7.0</v>
      </c>
      <c r="B27" s="79">
        <f t="shared" ref="B27:C27" si="34">BN27</f>
        <v>69</v>
      </c>
      <c r="C27" s="80">
        <f t="shared" si="34"/>
        <v>26</v>
      </c>
      <c r="D27" s="18"/>
      <c r="E27" s="81" t="s">
        <v>9</v>
      </c>
      <c r="F27" s="17"/>
      <c r="G27" s="17"/>
      <c r="H27" s="17"/>
      <c r="I27" s="17"/>
      <c r="J27" s="17"/>
      <c r="K27" s="17"/>
      <c r="L27" s="17"/>
      <c r="M27" s="17"/>
      <c r="N27" s="17">
        <v>3.0</v>
      </c>
      <c r="O27" s="17">
        <v>2.0</v>
      </c>
      <c r="P27" s="17"/>
      <c r="Q27" s="17"/>
      <c r="R27" s="17"/>
      <c r="S27" s="17">
        <v>5.0</v>
      </c>
      <c r="T27" s="17"/>
      <c r="U27" s="17">
        <v>2.0</v>
      </c>
      <c r="V27" s="17">
        <v>8.0</v>
      </c>
      <c r="W27" s="17"/>
      <c r="X27" s="17">
        <v>2.0</v>
      </c>
      <c r="Y27" s="17"/>
      <c r="Z27" s="17">
        <v>3.0</v>
      </c>
      <c r="AA27" s="17"/>
      <c r="AB27" s="17"/>
      <c r="AC27" s="17"/>
      <c r="AD27" s="17">
        <v>1.0</v>
      </c>
      <c r="AE27" s="17">
        <v>12.0</v>
      </c>
      <c r="AF27" s="17"/>
      <c r="AG27" s="17"/>
      <c r="AH27" s="17"/>
      <c r="AI27" s="17"/>
      <c r="AJ27" s="17"/>
      <c r="AK27" s="17"/>
      <c r="AL27" s="17">
        <v>8.0</v>
      </c>
      <c r="AM27" s="17"/>
      <c r="AN27" s="17"/>
      <c r="AO27" s="18"/>
      <c r="AP27" s="17"/>
      <c r="AQ27" s="18"/>
      <c r="AR27" s="18"/>
      <c r="AS27" s="17"/>
      <c r="AT27" s="18"/>
      <c r="AU27" s="17"/>
      <c r="AV27" s="17">
        <v>5.0</v>
      </c>
      <c r="AW27" s="17">
        <v>1.0</v>
      </c>
      <c r="AX27" s="17">
        <v>2.0</v>
      </c>
      <c r="AY27" s="17"/>
      <c r="AZ27" s="17">
        <v>7.0</v>
      </c>
      <c r="BA27" s="17"/>
      <c r="BB27" s="17"/>
      <c r="BC27" s="17"/>
      <c r="BD27" s="18"/>
      <c r="BE27" s="17"/>
      <c r="BF27" s="17"/>
      <c r="BG27" s="17">
        <v>8.0</v>
      </c>
      <c r="BH27" s="17"/>
      <c r="BI27" s="17"/>
      <c r="BJ27" s="17"/>
      <c r="BK27" s="17"/>
      <c r="BL27" s="17"/>
      <c r="BM27" s="17"/>
      <c r="BN27" s="18">
        <f t="shared" si="3"/>
        <v>69</v>
      </c>
      <c r="BO27" s="18">
        <f t="shared" si="4"/>
        <v>26</v>
      </c>
      <c r="BP27" s="18">
        <f t="shared" si="5"/>
        <v>15</v>
      </c>
      <c r="BQ27" s="18">
        <f t="shared" si="6"/>
        <v>1</v>
      </c>
      <c r="BR27" s="18">
        <f t="shared" si="7"/>
        <v>0</v>
      </c>
      <c r="BS27" s="18">
        <f t="shared" si="8"/>
        <v>3</v>
      </c>
      <c r="BT27" s="19">
        <f t="shared" si="9"/>
        <v>6915010003</v>
      </c>
      <c r="BU27" s="18">
        <f t="shared" si="10"/>
        <v>26</v>
      </c>
    </row>
    <row r="28" ht="16.5" customHeight="1">
      <c r="A28" s="23">
        <v>8.0</v>
      </c>
      <c r="B28" s="79">
        <f t="shared" ref="B28:C28" si="35">BN28</f>
        <v>63</v>
      </c>
      <c r="C28" s="80">
        <f t="shared" si="35"/>
        <v>27</v>
      </c>
      <c r="D28" s="23"/>
      <c r="E28" s="81" t="s">
        <v>17</v>
      </c>
      <c r="F28" s="22"/>
      <c r="G28" s="17"/>
      <c r="H28" s="22"/>
      <c r="I28" s="23"/>
      <c r="J28" s="23"/>
      <c r="K28" s="22"/>
      <c r="L28" s="22"/>
      <c r="M28" s="22">
        <v>7.0</v>
      </c>
      <c r="N28" s="23"/>
      <c r="O28" s="22"/>
      <c r="P28" s="22">
        <v>2.0</v>
      </c>
      <c r="Q28" s="22"/>
      <c r="R28" s="22">
        <v>2.0</v>
      </c>
      <c r="S28" s="22"/>
      <c r="T28" s="23"/>
      <c r="U28" s="22"/>
      <c r="V28" s="22"/>
      <c r="W28" s="22">
        <v>7.0</v>
      </c>
      <c r="X28" s="23"/>
      <c r="Y28" s="22"/>
      <c r="Z28" s="23"/>
      <c r="AA28" s="22">
        <v>2.0</v>
      </c>
      <c r="AB28" s="23"/>
      <c r="AC28" s="23"/>
      <c r="AD28" s="22">
        <v>7.0</v>
      </c>
      <c r="AE28" s="22"/>
      <c r="AF28" s="22"/>
      <c r="AG28" s="23"/>
      <c r="AH28" s="18"/>
      <c r="AI28" s="22">
        <v>8.0</v>
      </c>
      <c r="AJ28" s="22">
        <v>3.0</v>
      </c>
      <c r="AK28" s="23"/>
      <c r="AL28" s="23"/>
      <c r="AM28" s="22"/>
      <c r="AN28" s="22">
        <v>12.0</v>
      </c>
      <c r="AO28" s="23"/>
      <c r="AP28" s="22"/>
      <c r="AQ28" s="22"/>
      <c r="AR28" s="22">
        <v>10.0</v>
      </c>
      <c r="AS28" s="23"/>
      <c r="AT28" s="22">
        <v>3.0</v>
      </c>
      <c r="AU28" s="23"/>
      <c r="AV28" s="22"/>
      <c r="AW28" s="23"/>
      <c r="AX28" s="22"/>
      <c r="AY28" s="22"/>
      <c r="AZ28" s="22"/>
      <c r="BA28" s="22"/>
      <c r="BB28" s="22"/>
      <c r="BC28" s="22"/>
      <c r="BD28" s="22"/>
      <c r="BE28" s="22"/>
      <c r="BF28" s="22"/>
      <c r="BG28" s="23"/>
      <c r="BH28" s="22"/>
      <c r="BI28" s="23"/>
      <c r="BJ28" s="23"/>
      <c r="BK28" s="22"/>
      <c r="BL28" s="22"/>
      <c r="BM28" s="17"/>
      <c r="BN28" s="23">
        <f t="shared" si="3"/>
        <v>63</v>
      </c>
      <c r="BO28" s="23">
        <f t="shared" si="4"/>
        <v>27</v>
      </c>
      <c r="BP28" s="23">
        <f t="shared" si="5"/>
        <v>11</v>
      </c>
      <c r="BQ28" s="23">
        <f t="shared" si="6"/>
        <v>1</v>
      </c>
      <c r="BR28" s="23">
        <f t="shared" si="7"/>
        <v>1</v>
      </c>
      <c r="BS28" s="23">
        <f t="shared" si="8"/>
        <v>1</v>
      </c>
      <c r="BT28" s="24">
        <f t="shared" si="9"/>
        <v>6311010101</v>
      </c>
      <c r="BU28" s="23">
        <f t="shared" si="10"/>
        <v>27</v>
      </c>
    </row>
    <row r="29" ht="16.5" customHeight="1">
      <c r="A29" s="22">
        <v>26.0</v>
      </c>
      <c r="B29" s="79">
        <f t="shared" ref="B29:C29" si="36">BN29</f>
        <v>38</v>
      </c>
      <c r="C29" s="80">
        <f t="shared" si="36"/>
        <v>28</v>
      </c>
      <c r="D29" s="22"/>
      <c r="E29" s="81" t="s">
        <v>29</v>
      </c>
      <c r="F29" s="22"/>
      <c r="G29" s="17"/>
      <c r="H29" s="23"/>
      <c r="I29" s="23"/>
      <c r="J29" s="23"/>
      <c r="K29" s="23"/>
      <c r="L29" s="22"/>
      <c r="M29" s="22">
        <v>2.0</v>
      </c>
      <c r="N29" s="23"/>
      <c r="O29" s="22"/>
      <c r="P29" s="23"/>
      <c r="Q29" s="23"/>
      <c r="R29" s="22"/>
      <c r="S29" s="22"/>
      <c r="T29" s="22"/>
      <c r="U29" s="23"/>
      <c r="V29" s="22"/>
      <c r="W29" s="22"/>
      <c r="X29" s="22"/>
      <c r="Y29" s="23"/>
      <c r="Z29" s="22"/>
      <c r="AA29" s="22">
        <v>3.0</v>
      </c>
      <c r="AB29" s="22"/>
      <c r="AC29" s="23"/>
      <c r="AD29" s="23"/>
      <c r="AE29" s="22">
        <v>10.0</v>
      </c>
      <c r="AF29" s="22"/>
      <c r="AG29" s="22"/>
      <c r="AH29" s="17"/>
      <c r="AI29" s="23"/>
      <c r="AJ29" s="23"/>
      <c r="AK29" s="22"/>
      <c r="AL29" s="22"/>
      <c r="AM29" s="22"/>
      <c r="AN29" s="22"/>
      <c r="AO29" s="22"/>
      <c r="AP29" s="23"/>
      <c r="AQ29" s="22"/>
      <c r="AR29" s="22"/>
      <c r="AS29" s="22">
        <v>4.0</v>
      </c>
      <c r="AT29" s="22"/>
      <c r="AU29" s="22"/>
      <c r="AV29" s="23"/>
      <c r="AW29" s="22"/>
      <c r="AX29" s="23"/>
      <c r="AY29" s="22">
        <v>6.0</v>
      </c>
      <c r="AZ29" s="22"/>
      <c r="BA29" s="23"/>
      <c r="BB29" s="22"/>
      <c r="BC29" s="22"/>
      <c r="BD29" s="22"/>
      <c r="BE29" s="22">
        <v>1.0</v>
      </c>
      <c r="BF29" s="22"/>
      <c r="BG29" s="22">
        <v>12.0</v>
      </c>
      <c r="BH29" s="22"/>
      <c r="BI29" s="22"/>
      <c r="BJ29" s="22"/>
      <c r="BK29" s="22"/>
      <c r="BL29" s="23"/>
      <c r="BM29" s="17"/>
      <c r="BN29" s="23">
        <f t="shared" si="3"/>
        <v>38</v>
      </c>
      <c r="BO29" s="23">
        <f t="shared" si="4"/>
        <v>28</v>
      </c>
      <c r="BP29" s="23">
        <f t="shared" si="5"/>
        <v>7</v>
      </c>
      <c r="BQ29" s="23">
        <f t="shared" si="6"/>
        <v>1</v>
      </c>
      <c r="BR29" s="23">
        <f t="shared" si="7"/>
        <v>1</v>
      </c>
      <c r="BS29" s="23">
        <f t="shared" si="8"/>
        <v>0</v>
      </c>
      <c r="BT29" s="24">
        <f t="shared" si="9"/>
        <v>3807010100</v>
      </c>
      <c r="BU29" s="23">
        <f t="shared" si="10"/>
        <v>28</v>
      </c>
    </row>
    <row r="30">
      <c r="B30" s="84"/>
      <c r="E30" s="84"/>
    </row>
    <row r="31">
      <c r="B31" s="85"/>
      <c r="C31" s="29"/>
      <c r="D31" s="29"/>
      <c r="E31" s="85" t="s">
        <v>40</v>
      </c>
      <c r="F31" s="30">
        <f t="shared" ref="F31:BM31" si="37">SUM(F2:F29)</f>
        <v>58</v>
      </c>
      <c r="G31" s="30">
        <f t="shared" si="37"/>
        <v>58</v>
      </c>
      <c r="H31" s="30">
        <f t="shared" si="37"/>
        <v>58</v>
      </c>
      <c r="I31" s="30">
        <f t="shared" si="37"/>
        <v>58</v>
      </c>
      <c r="J31" s="30">
        <f t="shared" si="37"/>
        <v>58</v>
      </c>
      <c r="K31" s="30">
        <f t="shared" si="37"/>
        <v>58</v>
      </c>
      <c r="L31" s="30">
        <f t="shared" si="37"/>
        <v>58</v>
      </c>
      <c r="M31" s="30">
        <f t="shared" si="37"/>
        <v>58</v>
      </c>
      <c r="N31" s="30">
        <f t="shared" si="37"/>
        <v>58</v>
      </c>
      <c r="O31" s="30">
        <f t="shared" si="37"/>
        <v>58</v>
      </c>
      <c r="P31" s="30">
        <f t="shared" si="37"/>
        <v>58</v>
      </c>
      <c r="Q31" s="30">
        <f t="shared" si="37"/>
        <v>58</v>
      </c>
      <c r="R31" s="30">
        <f t="shared" si="37"/>
        <v>58</v>
      </c>
      <c r="S31" s="30">
        <f t="shared" si="37"/>
        <v>58</v>
      </c>
      <c r="T31" s="30">
        <f t="shared" si="37"/>
        <v>58</v>
      </c>
      <c r="U31" s="30">
        <f t="shared" si="37"/>
        <v>58</v>
      </c>
      <c r="V31" s="30">
        <f t="shared" si="37"/>
        <v>58</v>
      </c>
      <c r="W31" s="30">
        <f t="shared" si="37"/>
        <v>58</v>
      </c>
      <c r="X31" s="30">
        <f t="shared" si="37"/>
        <v>58</v>
      </c>
      <c r="Y31" s="30">
        <f t="shared" si="37"/>
        <v>58</v>
      </c>
      <c r="Z31" s="30">
        <f t="shared" si="37"/>
        <v>58</v>
      </c>
      <c r="AA31" s="30">
        <f t="shared" si="37"/>
        <v>58</v>
      </c>
      <c r="AB31" s="30">
        <f t="shared" si="37"/>
        <v>58</v>
      </c>
      <c r="AC31" s="30">
        <f t="shared" si="37"/>
        <v>58</v>
      </c>
      <c r="AD31" s="30">
        <f t="shared" si="37"/>
        <v>58</v>
      </c>
      <c r="AE31" s="30">
        <f t="shared" si="37"/>
        <v>58</v>
      </c>
      <c r="AF31" s="30">
        <f t="shared" si="37"/>
        <v>58</v>
      </c>
      <c r="AG31" s="30">
        <f t="shared" si="37"/>
        <v>58</v>
      </c>
      <c r="AH31" s="30">
        <f t="shared" si="37"/>
        <v>58</v>
      </c>
      <c r="AI31" s="30">
        <f t="shared" si="37"/>
        <v>58</v>
      </c>
      <c r="AJ31" s="30">
        <f t="shared" si="37"/>
        <v>58</v>
      </c>
      <c r="AK31" s="30">
        <f t="shared" si="37"/>
        <v>58</v>
      </c>
      <c r="AL31" s="30">
        <f t="shared" si="37"/>
        <v>58</v>
      </c>
      <c r="AM31" s="30">
        <f t="shared" si="37"/>
        <v>58</v>
      </c>
      <c r="AN31" s="30">
        <f t="shared" si="37"/>
        <v>58</v>
      </c>
      <c r="AO31" s="30">
        <f t="shared" si="37"/>
        <v>58</v>
      </c>
      <c r="AP31" s="30">
        <f t="shared" si="37"/>
        <v>58</v>
      </c>
      <c r="AQ31" s="30">
        <f t="shared" si="37"/>
        <v>58</v>
      </c>
      <c r="AR31" s="30">
        <f t="shared" si="37"/>
        <v>58</v>
      </c>
      <c r="AS31" s="30">
        <f t="shared" si="37"/>
        <v>58</v>
      </c>
      <c r="AT31" s="30">
        <f t="shared" si="37"/>
        <v>58</v>
      </c>
      <c r="AU31" s="30">
        <f t="shared" si="37"/>
        <v>58</v>
      </c>
      <c r="AV31" s="30">
        <f t="shared" si="37"/>
        <v>58</v>
      </c>
      <c r="AW31" s="30">
        <f t="shared" si="37"/>
        <v>58</v>
      </c>
      <c r="AX31" s="30">
        <f t="shared" si="37"/>
        <v>58</v>
      </c>
      <c r="AY31" s="30">
        <f t="shared" si="37"/>
        <v>58</v>
      </c>
      <c r="AZ31" s="30">
        <f t="shared" si="37"/>
        <v>58</v>
      </c>
      <c r="BA31" s="30">
        <f t="shared" si="37"/>
        <v>58</v>
      </c>
      <c r="BB31" s="30">
        <f t="shared" si="37"/>
        <v>58</v>
      </c>
      <c r="BC31" s="30">
        <f t="shared" si="37"/>
        <v>58</v>
      </c>
      <c r="BD31" s="30">
        <f t="shared" si="37"/>
        <v>58</v>
      </c>
      <c r="BE31" s="30">
        <f t="shared" si="37"/>
        <v>58</v>
      </c>
      <c r="BF31" s="30">
        <f t="shared" si="37"/>
        <v>58</v>
      </c>
      <c r="BG31" s="30">
        <f t="shared" si="37"/>
        <v>58</v>
      </c>
      <c r="BH31" s="30">
        <f t="shared" si="37"/>
        <v>58</v>
      </c>
      <c r="BI31" s="30">
        <f t="shared" si="37"/>
        <v>0</v>
      </c>
      <c r="BJ31" s="30">
        <f t="shared" si="37"/>
        <v>0</v>
      </c>
      <c r="BK31" s="30">
        <f t="shared" si="37"/>
        <v>0</v>
      </c>
      <c r="BL31" s="30">
        <f t="shared" si="37"/>
        <v>0</v>
      </c>
      <c r="BM31" s="30">
        <f t="shared" si="37"/>
        <v>0</v>
      </c>
    </row>
    <row r="32">
      <c r="B32" s="85"/>
      <c r="C32" s="29"/>
      <c r="D32" s="29"/>
      <c r="E32" s="85" t="s">
        <v>42</v>
      </c>
      <c r="F32" s="30" t="b">
        <f>IFERROR(__xludf.DUMMYFUNCTION("AND(COUNTIF(F2:F29, 1) = 1, 
    COUNTIF(F2:F29, 2) = 1, 
    COUNTIF(F2:F29, 3) = 1, 
    COUNTIF(F2:F29, 4) = 1, 
    COUNTIF(F2:F29, 5) = 1, 
    COUNTIF(F2:F29, 6) = 1, 
    COUNTIF(F2:F29, 7) = 1, 
    COUNTIF(F2:F29, 8) = 1, 
    COUNTIF(F2:F29, 10)"&amp;" = 1, 
    COUNTIF(F2:F29, 12) = 1, 
    COUNTUNIQUE(F2:F29) = 10)"),TRUE)</f>
        <v>1</v>
      </c>
      <c r="G32" s="30" t="b">
        <f>IFERROR(__xludf.DUMMYFUNCTION("AND(COUNTIF(G2:G29, 1) = 1, 
    COUNTIF(G2:G29, 2) = 1, 
    COUNTIF(G2:G29, 3) = 1, 
    COUNTIF(G2:G29, 4) = 1, 
    COUNTIF(G2:G29, 5) = 1, 
    COUNTIF(G2:G29, 6) = 1, 
    COUNTIF(G2:G29, 7) = 1, 
    COUNTIF(G2:G29, 8) = 1, 
    COUNTIF(G2:G29, 10)"&amp;" = 1, 
    COUNTIF(G2:G29, 12) = 1, 
    COUNTUNIQUE(G2:G29) = 10)"),TRUE)</f>
        <v>1</v>
      </c>
      <c r="H32" s="30" t="b">
        <f>IFERROR(__xludf.DUMMYFUNCTION("AND(COUNTIF(H2:H29, 1) = 1, 
    COUNTIF(H2:H29, 2) = 1, 
    COUNTIF(H2:H29, 3) = 1, 
    COUNTIF(H2:H29, 4) = 1, 
    COUNTIF(H2:H29, 5) = 1, 
    COUNTIF(H2:H29, 6) = 1, 
    COUNTIF(H2:H29, 7) = 1, 
    COUNTIF(H2:H29, 8) = 1, 
    COUNTIF(H2:H29, 10)"&amp;" = 1, 
    COUNTIF(H2:H29, 12) = 1, 
    COUNTUNIQUE(H2:H29) = 10)"),TRUE)</f>
        <v>1</v>
      </c>
      <c r="I32" s="30" t="b">
        <f>IFERROR(__xludf.DUMMYFUNCTION("AND(COUNTIF(I2:I29, 1) = 1, 
    COUNTIF(I2:I29, 2) = 1, 
    COUNTIF(I2:I29, 3) = 1, 
    COUNTIF(I2:I29, 4) = 1, 
    COUNTIF(I2:I29, 5) = 1, 
    COUNTIF(I2:I29, 6) = 1, 
    COUNTIF(I2:I29, 7) = 1, 
    COUNTIF(I2:I29, 8) = 1, 
    COUNTIF(I2:I29, 10)"&amp;" = 1, 
    COUNTIF(I2:I29, 12) = 1, 
    COUNTUNIQUE(I2:I29) = 10)"),TRUE)</f>
        <v>1</v>
      </c>
      <c r="J32" s="30" t="b">
        <f>IFERROR(__xludf.DUMMYFUNCTION("AND(COUNTIF(J2:J29, 1) = 1, 
    COUNTIF(J2:J29, 2) = 1, 
    COUNTIF(J2:J29, 3) = 1, 
    COUNTIF(J2:J29, 4) = 1, 
    COUNTIF(J2:J29, 5) = 1, 
    COUNTIF(J2:J29, 6) = 1, 
    COUNTIF(J2:J29, 7) = 1, 
    COUNTIF(J2:J29, 8) = 1, 
    COUNTIF(J2:J29, 10)"&amp;" = 1, 
    COUNTIF(J2:J29, 12) = 1, 
    COUNTUNIQUE(J2:J29) = 10)"),TRUE)</f>
        <v>1</v>
      </c>
      <c r="K32" s="30" t="b">
        <f>IFERROR(__xludf.DUMMYFUNCTION("AND(COUNTIF(K2:K29, 1) = 1, 
    COUNTIF(K2:K29, 2) = 1, 
    COUNTIF(K2:K29, 3) = 1, 
    COUNTIF(K2:K29, 4) = 1, 
    COUNTIF(K2:K29, 5) = 1, 
    COUNTIF(K2:K29, 6) = 1, 
    COUNTIF(K2:K29, 7) = 1, 
    COUNTIF(K2:K29, 8) = 1, 
    COUNTIF(K2:K29, 10)"&amp;" = 1, 
    COUNTIF(K2:K29, 12) = 1, 
    COUNTUNIQUE(K2:K29) = 10)"),TRUE)</f>
        <v>1</v>
      </c>
      <c r="L32" s="30" t="b">
        <f>IFERROR(__xludf.DUMMYFUNCTION("AND(COUNTIF(L2:L29, 1) = 1, 
    COUNTIF(L2:L29, 2) = 1, 
    COUNTIF(L2:L29, 3) = 1, 
    COUNTIF(L2:L29, 4) = 1, 
    COUNTIF(L2:L29, 5) = 1, 
    COUNTIF(L2:L29, 6) = 1, 
    COUNTIF(L2:L29, 7) = 1, 
    COUNTIF(L2:L29, 8) = 1, 
    COUNTIF(L2:L29, 10)"&amp;" = 1, 
    COUNTIF(L2:L29, 12) = 1, 
    COUNTUNIQUE(L2:L29) = 10)"),TRUE)</f>
        <v>1</v>
      </c>
      <c r="M32" s="30" t="b">
        <f>IFERROR(__xludf.DUMMYFUNCTION("AND(COUNTIF(M2:M29, 1) = 1, 
    COUNTIF(M2:M29, 2) = 1, 
    COUNTIF(M2:M29, 3) = 1, 
    COUNTIF(M2:M29, 4) = 1, 
    COUNTIF(M2:M29, 5) = 1, 
    COUNTIF(M2:M29, 6) = 1, 
    COUNTIF(M2:M29, 7) = 1, 
    COUNTIF(M2:M29, 8) = 1, 
    COUNTIF(M2:M29, 10)"&amp;" = 1, 
    COUNTIF(M2:M29, 12) = 1, 
    COUNTUNIQUE(M2:M29) = 10)"),TRUE)</f>
        <v>1</v>
      </c>
      <c r="N32" s="30" t="b">
        <f>IFERROR(__xludf.DUMMYFUNCTION("AND(COUNTIF(N2:N29, 1) = 1, 
    COUNTIF(N2:N29, 2) = 1, 
    COUNTIF(N2:N29, 3) = 1, 
    COUNTIF(N2:N29, 4) = 1, 
    COUNTIF(N2:N29, 5) = 1, 
    COUNTIF(N2:N29, 6) = 1, 
    COUNTIF(N2:N29, 7) = 1, 
    COUNTIF(N2:N29, 8) = 1, 
    COUNTIF(N2:N29, 10)"&amp;" = 1, 
    COUNTIF(N2:N29, 12) = 1, 
    COUNTUNIQUE(N2:N29) = 10)"),TRUE)</f>
        <v>1</v>
      </c>
      <c r="O32" s="30" t="b">
        <f>IFERROR(__xludf.DUMMYFUNCTION("AND(COUNTIF(O2:O29, 1) = 1, 
    COUNTIF(O2:O29, 2) = 1, 
    COUNTIF(O2:O29, 3) = 1, 
    COUNTIF(O2:O29, 4) = 1, 
    COUNTIF(O2:O29, 5) = 1, 
    COUNTIF(O2:O29, 6) = 1, 
    COUNTIF(O2:O29, 7) = 1, 
    COUNTIF(O2:O29, 8) = 1, 
    COUNTIF(O2:O29, 10)"&amp;" = 1, 
    COUNTIF(O2:O29, 12) = 1, 
    COUNTUNIQUE(O2:O29) = 10)"),TRUE)</f>
        <v>1</v>
      </c>
      <c r="P32" s="30" t="b">
        <f>IFERROR(__xludf.DUMMYFUNCTION("AND(COUNTIF(P2:P29, 1) = 1, 
    COUNTIF(P2:P29, 2) = 1, 
    COUNTIF(P2:P29, 3) = 1, 
    COUNTIF(P2:P29, 4) = 1, 
    COUNTIF(P2:P29, 5) = 1, 
    COUNTIF(P2:P29, 6) = 1, 
    COUNTIF(P2:P29, 7) = 1, 
    COUNTIF(P2:P29, 8) = 1, 
    COUNTIF(P2:P29, 10)"&amp;" = 1, 
    COUNTIF(P2:P29, 12) = 1, 
    COUNTUNIQUE(P2:P29) = 10)"),TRUE)</f>
        <v>1</v>
      </c>
      <c r="Q32" s="30" t="b">
        <f>IFERROR(__xludf.DUMMYFUNCTION("AND(COUNTIF(Q2:Q29, 1) = 1, 
    COUNTIF(Q2:Q29, 2) = 1, 
    COUNTIF(Q2:Q29, 3) = 1, 
    COUNTIF(Q2:Q29, 4) = 1, 
    COUNTIF(Q2:Q29, 5) = 1, 
    COUNTIF(Q2:Q29, 6) = 1, 
    COUNTIF(Q2:Q29, 7) = 1, 
    COUNTIF(Q2:Q29, 8) = 1, 
    COUNTIF(Q2:Q29, 10)"&amp;" = 1, 
    COUNTIF(Q2:Q29, 12) = 1, 
    COUNTUNIQUE(Q2:Q29) = 10)"),TRUE)</f>
        <v>1</v>
      </c>
      <c r="R32" s="30" t="b">
        <f>IFERROR(__xludf.DUMMYFUNCTION("AND(COUNTIF(R2:R29, 1) = 1, 
    COUNTIF(R2:R29, 2) = 1, 
    COUNTIF(R2:R29, 3) = 1, 
    COUNTIF(R2:R29, 4) = 1, 
    COUNTIF(R2:R29, 5) = 1, 
    COUNTIF(R2:R29, 6) = 1, 
    COUNTIF(R2:R29, 7) = 1, 
    COUNTIF(R2:R29, 8) = 1, 
    COUNTIF(R2:R29, 10)"&amp;" = 1, 
    COUNTIF(R2:R29, 12) = 1, 
    COUNTUNIQUE(R2:R29) = 10)"),TRUE)</f>
        <v>1</v>
      </c>
      <c r="S32" s="30" t="b">
        <f>IFERROR(__xludf.DUMMYFUNCTION("AND(COUNTIF(S2:S29, 1) = 1, 
    COUNTIF(S2:S29, 2) = 1, 
    COUNTIF(S2:S29, 3) = 1, 
    COUNTIF(S2:S29, 4) = 1, 
    COUNTIF(S2:S29, 5) = 1, 
    COUNTIF(S2:S29, 6) = 1, 
    COUNTIF(S2:S29, 7) = 1, 
    COUNTIF(S2:S29, 8) = 1, 
    COUNTIF(S2:S29, 10)"&amp;" = 1, 
    COUNTIF(S2:S29, 12) = 1, 
    COUNTUNIQUE(S2:S29) = 10)"),TRUE)</f>
        <v>1</v>
      </c>
      <c r="T32" s="30" t="b">
        <f>IFERROR(__xludf.DUMMYFUNCTION("AND(COUNTIF(T2:T29, 1) = 1, 
    COUNTIF(T2:T29, 2) = 1, 
    COUNTIF(T2:T29, 3) = 1, 
    COUNTIF(T2:T29, 4) = 1, 
    COUNTIF(T2:T29, 5) = 1, 
    COUNTIF(T2:T29, 6) = 1, 
    COUNTIF(T2:T29, 7) = 1, 
    COUNTIF(T2:T29, 8) = 1, 
    COUNTIF(T2:T29, 10)"&amp;" = 1, 
    COUNTIF(T2:T29, 12) = 1, 
    COUNTUNIQUE(T2:T29) = 10)"),TRUE)</f>
        <v>1</v>
      </c>
      <c r="U32" s="30" t="b">
        <f>IFERROR(__xludf.DUMMYFUNCTION("AND(COUNTIF(U2:U29, 1) = 1, 
    COUNTIF(U2:U29, 2) = 1, 
    COUNTIF(U2:U29, 3) = 1, 
    COUNTIF(U2:U29, 4) = 1, 
    COUNTIF(U2:U29, 5) = 1, 
    COUNTIF(U2:U29, 6) = 1, 
    COUNTIF(U2:U29, 7) = 1, 
    COUNTIF(U2:U29, 8) = 1, 
    COUNTIF(U2:U29, 10)"&amp;" = 1, 
    COUNTIF(U2:U29, 12) = 1, 
    COUNTUNIQUE(U2:U29) = 10)"),TRUE)</f>
        <v>1</v>
      </c>
      <c r="V32" s="30" t="b">
        <f>IFERROR(__xludf.DUMMYFUNCTION("AND(COUNTIF(V2:V29, 1) = 1, 
    COUNTIF(V2:V29, 2) = 1, 
    COUNTIF(V2:V29, 3) = 1, 
    COUNTIF(V2:V29, 4) = 1, 
    COUNTIF(V2:V29, 5) = 1, 
    COUNTIF(V2:V29, 6) = 1, 
    COUNTIF(V2:V29, 7) = 1, 
    COUNTIF(V2:V29, 8) = 1, 
    COUNTIF(V2:V29, 10)"&amp;" = 1, 
    COUNTIF(V2:V29, 12) = 1, 
    COUNTUNIQUE(V2:V29) = 10)"),TRUE)</f>
        <v>1</v>
      </c>
      <c r="W32" s="30" t="b">
        <f>IFERROR(__xludf.DUMMYFUNCTION("AND(COUNTIF(W2:W29, 1) = 1, 
    COUNTIF(W2:W29, 2) = 1, 
    COUNTIF(W2:W29, 3) = 1, 
    COUNTIF(W2:W29, 4) = 1, 
    COUNTIF(W2:W29, 5) = 1, 
    COUNTIF(W2:W29, 6) = 1, 
    COUNTIF(W2:W29, 7) = 1, 
    COUNTIF(W2:W29, 8) = 1, 
    COUNTIF(W2:W29, 10)"&amp;" = 1, 
    COUNTIF(W2:W29, 12) = 1, 
    COUNTUNIQUE(W2:W29) = 10)"),TRUE)</f>
        <v>1</v>
      </c>
      <c r="X32" s="30" t="b">
        <f>IFERROR(__xludf.DUMMYFUNCTION("AND(COUNTIF(X2:X29, 1) = 1, 
    COUNTIF(X2:X29, 2) = 1, 
    COUNTIF(X2:X29, 3) = 1, 
    COUNTIF(X2:X29, 4) = 1, 
    COUNTIF(X2:X29, 5) = 1, 
    COUNTIF(X2:X29, 6) = 1, 
    COUNTIF(X2:X29, 7) = 1, 
    COUNTIF(X2:X29, 8) = 1, 
    COUNTIF(X2:X29, 10)"&amp;" = 1, 
    COUNTIF(X2:X29, 12) = 1, 
    COUNTUNIQUE(X2:X29) = 10)"),TRUE)</f>
        <v>1</v>
      </c>
      <c r="Y32" s="30" t="b">
        <f>IFERROR(__xludf.DUMMYFUNCTION("AND(COUNTIF(Y2:Y29, 1) = 1, 
    COUNTIF(Y2:Y29, 2) = 1, 
    COUNTIF(Y2:Y29, 3) = 1, 
    COUNTIF(Y2:Y29, 4) = 1, 
    COUNTIF(Y2:Y29, 5) = 1, 
    COUNTIF(Y2:Y29, 6) = 1, 
    COUNTIF(Y2:Y29, 7) = 1, 
    COUNTIF(Y2:Y29, 8) = 1, 
    COUNTIF(Y2:Y29, 10)"&amp;" = 1, 
    COUNTIF(Y2:Y29, 12) = 1, 
    COUNTUNIQUE(Y2:Y29) = 10)"),TRUE)</f>
        <v>1</v>
      </c>
      <c r="Z32" s="30" t="b">
        <f>IFERROR(__xludf.DUMMYFUNCTION("AND(COUNTIF(Z2:Z29, 1) = 1, 
    COUNTIF(Z2:Z29, 2) = 1, 
    COUNTIF(Z2:Z29, 3) = 1, 
    COUNTIF(Z2:Z29, 4) = 1, 
    COUNTIF(Z2:Z29, 5) = 1, 
    COUNTIF(Z2:Z29, 6) = 1, 
    COUNTIF(Z2:Z29, 7) = 1, 
    COUNTIF(Z2:Z29, 8) = 1, 
    COUNTIF(Z2:Z29, 10)"&amp;" = 1, 
    COUNTIF(Z2:Z29, 12) = 1, 
    COUNTUNIQUE(Z2:Z29) = 10)"),TRUE)</f>
        <v>1</v>
      </c>
      <c r="AA32" s="30" t="b">
        <f>IFERROR(__xludf.DUMMYFUNCTION("AND(COUNTIF(AA2:AA29, 1) = 1, 
    COUNTIF(AA2:AA29, 2) = 1, 
    COUNTIF(AA2:AA29, 3) = 1, 
    COUNTIF(AA2:AA29, 4) = 1, 
    COUNTIF(AA2:AA29, 5) = 1, 
    COUNTIF(AA2:AA29, 6) = 1, 
    COUNTIF(AA2:AA29, 7) = 1, 
    COUNTIF(AA2:AA29, 8) = 1, 
    COU"&amp;"NTIF(AA2:AA29, 10) = 1, 
    COUNTIF(AA2:AA29, 12) = 1, 
    COUNTUNIQUE(AA2:AA29) = 10)"),TRUE)</f>
        <v>1</v>
      </c>
      <c r="AB32" s="30" t="b">
        <f>IFERROR(__xludf.DUMMYFUNCTION("AND(COUNTIF(AB2:AB29, 1) = 1, 
    COUNTIF(AB2:AB29, 2) = 1, 
    COUNTIF(AB2:AB29, 3) = 1, 
    COUNTIF(AB2:AB29, 4) = 1, 
    COUNTIF(AB2:AB29, 5) = 1, 
    COUNTIF(AB2:AB29, 6) = 1, 
    COUNTIF(AB2:AB29, 7) = 1, 
    COUNTIF(AB2:AB29, 8) = 1, 
    COU"&amp;"NTIF(AB2:AB29, 10) = 1, 
    COUNTIF(AB2:AB29, 12) = 1, 
    COUNTUNIQUE(AB2:AB29) = 10)"),TRUE)</f>
        <v>1</v>
      </c>
      <c r="AC32" s="30" t="b">
        <f>IFERROR(__xludf.DUMMYFUNCTION("AND(COUNTIF(AC2:AC29, 1) = 1, 
    COUNTIF(AC2:AC29, 2) = 1, 
    COUNTIF(AC2:AC29, 3) = 1, 
    COUNTIF(AC2:AC29, 4) = 1, 
    COUNTIF(AC2:AC29, 5) = 1, 
    COUNTIF(AC2:AC29, 6) = 1, 
    COUNTIF(AC2:AC29, 7) = 1, 
    COUNTIF(AC2:AC29, 8) = 1, 
    COU"&amp;"NTIF(AC2:AC29, 10) = 1, 
    COUNTIF(AC2:AC29, 12) = 1, 
    COUNTUNIQUE(AC2:AC29) = 10)"),TRUE)</f>
        <v>1</v>
      </c>
      <c r="AD32" s="30" t="b">
        <f>IFERROR(__xludf.DUMMYFUNCTION("AND(COUNTIF(AD2:AD29, 1) = 1, 
    COUNTIF(AD2:AD29, 2) = 1, 
    COUNTIF(AD2:AD29, 3) = 1, 
    COUNTIF(AD2:AD29, 4) = 1, 
    COUNTIF(AD2:AD29, 5) = 1, 
    COUNTIF(AD2:AD29, 6) = 1, 
    COUNTIF(AD2:AD29, 7) = 1, 
    COUNTIF(AD2:AD29, 8) = 1, 
    COU"&amp;"NTIF(AD2:AD29, 10) = 1, 
    COUNTIF(AD2:AD29, 12) = 1, 
    COUNTUNIQUE(AD2:AD29) = 10)"),TRUE)</f>
        <v>1</v>
      </c>
      <c r="AE32" s="30" t="b">
        <f>IFERROR(__xludf.DUMMYFUNCTION("AND(COUNTIF(AE2:AE29, 1) = 1, 
    COUNTIF(AE2:AE29, 2) = 1, 
    COUNTIF(AE2:AE29, 3) = 1, 
    COUNTIF(AE2:AE29, 4) = 1, 
    COUNTIF(AE2:AE29, 5) = 1, 
    COUNTIF(AE2:AE29, 6) = 1, 
    COUNTIF(AE2:AE29, 7) = 1, 
    COUNTIF(AE2:AE29, 8) = 1, 
    COU"&amp;"NTIF(AE2:AE29, 10) = 1, 
    COUNTIF(AE2:AE29, 12) = 1, 
    COUNTUNIQUE(AE2:AE29) = 10)"),TRUE)</f>
        <v>1</v>
      </c>
      <c r="AF32" s="30" t="b">
        <f>IFERROR(__xludf.DUMMYFUNCTION("AND(COUNTIF(AF2:AF29, 1) = 1, 
    COUNTIF(AF2:AF29, 2) = 1, 
    COUNTIF(AF2:AF29, 3) = 1, 
    COUNTIF(AF2:AF29, 4) = 1, 
    COUNTIF(AF2:AF29, 5) = 1, 
    COUNTIF(AF2:AF29, 6) = 1, 
    COUNTIF(AF2:AF29, 7) = 1, 
    COUNTIF(AF2:AF29, 8) = 1, 
    COU"&amp;"NTIF(AF2:AF29, 10) = 1, 
    COUNTIF(AF2:AF29, 12) = 1, 
    COUNTUNIQUE(AF2:AF29) = 10)"),TRUE)</f>
        <v>1</v>
      </c>
      <c r="AG32" s="30" t="b">
        <f>IFERROR(__xludf.DUMMYFUNCTION("AND(COUNTIF(AG2:AG29, 1) = 1, 
    COUNTIF(AG2:AG29, 2) = 1, 
    COUNTIF(AG2:AG29, 3) = 1, 
    COUNTIF(AG2:AG29, 4) = 1, 
    COUNTIF(AG2:AG29, 5) = 1, 
    COUNTIF(AG2:AG29, 6) = 1, 
    COUNTIF(AG2:AG29, 7) = 1, 
    COUNTIF(AG2:AG29, 8) = 1, 
    COU"&amp;"NTIF(AG2:AG29, 10) = 1, 
    COUNTIF(AG2:AG29, 12) = 1, 
    COUNTUNIQUE(AG2:AG29) = 10)"),TRUE)</f>
        <v>1</v>
      </c>
      <c r="AH32" s="30" t="b">
        <f>IFERROR(__xludf.DUMMYFUNCTION("AND(COUNTIF(AH2:AH29, 1) = 1, 
    COUNTIF(AH2:AH29, 2) = 1, 
    COUNTIF(AH2:AH29, 3) = 1, 
    COUNTIF(AH2:AH29, 4) = 1, 
    COUNTIF(AH2:AH29, 5) = 1, 
    COUNTIF(AH2:AH29, 6) = 1, 
    COUNTIF(AH2:AH29, 7) = 1, 
    COUNTIF(AH2:AH29, 8) = 1, 
    COU"&amp;"NTIF(AH2:AH29, 10) = 1, 
    COUNTIF(AH2:AH29, 12) = 1, 
    COUNTUNIQUE(AH2:AH29) = 10)"),TRUE)</f>
        <v>1</v>
      </c>
      <c r="AI32" s="30" t="b">
        <f>IFERROR(__xludf.DUMMYFUNCTION("AND(COUNTIF(AI2:AI29, 1) = 1, 
    COUNTIF(AI2:AI29, 2) = 1, 
    COUNTIF(AI2:AI29, 3) = 1, 
    COUNTIF(AI2:AI29, 4) = 1, 
    COUNTIF(AI2:AI29, 5) = 1, 
    COUNTIF(AI2:AI29, 6) = 1, 
    COUNTIF(AI2:AI29, 7) = 1, 
    COUNTIF(AI2:AI29, 8) = 1, 
    COU"&amp;"NTIF(AI2:AI29, 10) = 1, 
    COUNTIF(AI2:AI29, 12) = 1, 
    COUNTUNIQUE(AI2:AI29) = 10)"),TRUE)</f>
        <v>1</v>
      </c>
      <c r="AJ32" s="30" t="b">
        <f>IFERROR(__xludf.DUMMYFUNCTION("AND(COUNTIF(AJ2:AJ29, 1) = 1, 
    COUNTIF(AJ2:AJ29, 2) = 1, 
    COUNTIF(AJ2:AJ29, 3) = 1, 
    COUNTIF(AJ2:AJ29, 4) = 1, 
    COUNTIF(AJ2:AJ29, 5) = 1, 
    COUNTIF(AJ2:AJ29, 6) = 1, 
    COUNTIF(AJ2:AJ29, 7) = 1, 
    COUNTIF(AJ2:AJ29, 8) = 1, 
    COU"&amp;"NTIF(AJ2:AJ29, 10) = 1, 
    COUNTIF(AJ2:AJ29, 12) = 1, 
    COUNTUNIQUE(AJ2:AJ29) = 10)"),TRUE)</f>
        <v>1</v>
      </c>
      <c r="AK32" s="30" t="b">
        <f>IFERROR(__xludf.DUMMYFUNCTION("AND(COUNTIF(AK2:AK29, 1) = 1, 
    COUNTIF(AK2:AK29, 2) = 1, 
    COUNTIF(AK2:AK29, 3) = 1, 
    COUNTIF(AK2:AK29, 4) = 1, 
    COUNTIF(AK2:AK29, 5) = 1, 
    COUNTIF(AK2:AK29, 6) = 1, 
    COUNTIF(AK2:AK29, 7) = 1, 
    COUNTIF(AK2:AK29, 8) = 1, 
    COU"&amp;"NTIF(AK2:AK29, 10) = 1, 
    COUNTIF(AK2:AK29, 12) = 1, 
    COUNTUNIQUE(AK2:AK29) = 10)"),TRUE)</f>
        <v>1</v>
      </c>
      <c r="AL32" s="30" t="b">
        <f>IFERROR(__xludf.DUMMYFUNCTION("AND(COUNTIF(AL2:AL29, 1) = 1, 
    COUNTIF(AL2:AL29, 2) = 1, 
    COUNTIF(AL2:AL29, 3) = 1, 
    COUNTIF(AL2:AL29, 4) = 1, 
    COUNTIF(AL2:AL29, 5) = 1, 
    COUNTIF(AL2:AL29, 6) = 1, 
    COUNTIF(AL2:AL29, 7) = 1, 
    COUNTIF(AL2:AL29, 8) = 1, 
    COU"&amp;"NTIF(AL2:AL29, 10) = 1, 
    COUNTIF(AL2:AL29, 12) = 1, 
    COUNTUNIQUE(AL2:AL29) = 10)"),TRUE)</f>
        <v>1</v>
      </c>
      <c r="AM32" s="30" t="b">
        <f>IFERROR(__xludf.DUMMYFUNCTION("AND(COUNTIF(AM2:AM29, 1) = 1, 
    COUNTIF(AM2:AM29, 2) = 1, 
    COUNTIF(AM2:AM29, 3) = 1, 
    COUNTIF(AM2:AM29, 4) = 1, 
    COUNTIF(AM2:AM29, 5) = 1, 
    COUNTIF(AM2:AM29, 6) = 1, 
    COUNTIF(AM2:AM29, 7) = 1, 
    COUNTIF(AM2:AM29, 8) = 1, 
    COU"&amp;"NTIF(AM2:AM29, 10) = 1, 
    COUNTIF(AM2:AM29, 12) = 1, 
    COUNTUNIQUE(AM2:AM29) = 10)"),TRUE)</f>
        <v>1</v>
      </c>
      <c r="AN32" s="30" t="b">
        <f>IFERROR(__xludf.DUMMYFUNCTION("AND(COUNTIF(AN2:AN29, 1) = 1, 
    COUNTIF(AN2:AN29, 2) = 1, 
    COUNTIF(AN2:AN29, 3) = 1, 
    COUNTIF(AN2:AN29, 4) = 1, 
    COUNTIF(AN2:AN29, 5) = 1, 
    COUNTIF(AN2:AN29, 6) = 1, 
    COUNTIF(AN2:AN29, 7) = 1, 
    COUNTIF(AN2:AN29, 8) = 1, 
    COU"&amp;"NTIF(AN2:AN29, 10) = 1, 
    COUNTIF(AN2:AN29, 12) = 1, 
    COUNTUNIQUE(AN2:AN29) = 10)"),TRUE)</f>
        <v>1</v>
      </c>
      <c r="AO32" s="30" t="b">
        <f>IFERROR(__xludf.DUMMYFUNCTION("AND(COUNTIF(AO2:AO29, 1) = 1, 
    COUNTIF(AO2:AO29, 2) = 1, 
    COUNTIF(AO2:AO29, 3) = 1, 
    COUNTIF(AO2:AO29, 4) = 1, 
    COUNTIF(AO2:AO29, 5) = 1, 
    COUNTIF(AO2:AO29, 6) = 1, 
    COUNTIF(AO2:AO29, 7) = 1, 
    COUNTIF(AO2:AO29, 8) = 1, 
    COU"&amp;"NTIF(AO2:AO29, 10) = 1, 
    COUNTIF(AO2:AO29, 12) = 1, 
    COUNTUNIQUE(AO2:AO29) = 10)"),TRUE)</f>
        <v>1</v>
      </c>
      <c r="AP32" s="30" t="b">
        <f>IFERROR(__xludf.DUMMYFUNCTION("AND(COUNTIF(AP2:AP29, 1) = 1, 
    COUNTIF(AP2:AP29, 2) = 1, 
    COUNTIF(AP2:AP29, 3) = 1, 
    COUNTIF(AP2:AP29, 4) = 1, 
    COUNTIF(AP2:AP29, 5) = 1, 
    COUNTIF(AP2:AP29, 6) = 1, 
    COUNTIF(AP2:AP29, 7) = 1, 
    COUNTIF(AP2:AP29, 8) = 1, 
    COU"&amp;"NTIF(AP2:AP29, 10) = 1, 
    COUNTIF(AP2:AP29, 12) = 1, 
    COUNTUNIQUE(AP2:AP29) = 10)"),TRUE)</f>
        <v>1</v>
      </c>
      <c r="AQ32" s="30" t="b">
        <f>IFERROR(__xludf.DUMMYFUNCTION("AND(COUNTIF(AQ2:AQ29, 1) = 1, 
    COUNTIF(AQ2:AQ29, 2) = 1, 
    COUNTIF(AQ2:AQ29, 3) = 1, 
    COUNTIF(AQ2:AQ29, 4) = 1, 
    COUNTIF(AQ2:AQ29, 5) = 1, 
    COUNTIF(AQ2:AQ29, 6) = 1, 
    COUNTIF(AQ2:AQ29, 7) = 1, 
    COUNTIF(AQ2:AQ29, 8) = 1, 
    COU"&amp;"NTIF(AQ2:AQ29, 10) = 1, 
    COUNTIF(AQ2:AQ29, 12) = 1, 
    COUNTUNIQUE(AQ2:AQ29) = 10)"),TRUE)</f>
        <v>1</v>
      </c>
      <c r="AR32" s="30" t="b">
        <f>IFERROR(__xludf.DUMMYFUNCTION("AND(COUNTIF(AR2:AR29, 1) = 1, 
    COUNTIF(AR2:AR29, 2) = 1, 
    COUNTIF(AR2:AR29, 3) = 1, 
    COUNTIF(AR2:AR29, 4) = 1, 
    COUNTIF(AR2:AR29, 5) = 1, 
    COUNTIF(AR2:AR29, 6) = 1, 
    COUNTIF(AR2:AR29, 7) = 1, 
    COUNTIF(AR2:AR29, 8) = 1, 
    COU"&amp;"NTIF(AR2:AR29, 10) = 1, 
    COUNTIF(AR2:AR29, 12) = 1, 
    COUNTUNIQUE(AR2:AR29) = 10)"),TRUE)</f>
        <v>1</v>
      </c>
      <c r="AS32" s="30" t="b">
        <f>IFERROR(__xludf.DUMMYFUNCTION("AND(COUNTIF(AS2:AS29, 1) = 1, 
    COUNTIF(AS2:AS29, 2) = 1, 
    COUNTIF(AS2:AS29, 3) = 1, 
    COUNTIF(AS2:AS29, 4) = 1, 
    COUNTIF(AS2:AS29, 5) = 1, 
    COUNTIF(AS2:AS29, 6) = 1, 
    COUNTIF(AS2:AS29, 7) = 1, 
    COUNTIF(AS2:AS29, 8) = 1, 
    COU"&amp;"NTIF(AS2:AS29, 10) = 1, 
    COUNTIF(AS2:AS29, 12) = 1, 
    COUNTUNIQUE(AS2:AS29) = 10)"),TRUE)</f>
        <v>1</v>
      </c>
      <c r="AT32" s="30" t="b">
        <f>IFERROR(__xludf.DUMMYFUNCTION("AND(COUNTIF(AT2:AT29, 1) = 1, 
    COUNTIF(AT2:AT29, 2) = 1, 
    COUNTIF(AT2:AT29, 3) = 1, 
    COUNTIF(AT2:AT29, 4) = 1, 
    COUNTIF(AT2:AT29, 5) = 1, 
    COUNTIF(AT2:AT29, 6) = 1, 
    COUNTIF(AT2:AT29, 7) = 1, 
    COUNTIF(AT2:AT29, 8) = 1, 
    COU"&amp;"NTIF(AT2:AT29, 10) = 1, 
    COUNTIF(AT2:AT29, 12) = 1, 
    COUNTUNIQUE(AT2:AT29) = 10)"),TRUE)</f>
        <v>1</v>
      </c>
      <c r="AU32" s="30" t="b">
        <f>IFERROR(__xludf.DUMMYFUNCTION("AND(COUNTIF(AU2:AU29, 1) = 1, 
    COUNTIF(AU2:AU29, 2) = 1, 
    COUNTIF(AU2:AU29, 3) = 1, 
    COUNTIF(AU2:AU29, 4) = 1, 
    COUNTIF(AU2:AU29, 5) = 1, 
    COUNTIF(AU2:AU29, 6) = 1, 
    COUNTIF(AU2:AU29, 7) = 1, 
    COUNTIF(AU2:AU29, 8) = 1, 
    COU"&amp;"NTIF(AU2:AU29, 10) = 1, 
    COUNTIF(AU2:AU29, 12) = 1, 
    COUNTUNIQUE(AU2:AU29) = 10)"),TRUE)</f>
        <v>1</v>
      </c>
      <c r="AV32" s="30" t="b">
        <f>IFERROR(__xludf.DUMMYFUNCTION("AND(COUNTIF(AV2:AV29, 1) = 1, 
    COUNTIF(AV2:AV29, 2) = 1, 
    COUNTIF(AV2:AV29, 3) = 1, 
    COUNTIF(AV2:AV29, 4) = 1, 
    COUNTIF(AV2:AV29, 5) = 1, 
    COUNTIF(AV2:AV29, 6) = 1, 
    COUNTIF(AV2:AV29, 7) = 1, 
    COUNTIF(AV2:AV29, 8) = 1, 
    COU"&amp;"NTIF(AV2:AV29, 10) = 1, 
    COUNTIF(AV2:AV29, 12) = 1, 
    COUNTUNIQUE(AV2:AV29) = 10)"),TRUE)</f>
        <v>1</v>
      </c>
      <c r="AW32" s="30" t="b">
        <f>IFERROR(__xludf.DUMMYFUNCTION("AND(COUNTIF(AW2:AW29, 1) = 1, 
    COUNTIF(AW2:AW29, 2) = 1, 
    COUNTIF(AW2:AW29, 3) = 1, 
    COUNTIF(AW2:AW29, 4) = 1, 
    COUNTIF(AW2:AW29, 5) = 1, 
    COUNTIF(AW2:AW29, 6) = 1, 
    COUNTIF(AW2:AW29, 7) = 1, 
    COUNTIF(AW2:AW29, 8) = 1, 
    COU"&amp;"NTIF(AW2:AW29, 10) = 1, 
    COUNTIF(AW2:AW29, 12) = 1, 
    COUNTUNIQUE(AW2:AW29) = 10)"),TRUE)</f>
        <v>1</v>
      </c>
      <c r="AX32" s="30" t="b">
        <f>IFERROR(__xludf.DUMMYFUNCTION("AND(COUNTIF(AX2:AX29, 1) = 1, 
    COUNTIF(AX2:AX29, 2) = 1, 
    COUNTIF(AX2:AX29, 3) = 1, 
    COUNTIF(AX2:AX29, 4) = 1, 
    COUNTIF(AX2:AX29, 5) = 1, 
    COUNTIF(AX2:AX29, 6) = 1, 
    COUNTIF(AX2:AX29, 7) = 1, 
    COUNTIF(AX2:AX29, 8) = 1, 
    COU"&amp;"NTIF(AX2:AX29, 10) = 1, 
    COUNTIF(AX2:AX29, 12) = 1, 
    COUNTUNIQUE(AX2:AX29) = 10)"),TRUE)</f>
        <v>1</v>
      </c>
      <c r="AY32" s="30" t="b">
        <f>IFERROR(__xludf.DUMMYFUNCTION("AND(COUNTIF(AY2:AY29, 1) = 1, 
    COUNTIF(AY2:AY29, 2) = 1, 
    COUNTIF(AY2:AY29, 3) = 1, 
    COUNTIF(AY2:AY29, 4) = 1, 
    COUNTIF(AY2:AY29, 5) = 1, 
    COUNTIF(AY2:AY29, 6) = 1, 
    COUNTIF(AY2:AY29, 7) = 1, 
    COUNTIF(AY2:AY29, 8) = 1, 
    COU"&amp;"NTIF(AY2:AY29, 10) = 1, 
    COUNTIF(AY2:AY29, 12) = 1, 
    COUNTUNIQUE(AY2:AY29) = 10)"),TRUE)</f>
        <v>1</v>
      </c>
      <c r="AZ32" s="30" t="b">
        <f>IFERROR(__xludf.DUMMYFUNCTION("AND(COUNTIF(AZ2:AZ29, 1) = 1, 
    COUNTIF(AZ2:AZ29, 2) = 1, 
    COUNTIF(AZ2:AZ29, 3) = 1, 
    COUNTIF(AZ2:AZ29, 4) = 1, 
    COUNTIF(AZ2:AZ29, 5) = 1, 
    COUNTIF(AZ2:AZ29, 6) = 1, 
    COUNTIF(AZ2:AZ29, 7) = 1, 
    COUNTIF(AZ2:AZ29, 8) = 1, 
    COU"&amp;"NTIF(AZ2:AZ29, 10) = 1, 
    COUNTIF(AZ2:AZ29, 12) = 1, 
    COUNTUNIQUE(AZ2:AZ29) = 10)"),TRUE)</f>
        <v>1</v>
      </c>
      <c r="BA32" s="30" t="b">
        <f>IFERROR(__xludf.DUMMYFUNCTION("AND(COUNTIF(BA2:BA29, 1) = 1, 
    COUNTIF(BA2:BA29, 2) = 1, 
    COUNTIF(BA2:BA29, 3) = 1, 
    COUNTIF(BA2:BA29, 4) = 1, 
    COUNTIF(BA2:BA29, 5) = 1, 
    COUNTIF(BA2:BA29, 6) = 1, 
    COUNTIF(BA2:BA29, 7) = 1, 
    COUNTIF(BA2:BA29, 8) = 1, 
    COU"&amp;"NTIF(BA2:BA29, 10) = 1, 
    COUNTIF(BA2:BA29, 12) = 1, 
    COUNTUNIQUE(BA2:BA29) = 10)"),TRUE)</f>
        <v>1</v>
      </c>
      <c r="BB32" s="30" t="b">
        <f>IFERROR(__xludf.DUMMYFUNCTION("AND(COUNTIF(BB2:BB29, 1) = 1, 
    COUNTIF(BB2:BB29, 2) = 1, 
    COUNTIF(BB2:BB29, 3) = 1, 
    COUNTIF(BB2:BB29, 4) = 1, 
    COUNTIF(BB2:BB29, 5) = 1, 
    COUNTIF(BB2:BB29, 6) = 1, 
    COUNTIF(BB2:BB29, 7) = 1, 
    COUNTIF(BB2:BB29, 8) = 1, 
    COU"&amp;"NTIF(BB2:BB29, 10) = 1, 
    COUNTIF(BB2:BB29, 12) = 1, 
    COUNTUNIQUE(BB2:BB29) = 10)"),TRUE)</f>
        <v>1</v>
      </c>
      <c r="BC32" s="30" t="b">
        <f>IFERROR(__xludf.DUMMYFUNCTION("AND(COUNTIF(BC2:BC29, 1) = 1, 
    COUNTIF(BC2:BC29, 2) = 1, 
    COUNTIF(BC2:BC29, 3) = 1, 
    COUNTIF(BC2:BC29, 4) = 1, 
    COUNTIF(BC2:BC29, 5) = 1, 
    COUNTIF(BC2:BC29, 6) = 1, 
    COUNTIF(BC2:BC29, 7) = 1, 
    COUNTIF(BC2:BC29, 8) = 1, 
    COU"&amp;"NTIF(BC2:BC29, 10) = 1, 
    COUNTIF(BC2:BC29, 12) = 1, 
    COUNTUNIQUE(BC2:BC29) = 10)"),TRUE)</f>
        <v>1</v>
      </c>
      <c r="BD32" s="30" t="b">
        <f>IFERROR(__xludf.DUMMYFUNCTION("AND(COUNTIF(BD2:BD29, 1) = 1, 
    COUNTIF(BD2:BD29, 2) = 1, 
    COUNTIF(BD2:BD29, 3) = 1, 
    COUNTIF(BD2:BD29, 4) = 1, 
    COUNTIF(BD2:BD29, 5) = 1, 
    COUNTIF(BD2:BD29, 6) = 1, 
    COUNTIF(BD2:BD29, 7) = 1, 
    COUNTIF(BD2:BD29, 8) = 1, 
    COU"&amp;"NTIF(BD2:BD29, 10) = 1, 
    COUNTIF(BD2:BD29, 12) = 1, 
    COUNTUNIQUE(BD2:BD29) = 10)"),TRUE)</f>
        <v>1</v>
      </c>
      <c r="BE32" s="30" t="b">
        <f>IFERROR(__xludf.DUMMYFUNCTION("AND(COUNTIF(BE2:BE29, 1) = 1, 
    COUNTIF(BE2:BE29, 2) = 1, 
    COUNTIF(BE2:BE29, 3) = 1, 
    COUNTIF(BE2:BE29, 4) = 1, 
    COUNTIF(BE2:BE29, 5) = 1, 
    COUNTIF(BE2:BE29, 6) = 1, 
    COUNTIF(BE2:BE29, 7) = 1, 
    COUNTIF(BE2:BE29, 8) = 1, 
    COU"&amp;"NTIF(BE2:BE29, 10) = 1, 
    COUNTIF(BE2:BE29, 12) = 1, 
    COUNTUNIQUE(BE2:BE29) = 10)"),TRUE)</f>
        <v>1</v>
      </c>
      <c r="BF32" s="30" t="b">
        <f>IFERROR(__xludf.DUMMYFUNCTION("AND(COUNTIF(BF2:BF29, 1) = 1, 
    COUNTIF(BF2:BF29, 2) = 1, 
    COUNTIF(BF2:BF29, 3) = 1, 
    COUNTIF(BF2:BF29, 4) = 1, 
    COUNTIF(BF2:BF29, 5) = 1, 
    COUNTIF(BF2:BF29, 6) = 1, 
    COUNTIF(BF2:BF29, 7) = 1, 
    COUNTIF(BF2:BF29, 8) = 1, 
    COU"&amp;"NTIF(BF2:BF29, 10) = 1, 
    COUNTIF(BF2:BF29, 12) = 1, 
    COUNTUNIQUE(BF2:BF29) = 10)"),TRUE)</f>
        <v>1</v>
      </c>
      <c r="BG32" s="30" t="b">
        <f>IFERROR(__xludf.DUMMYFUNCTION("AND(COUNTIF(BG2:BG29, 1) = 1, 
    COUNTIF(BG2:BG29, 2) = 1, 
    COUNTIF(BG2:BG29, 3) = 1, 
    COUNTIF(BG2:BG29, 4) = 1, 
    COUNTIF(BG2:BG29, 5) = 1, 
    COUNTIF(BG2:BG29, 6) = 1, 
    COUNTIF(BG2:BG29, 7) = 1, 
    COUNTIF(BG2:BG29, 8) = 1, 
    COU"&amp;"NTIF(BG2:BG29, 10) = 1, 
    COUNTIF(BG2:BG29, 12) = 1, 
    COUNTUNIQUE(BG2:BG29) = 10)"),TRUE)</f>
        <v>1</v>
      </c>
      <c r="BH32" s="30" t="b">
        <f>IFERROR(__xludf.DUMMYFUNCTION("AND(COUNTIF(BH2:BH29, 1) = 1, 
    COUNTIF(BH2:BH29, 2) = 1, 
    COUNTIF(BH2:BH29, 3) = 1, 
    COUNTIF(BH2:BH29, 4) = 1, 
    COUNTIF(BH2:BH29, 5) = 1, 
    COUNTIF(BH2:BH29, 6) = 1, 
    COUNTIF(BH2:BH29, 7) = 1, 
    COUNTIF(BH2:BH29, 8) = 1, 
    COU"&amp;"NTIF(BH2:BH29, 10) = 1, 
    COUNTIF(BH2:BH29, 12) = 1, 
    COUNTUNIQUE(BH2:BH29) = 10)"),TRUE)</f>
        <v>1</v>
      </c>
      <c r="BI32" s="30" t="b">
        <f>IFERROR(__xludf.DUMMYFUNCTION("AND(COUNTIF(BI2:BI29, 1) = 1, 
    COUNTIF(BI2:BI29, 2) = 1, 
    COUNTIF(BI2:BI29, 3) = 1, 
    COUNTIF(BI2:BI29, 4) = 1, 
    COUNTIF(BI2:BI29, 5) = 1, 
    COUNTIF(BI2:BI29, 6) = 1, 
    COUNTIF(BI2:BI29, 7) = 1, 
    COUNTIF(BI2:BI29, 8) = 1, 
    COU"&amp;"NTIF(BI2:BI29, 10) = 1, 
    COUNTIF(BI2:BI29, 12) = 1, 
    COUNTUNIQUE(BI2:BI29) = 10)"),FALSE)</f>
        <v>0</v>
      </c>
      <c r="BJ32" s="30" t="b">
        <f>IFERROR(__xludf.DUMMYFUNCTION("AND(COUNTIF(BJ2:BJ29, 1) = 1, 
    COUNTIF(BJ2:BJ29, 2) = 1, 
    COUNTIF(BJ2:BJ29, 3) = 1, 
    COUNTIF(BJ2:BJ29, 4) = 1, 
    COUNTIF(BJ2:BJ29, 5) = 1, 
    COUNTIF(BJ2:BJ29, 6) = 1, 
    COUNTIF(BJ2:BJ29, 7) = 1, 
    COUNTIF(BJ2:BJ29, 8) = 1, 
    COU"&amp;"NTIF(BJ2:BJ29, 10) = 1, 
    COUNTIF(BJ2:BJ29, 12) = 1, 
    COUNTUNIQUE(BJ2:BJ29) = 10)"),FALSE)</f>
        <v>0</v>
      </c>
      <c r="BK32" s="30" t="b">
        <f>IFERROR(__xludf.DUMMYFUNCTION("AND(COUNTIF(BK2:BK29, 1) = 1, 
    COUNTIF(BK2:BK29, 2) = 1, 
    COUNTIF(BK2:BK29, 3) = 1, 
    COUNTIF(BK2:BK29, 4) = 1, 
    COUNTIF(BK2:BK29, 5) = 1, 
    COUNTIF(BK2:BK29, 6) = 1, 
    COUNTIF(BK2:BK29, 7) = 1, 
    COUNTIF(BK2:BK29, 8) = 1, 
    COU"&amp;"NTIF(BK2:BK29, 10) = 1, 
    COUNTIF(BK2:BK29, 12) = 1, 
    COUNTUNIQUE(BK2:BK29) = 10)"),FALSE)</f>
        <v>0</v>
      </c>
      <c r="BL32" s="30" t="b">
        <f>IFERROR(__xludf.DUMMYFUNCTION("AND(COUNTIF(BL2:BL29, 1) = 1, 
    COUNTIF(BL2:BL29, 2) = 1, 
    COUNTIF(BL2:BL29, 3) = 1, 
    COUNTIF(BL2:BL29, 4) = 1, 
    COUNTIF(BL2:BL29, 5) = 1, 
    COUNTIF(BL2:BL29, 6) = 1, 
    COUNTIF(BL2:BL29, 7) = 1, 
    COUNTIF(BL2:BL29, 8) = 1, 
    COU"&amp;"NTIF(BL2:BL29, 10) = 1, 
    COUNTIF(BL2:BL29, 12) = 1, 
    COUNTUNIQUE(BL2:BL29) = 10)"),FALSE)</f>
        <v>0</v>
      </c>
      <c r="BM32" s="30" t="b">
        <f>IFERROR(__xludf.DUMMYFUNCTION("AND(COUNTIF(BM2:BM29, 1) = 1, 
    COUNTIF(BM2:BM29, 2) = 1, 
    COUNTIF(BM2:BM29, 3) = 1, 
    COUNTIF(BM2:BM29, 4) = 1, 
    COUNTIF(BM2:BM29, 5) = 1, 
    COUNTIF(BM2:BM29, 6) = 1, 
    COUNTIF(BM2:BM29, 7) = 1, 
    COUNTIF(BM2:BM29, 8) = 1, 
    COU"&amp;"NTIF(BM2:BM29, 10) = 1, 
    COUNTIF(BM2:BM29, 12) = 1, 
    COUNTUNIQUE(BM2:BM29) = 10)"),FALSE)</f>
        <v>0</v>
      </c>
    </row>
    <row r="33">
      <c r="B33" s="85"/>
      <c r="C33" s="29"/>
      <c r="D33" s="29"/>
      <c r="E33" s="85" t="s">
        <v>43</v>
      </c>
      <c r="F33" s="30">
        <f t="shared" ref="F33:BM33" si="38">COUNT(F2:F29)</f>
        <v>10</v>
      </c>
      <c r="G33" s="30">
        <f t="shared" si="38"/>
        <v>10</v>
      </c>
      <c r="H33" s="30">
        <f t="shared" si="38"/>
        <v>10</v>
      </c>
      <c r="I33" s="30">
        <f t="shared" si="38"/>
        <v>10</v>
      </c>
      <c r="J33" s="30">
        <f t="shared" si="38"/>
        <v>10</v>
      </c>
      <c r="K33" s="30">
        <f t="shared" si="38"/>
        <v>10</v>
      </c>
      <c r="L33" s="30">
        <f t="shared" si="38"/>
        <v>10</v>
      </c>
      <c r="M33" s="30">
        <f t="shared" si="38"/>
        <v>10</v>
      </c>
      <c r="N33" s="30">
        <f t="shared" si="38"/>
        <v>10</v>
      </c>
      <c r="O33" s="30">
        <f t="shared" si="38"/>
        <v>10</v>
      </c>
      <c r="P33" s="30">
        <f t="shared" si="38"/>
        <v>10</v>
      </c>
      <c r="Q33" s="30">
        <f t="shared" si="38"/>
        <v>10</v>
      </c>
      <c r="R33" s="30">
        <f t="shared" si="38"/>
        <v>10</v>
      </c>
      <c r="S33" s="30">
        <f t="shared" si="38"/>
        <v>10</v>
      </c>
      <c r="T33" s="30">
        <f t="shared" si="38"/>
        <v>10</v>
      </c>
      <c r="U33" s="30">
        <f t="shared" si="38"/>
        <v>10</v>
      </c>
      <c r="V33" s="30">
        <f t="shared" si="38"/>
        <v>10</v>
      </c>
      <c r="W33" s="30">
        <f t="shared" si="38"/>
        <v>10</v>
      </c>
      <c r="X33" s="30">
        <f t="shared" si="38"/>
        <v>10</v>
      </c>
      <c r="Y33" s="30">
        <f t="shared" si="38"/>
        <v>10</v>
      </c>
      <c r="Z33" s="30">
        <f t="shared" si="38"/>
        <v>10</v>
      </c>
      <c r="AA33" s="30">
        <f t="shared" si="38"/>
        <v>10</v>
      </c>
      <c r="AB33" s="30">
        <f t="shared" si="38"/>
        <v>10</v>
      </c>
      <c r="AC33" s="30">
        <f t="shared" si="38"/>
        <v>10</v>
      </c>
      <c r="AD33" s="30">
        <f t="shared" si="38"/>
        <v>10</v>
      </c>
      <c r="AE33" s="30">
        <f t="shared" si="38"/>
        <v>10</v>
      </c>
      <c r="AF33" s="30">
        <f t="shared" si="38"/>
        <v>10</v>
      </c>
      <c r="AG33" s="30">
        <f t="shared" si="38"/>
        <v>10</v>
      </c>
      <c r="AH33" s="30">
        <f t="shared" si="38"/>
        <v>10</v>
      </c>
      <c r="AI33" s="30">
        <f t="shared" si="38"/>
        <v>10</v>
      </c>
      <c r="AJ33" s="30">
        <f t="shared" si="38"/>
        <v>10</v>
      </c>
      <c r="AK33" s="30">
        <f t="shared" si="38"/>
        <v>10</v>
      </c>
      <c r="AL33" s="30">
        <f t="shared" si="38"/>
        <v>10</v>
      </c>
      <c r="AM33" s="30">
        <f t="shared" si="38"/>
        <v>10</v>
      </c>
      <c r="AN33" s="30">
        <f t="shared" si="38"/>
        <v>10</v>
      </c>
      <c r="AO33" s="30">
        <f t="shared" si="38"/>
        <v>10</v>
      </c>
      <c r="AP33" s="30">
        <f t="shared" si="38"/>
        <v>10</v>
      </c>
      <c r="AQ33" s="30">
        <f t="shared" si="38"/>
        <v>10</v>
      </c>
      <c r="AR33" s="30">
        <f t="shared" si="38"/>
        <v>10</v>
      </c>
      <c r="AS33" s="30">
        <f t="shared" si="38"/>
        <v>10</v>
      </c>
      <c r="AT33" s="30">
        <f t="shared" si="38"/>
        <v>10</v>
      </c>
      <c r="AU33" s="30">
        <f t="shared" si="38"/>
        <v>10</v>
      </c>
      <c r="AV33" s="30">
        <f t="shared" si="38"/>
        <v>10</v>
      </c>
      <c r="AW33" s="30">
        <f t="shared" si="38"/>
        <v>10</v>
      </c>
      <c r="AX33" s="30">
        <f t="shared" si="38"/>
        <v>10</v>
      </c>
      <c r="AY33" s="30">
        <f t="shared" si="38"/>
        <v>10</v>
      </c>
      <c r="AZ33" s="30">
        <f t="shared" si="38"/>
        <v>10</v>
      </c>
      <c r="BA33" s="30">
        <f t="shared" si="38"/>
        <v>10</v>
      </c>
      <c r="BB33" s="30">
        <f t="shared" si="38"/>
        <v>10</v>
      </c>
      <c r="BC33" s="30">
        <f t="shared" si="38"/>
        <v>10</v>
      </c>
      <c r="BD33" s="30">
        <f t="shared" si="38"/>
        <v>10</v>
      </c>
      <c r="BE33" s="30">
        <f t="shared" si="38"/>
        <v>10</v>
      </c>
      <c r="BF33" s="30">
        <f t="shared" si="38"/>
        <v>10</v>
      </c>
      <c r="BG33" s="30">
        <f t="shared" si="38"/>
        <v>10</v>
      </c>
      <c r="BH33" s="30">
        <f t="shared" si="38"/>
        <v>10</v>
      </c>
      <c r="BI33" s="30">
        <f t="shared" si="38"/>
        <v>0</v>
      </c>
      <c r="BJ33" s="30">
        <f t="shared" si="38"/>
        <v>0</v>
      </c>
      <c r="BK33" s="30">
        <f t="shared" si="38"/>
        <v>0</v>
      </c>
      <c r="BL33" s="30">
        <f t="shared" si="38"/>
        <v>0</v>
      </c>
      <c r="BM33" s="30">
        <f t="shared" si="38"/>
        <v>0</v>
      </c>
    </row>
    <row r="34">
      <c r="B34" s="84"/>
      <c r="E34" s="84"/>
    </row>
    <row r="35">
      <c r="B35" s="84"/>
      <c r="E35" s="84"/>
    </row>
    <row r="36">
      <c r="B36" s="84"/>
      <c r="E36" s="84"/>
    </row>
    <row r="37">
      <c r="B37" s="84"/>
      <c r="E37" s="84"/>
    </row>
    <row r="38">
      <c r="B38" s="84"/>
      <c r="E38" s="84"/>
      <c r="F38" s="29" t="s">
        <v>118</v>
      </c>
      <c r="G38" s="29" t="s">
        <v>118</v>
      </c>
      <c r="H38" s="29" t="s">
        <v>118</v>
      </c>
      <c r="I38" s="29" t="s">
        <v>118</v>
      </c>
      <c r="J38" s="29" t="s">
        <v>118</v>
      </c>
      <c r="K38" s="29" t="s">
        <v>118</v>
      </c>
      <c r="L38" s="29" t="s">
        <v>118</v>
      </c>
      <c r="M38" s="29" t="s">
        <v>118</v>
      </c>
      <c r="N38" s="29" t="s">
        <v>118</v>
      </c>
      <c r="O38" s="29" t="s">
        <v>118</v>
      </c>
      <c r="P38" s="29" t="s">
        <v>118</v>
      </c>
      <c r="Q38" s="29" t="s">
        <v>118</v>
      </c>
      <c r="R38" s="29" t="s">
        <v>118</v>
      </c>
      <c r="S38" s="29" t="s">
        <v>118</v>
      </c>
      <c r="T38" s="29" t="s">
        <v>118</v>
      </c>
      <c r="U38" s="29" t="s">
        <v>118</v>
      </c>
      <c r="V38" s="29" t="s">
        <v>118</v>
      </c>
      <c r="W38" s="29" t="s">
        <v>118</v>
      </c>
      <c r="X38" s="29" t="s">
        <v>118</v>
      </c>
      <c r="Y38" s="29" t="s">
        <v>118</v>
      </c>
      <c r="Z38" s="29" t="s">
        <v>118</v>
      </c>
      <c r="AA38" s="29" t="s">
        <v>118</v>
      </c>
      <c r="AB38" s="29" t="s">
        <v>118</v>
      </c>
      <c r="AC38" s="29" t="s">
        <v>118</v>
      </c>
      <c r="AD38" s="29" t="s">
        <v>118</v>
      </c>
      <c r="AE38" s="29" t="s">
        <v>118</v>
      </c>
      <c r="AF38" s="29" t="s">
        <v>118</v>
      </c>
      <c r="AG38" s="29" t="s">
        <v>118</v>
      </c>
      <c r="AH38" s="29" t="s">
        <v>118</v>
      </c>
      <c r="AI38" s="29" t="s">
        <v>118</v>
      </c>
      <c r="AJ38" s="29" t="s">
        <v>118</v>
      </c>
      <c r="AK38" s="29" t="s">
        <v>118</v>
      </c>
      <c r="AL38" s="29" t="s">
        <v>118</v>
      </c>
      <c r="AM38" s="29" t="s">
        <v>118</v>
      </c>
      <c r="AN38" s="29" t="s">
        <v>118</v>
      </c>
      <c r="AO38" s="29" t="s">
        <v>118</v>
      </c>
      <c r="AP38" s="29" t="s">
        <v>118</v>
      </c>
      <c r="AQ38" s="29" t="s">
        <v>118</v>
      </c>
      <c r="AR38" s="29" t="s">
        <v>118</v>
      </c>
      <c r="AS38" s="29" t="s">
        <v>118</v>
      </c>
      <c r="AT38" s="29" t="s">
        <v>118</v>
      </c>
      <c r="AU38" s="29" t="s">
        <v>118</v>
      </c>
      <c r="AV38" s="29" t="s">
        <v>118</v>
      </c>
      <c r="AW38" s="29" t="s">
        <v>118</v>
      </c>
      <c r="AX38" s="29" t="s">
        <v>118</v>
      </c>
      <c r="AY38" s="29" t="s">
        <v>118</v>
      </c>
      <c r="AZ38" s="29" t="s">
        <v>118</v>
      </c>
      <c r="BA38" s="29" t="s">
        <v>118</v>
      </c>
      <c r="BB38" s="29" t="s">
        <v>118</v>
      </c>
      <c r="BC38" s="29" t="s">
        <v>118</v>
      </c>
      <c r="BD38" s="29" t="s">
        <v>118</v>
      </c>
      <c r="BE38" s="29" t="s">
        <v>118</v>
      </c>
      <c r="BF38" s="29" t="s">
        <v>118</v>
      </c>
      <c r="BG38" s="29" t="s">
        <v>118</v>
      </c>
      <c r="BH38" s="29" t="s">
        <v>118</v>
      </c>
      <c r="BI38" s="29" t="s">
        <v>118</v>
      </c>
      <c r="BJ38" s="29" t="s">
        <v>118</v>
      </c>
      <c r="BK38" s="29" t="s">
        <v>118</v>
      </c>
      <c r="BL38" s="29" t="s">
        <v>118</v>
      </c>
    </row>
    <row r="39">
      <c r="B39" s="84"/>
      <c r="E39" s="84"/>
    </row>
    <row r="40">
      <c r="B40" s="84"/>
      <c r="E40" s="84"/>
      <c r="F40" s="30" t="str">
        <f>IFERROR(__xludf.DUMMYFUNCTION("TEXTJOIN(CHAR(10), TRUE,
  ARRAYFORMULA(
    SORT(
      FILTER(F1:F29 &amp; "" "" &amp; $E1:$E29, F1:F29 &lt;&gt; """"),
      FILTER(VALUE(F1:F29), F1:F29 &lt;&gt; """"),
      FALSE
    )
  )
)
"),"Waiting Iist of Shelley &amp; Nici s votes have been counted as follows:
12 Reym-L-Dneurb
10 Ugaly
8 Tamausia &amp; Deltannor
7 Rehi Kaita
6 Emsfrynt
5 Papendink
4 Tanoiro
3 Öösingimäed
2 Dalisska
1 Szimbaya Kingdom")</f>
        <v>Waiting Iist of Shelley &amp; Nici s votes have been counted as follows:
12 Reym-L-Dneurb
10 Ugaly
8 Tamausia &amp; Deltannor
7 Rehi Kaita
6 Emsfrynt
5 Papendink
4 Tanoiro
3 Öösingimäed
2 Dalisska
1 Szimbaya Kingdom</v>
      </c>
      <c r="G40" s="30" t="str">
        <f>IFERROR(__xludf.DUMMYFUNCTION("TEXTJOIN(CHAR(10), TRUE,
  ARRAYFORMULA(
    SORT(
      FILTER(G1:G29 &amp; "" "" &amp; $E1:$E29, G1:G29 &lt;&gt; """"),
      FILTER(VALUE(G1:G29), G1:G29 &lt;&gt; """"),
      FALSE
    )
  )
)
"),"Dez Republic s votes have been counted as follows:
12 Kordavian Islands
10 Waiting Iist of Shelley &amp; Nici
8 Rumia
7 Comino
6 Roxma Nova
5 Tanoiro
4 Tamausia &amp; Deltannor
3 Rehi Kaita
2 Insomnéa
1 Dalisska")</f>
        <v>Dez Republic s votes have been counted as follows:
12 Kordavian Islands
10 Waiting Iist of Shelley &amp; Nici
8 Rumia
7 Comino
6 Roxma Nova
5 Tanoiro
4 Tamausia &amp; Deltannor
3 Rehi Kaita
2 Insomnéa
1 Dalisska</v>
      </c>
      <c r="H40" s="30" t="str">
        <f>IFERROR(__xludf.DUMMYFUNCTION("TEXTJOIN(CHAR(10), TRUE,
  ARRAYFORMULA(
    SORT(
      FILTER(H1:H29 &amp; "" "" &amp; $E1:$E29, H1:H29 &lt;&gt; """"),
      FILTER(VALUE(H1:H29), H1:H29 &lt;&gt; """"),
      FALSE
    )
  )
)
"),"Balearica Island s votes have been counted as follows:
12 Tanoiro
10 Waiting Iist of Shelley &amp; Nici
8 Rehi Kaita
7 Tamausia &amp; Deltannor
6 Reym-L-Dneurb
5 Ugaly
4 Insomnéa
3 Xochimilia
2 Papendink
1 Öösingimäed")</f>
        <v>Balearica Island s votes have been counted as follows:
12 Tanoiro
10 Waiting Iist of Shelley &amp; Nici
8 Rehi Kaita
7 Tamausia &amp; Deltannor
6 Reym-L-Dneurb
5 Ugaly
4 Insomnéa
3 Xochimilia
2 Papendink
1 Öösingimäed</v>
      </c>
      <c r="I40" s="30" t="str">
        <f>IFERROR(__xludf.DUMMYFUNCTION("TEXTJOIN(CHAR(10), TRUE,
  ARRAYFORMULA(
    SORT(
      FILTER(I1:I29 &amp; "" "" &amp; $E1:$E29, I1:I29 &lt;&gt; """"),
      FILTER(VALUE(I1:I29), I1:I29 &lt;&gt; """"),
      FALSE
    )
  )
)
"),"Roseland] s votes have been counted as follows:
12 Szimbaya Kingdom
10 Papendink
8 Tanoiro
7 Ugaly
6 Tamausia &amp; Deltannor
5 Dež Republic
4 Rumia
3 Kordavian Islands
2 Dalisska
1 New Bander State")</f>
        <v>Roseland] s votes have been counted as follows:
12 Szimbaya Kingdom
10 Papendink
8 Tanoiro
7 Ugaly
6 Tamausia &amp; Deltannor
5 Dež Republic
4 Rumia
3 Kordavian Islands
2 Dalisska
1 New Bander State</v>
      </c>
      <c r="J40" s="30" t="str">
        <f>IFERROR(__xludf.DUMMYFUNCTION("TEXTJOIN(CHAR(10), TRUE,
  ARRAYFORMULA(
    SORT(
      FILTER(J1:J29 &amp; "" "" &amp; $E1:$E29, J1:J29 &lt;&gt; """"),
      FILTER(VALUE(J1:J29), J1:J29 &lt;&gt; """"),
      FALSE
    )
  )
)
"),"Szimbaya Kingdom s votes have been counted as follows:
12 Rumia
10 Insomnéa
8 Kordavian Islands
7 Tamausia &amp; Deltannor
6 Tanoiro
5 Reym-L-Dneurb
4 Ugaly
3 Comino
2 Roxma Nova
1 Waiting Iist of Shelley &amp; Nici")</f>
        <v>Szimbaya Kingdom s votes have been counted as follows:
12 Rumia
10 Insomnéa
8 Kordavian Islands
7 Tamausia &amp; Deltannor
6 Tanoiro
5 Reym-L-Dneurb
4 Ugaly
3 Comino
2 Roxma Nova
1 Waiting Iist of Shelley &amp; Nici</v>
      </c>
      <c r="K40" s="30" t="str">
        <f>IFERROR(__xludf.DUMMYFUNCTION("TEXTJOIN(CHAR(10), TRUE,
  ARRAYFORMULA(
    SORT(
      FILTER(K1:K29 &amp; "" "" &amp; $E1:$E29, K1:K29 &lt;&gt; """"),
      FILTER(VALUE(K1:K29), K1:K29 &lt;&gt; """"),
      FALSE
    )
  )
)
"),"Svobodnia s votes have been counted as follows:
12 Rehi Kaita
10 Ugaly
8 Tanoiro
7 Dalisska
6 New Bander State
5 Szimbaya Kingdom
4 Öösingimäed
3 Reym-L-Dneurb
2 Kimmystan
1 Comino")</f>
        <v>Svobodnia s votes have been counted as follows:
12 Rehi Kaita
10 Ugaly
8 Tanoiro
7 Dalisska
6 New Bander State
5 Szimbaya Kingdom
4 Öösingimäed
3 Reym-L-Dneurb
2 Kimmystan
1 Comino</v>
      </c>
      <c r="L40" s="30" t="str">
        <f>IFERROR(__xludf.DUMMYFUNCTION("TEXTJOIN(CHAR(10), TRUE,
  ARRAYFORMULA(
    SORT(
      FILTER(L1:L29 &amp; "" "" &amp; $E1:$E29, L1:L29 &lt;&gt; """"),
      FILTER(VALUE(L1:L29), L1:L29 &lt;&gt; """"),
      FALSE
    )
  )
)
"),"Meridia s votes have been counted as follows:
12 Ugaly
10 Comino
8 Szimbaya Kingdom
7 Rumia
6 Vylkuzeme
5 New Bander State
4 Dež Republic
3 Emsfrynt
2 Kordavian Islands
1 Öösingimäed")</f>
        <v>Meridia s votes have been counted as follows:
12 Ugaly
10 Comino
8 Szimbaya Kingdom
7 Rumia
6 Vylkuzeme
5 New Bander State
4 Dež Republic
3 Emsfrynt
2 Kordavian Islands
1 Öösingimäed</v>
      </c>
      <c r="M40" s="30" t="str">
        <f>IFERROR(__xludf.DUMMYFUNCTION("TEXTJOIN(CHAR(10), TRUE,
  ARRAYFORMULA(
    SORT(
      FILTER(M1:M29 &amp; "" "" &amp; $E1:$E29, M1:M29 &lt;&gt; """"),
      FILTER(VALUE(M1:M29), M1:M29 &lt;&gt; """"),
      FALSE
    )
  )
)
"),"Sakuralia s votes have been counted as follows:
12 Aimulli
10 Kordavian Islands
8 Vylkuzeme
7 Orsa
6 Rumia
5 Södermalm
4 Xochimilia
3 New Acadia
2 Tcher-Racoi
1 Tanoiro")</f>
        <v>Sakuralia s votes have been counted as follows:
12 Aimulli
10 Kordavian Islands
8 Vylkuzeme
7 Orsa
6 Rumia
5 Södermalm
4 Xochimilia
3 New Acadia
2 Tcher-Racoi
1 Tanoiro</v>
      </c>
      <c r="N40" s="30" t="str">
        <f>IFERROR(__xludf.DUMMYFUNCTION("TEXTJOIN(CHAR(10), TRUE,
  ARRAYFORMULA(
    SORT(
      FILTER(N1:N29 &amp; "" "" &amp; $E1:$E29, N1:N29 &lt;&gt; """"),
      FILTER(VALUE(N1:N29), N1:N29 &lt;&gt; """"),
      FALSE
    )
  )
)
"),"Halito s votes have been counted as follows:
12 Dalisska
10 Ugaly
8 Roxma Nova
7 Szimbaya Kingdom
6 Reym-L-Dneurb
5 Fierraria
4 Rehi Kaita
3 Grand Duchy of Strenci
2 New Bander State
1 Tamausia &amp; Deltannor")</f>
        <v>Halito s votes have been counted as follows:
12 Dalisska
10 Ugaly
8 Roxma Nova
7 Szimbaya Kingdom
6 Reym-L-Dneurb
5 Fierraria
4 Rehi Kaita
3 Grand Duchy of Strenci
2 New Bander State
1 Tamausia &amp; Deltannor</v>
      </c>
      <c r="O40" s="30" t="str">
        <f>IFERROR(__xludf.DUMMYFUNCTION("TEXTJOIN(CHAR(10), TRUE,
  ARRAYFORMULA(
    SORT(
      FILTER(O1:O29 &amp; "" "" &amp; $E1:$E29, O1:O29 &lt;&gt; """"),
      FILTER(VALUE(O1:O29), O1:O29 &lt;&gt; """"),
      FALSE
    )
  )
)
"),"Comino s votes have been counted as follows:
12 Insomnéa
10 Szimbaya Kingdom
8 Fierraria
7 Xochimilia
6 New Bander State
5 Kimmystan
4 Dalisska
3 Tanoiro
2 Grand Duchy of Strenci
1 Ugaly")</f>
        <v>Comino s votes have been counted as follows:
12 Insomnéa
10 Szimbaya Kingdom
8 Fierraria
7 Xochimilia
6 New Bander State
5 Kimmystan
4 Dalisska
3 Tanoiro
2 Grand Duchy of Strenci
1 Ugaly</v>
      </c>
      <c r="P40" s="30" t="str">
        <f>IFERROR(__xludf.DUMMYFUNCTION("TEXTJOIN(CHAR(10), TRUE,
  ARRAYFORMULA(
    SORT(
      FILTER(P1:P29 &amp; "" "" &amp; $E1:$E29, P1:P29 &lt;&gt; """"),
      FILTER(VALUE(P1:P29), P1:P29 &lt;&gt; """"),
      FALSE
    )
  )
)
"),"Dalisska s votes have been counted as follows:
12 Aimulli
10 Papendink
8 Kimmystan
7 Insomnéa
6 Tanoiro
5 Roxma Nova
4 Tamausia &amp; Deltannor
3 Öösingimäed
2 Orsa
1 Comino")</f>
        <v>Dalisska s votes have been counted as follows:
12 Aimulli
10 Papendink
8 Kimmystan
7 Insomnéa
6 Tanoiro
5 Roxma Nova
4 Tamausia &amp; Deltannor
3 Öösingimäed
2 Orsa
1 Comino</v>
      </c>
      <c r="Q40" s="30" t="str">
        <f>IFERROR(__xludf.DUMMYFUNCTION("TEXTJOIN(CHAR(10), TRUE,
  ARRAYFORMULA(
    SORT(
      FILTER(Q1:Q29 &amp; "" "" &amp; $E1:$E29, Q1:Q29 &lt;&gt; """"),
      FILTER(VALUE(Q1:Q29), Q1:Q29 &lt;&gt; """"),
      FALSE
    )
  )
)
"),"Kamande s votes have been counted as follows:
12 Waiting Iist of Shelley &amp; Nici
10 Rumia
8 Insomnéa
7 Aimulli
6 New Acadia
5 Papendink
4 Kordavian Islands
3 Fierraria
2 Reym-L-Dneurb
1 Emsfrynt")</f>
        <v>Kamande s votes have been counted as follows:
12 Waiting Iist of Shelley &amp; Nici
10 Rumia
8 Insomnéa
7 Aimulli
6 New Acadia
5 Papendink
4 Kordavian Islands
3 Fierraria
2 Reym-L-Dneurb
1 Emsfrynt</v>
      </c>
      <c r="R40" s="30" t="str">
        <f>IFERROR(__xludf.DUMMYFUNCTION("TEXTJOIN(CHAR(10), TRUE,
  ARRAYFORMULA(
    SORT(
      FILTER(R1:R29 &amp; "" "" &amp; $E1:$E29, R1:R29 &lt;&gt; """"),
      FILTER(VALUE(R1:R29), R1:R29 &lt;&gt; """"),
      FALSE
    )
  )
)
"),"Griffin Empire s votes have been counted as follows:
12 Ugaly
10 Xochimilia
8 Insomnéa
7 Emsfrynt
6 Szimbaya Kingdom
5 Öösingimäed
4 Rehi Kaita
3 Dalisska
2 Orsa
1 Tamausia &amp; Deltannor")</f>
        <v>Griffin Empire s votes have been counted as follows:
12 Ugaly
10 Xochimilia
8 Insomnéa
7 Emsfrynt
6 Szimbaya Kingdom
5 Öösingimäed
4 Rehi Kaita
3 Dalisska
2 Orsa
1 Tamausia &amp; Deltannor</v>
      </c>
      <c r="S40" s="30" t="str">
        <f>IFERROR(__xludf.DUMMYFUNCTION("TEXTJOIN(CHAR(10), TRUE,
  ARRAYFORMULA(
    SORT(
      FILTER(S1:S29 &amp; "" "" &amp; $E1:$E29, S1:S29 &lt;&gt; """"),
      FILTER(VALUE(S1:S29), S1:S29 &lt;&gt; """"),
      FALSE
    )
  )
)
"),"Kimmystan s votes have been counted as follows:
12 Szimbaya Kingdom
10 Ugaly
8 Roxma Nova
7 Rumia
6 Fierraria
5 Grand Duchy of Strenci
4 Södermalm
3 Aimulli
2 Tanoiro
1 Vylkuzeme")</f>
        <v>Kimmystan s votes have been counted as follows:
12 Szimbaya Kingdom
10 Ugaly
8 Roxma Nova
7 Rumia
6 Fierraria
5 Grand Duchy of Strenci
4 Södermalm
3 Aimulli
2 Tanoiro
1 Vylkuzeme</v>
      </c>
      <c r="T40" s="30" t="str">
        <f>IFERROR(__xludf.DUMMYFUNCTION("TEXTJOIN(CHAR(10), TRUE,
  ARRAYFORMULA(
    SORT(
      FILTER(T1:T29 &amp; "" "" &amp; $E1:$E29, T1:T29 &lt;&gt; """"),
      FILTER(VALUE(T1:T29), T1:T29 &lt;&gt; """"),
      FALSE
    )
  )
)
"),"Fierraria s votes have been counted as follows:
12 Szimbaya Kingdom
10 Rumia
8 Öösingimäed
7 Kimmystan
6 Rehi Kaita
5 Roxma Nova
4 Tanoiro
3 Papendink
2 Aimulli
1 Tamausia &amp; Deltannor")</f>
        <v>Fierraria s votes have been counted as follows:
12 Szimbaya Kingdom
10 Rumia
8 Öösingimäed
7 Kimmystan
6 Rehi Kaita
5 Roxma Nova
4 Tanoiro
3 Papendink
2 Aimulli
1 Tamausia &amp; Deltannor</v>
      </c>
      <c r="U40" s="30" t="str">
        <f>IFERROR(__xludf.DUMMYFUNCTION("TEXTJOIN(CHAR(10), TRUE,
  ARRAYFORMULA(
    SORT(
      FILTER(U1:U29 &amp; "" "" &amp; $E1:$E29, U1:U29 &lt;&gt; """"),
      FILTER(VALUE(U1:U29), U1:U29 &lt;&gt; """"),
      FALSE
    )
  )
)
"),"Tamausia &amp; Deltannor s votes have been counted as follows:
12 Ugaly
10 Rehi Kaita
8 Emsfrynt
7 Fierraria
6 Szimbaya Kingdom
5 Comino
4 Tanoiro
3 Dež Republic
2 Grand Duchy of Strenci
1 Roxma Nova")</f>
        <v>Tamausia &amp; Deltannor s votes have been counted as follows:
12 Ugaly
10 Rehi Kaita
8 Emsfrynt
7 Fierraria
6 Szimbaya Kingdom
5 Comino
4 Tanoiro
3 Dež Republic
2 Grand Duchy of Strenci
1 Roxma Nova</v>
      </c>
      <c r="V40" s="30" t="str">
        <f>IFERROR(__xludf.DUMMYFUNCTION("TEXTJOIN(CHAR(10), TRUE,
  ARRAYFORMULA(
    SORT(
      FILTER(V1:V29 &amp; "" "" &amp; $E1:$E29, V1:V29 &lt;&gt; """"),
      FILTER(VALUE(V1:V29), V1:V29 &lt;&gt; """"),
      FALSE
    )
  )
)
"),"Emsfrynt s votes have been counted as follows:
12 Reym-L-Dneurb
10 Ugaly
8 Grand Duchy of Strenci
7 Tanoiro
6 Dež Republic
5 Szimbaya Kingdom
4 Comino
3 Södermalm
2 Tamausia &amp; Deltannor
1 Roxma Nova")</f>
        <v>Emsfrynt s votes have been counted as follows:
12 Reym-L-Dneurb
10 Ugaly
8 Grand Duchy of Strenci
7 Tanoiro
6 Dež Republic
5 Szimbaya Kingdom
4 Comino
3 Södermalm
2 Tamausia &amp; Deltannor
1 Roxma Nova</v>
      </c>
      <c r="W40" s="30" t="str">
        <f>IFERROR(__xludf.DUMMYFUNCTION("TEXTJOIN(CHAR(10), TRUE,
  ARRAYFORMULA(
    SORT(
      FILTER(W1:W29 &amp; "" "" &amp; $E1:$E29, W1:W29 &lt;&gt; """"),
      FILTER(VALUE(W1:W29), W1:W29 &lt;&gt; """"),
      FALSE
    )
  )
)
"),"Sodermalm s votes have been counted as follows:
12 Insomnéa
10 Xochimilia
8 Roxma Nova
7 Orsa
6 Dalisska
5 Dež Republic
4 New Bander State
3 Comino
2 Waiting Iist of Shelley &amp; Nici
1 Ugaly")</f>
        <v>Sodermalm s votes have been counted as follows:
12 Insomnéa
10 Xochimilia
8 Roxma Nova
7 Orsa
6 Dalisska
5 Dež Republic
4 New Bander State
3 Comino
2 Waiting Iist of Shelley &amp; Nici
1 Ugaly</v>
      </c>
      <c r="X40" s="30" t="str">
        <f>IFERROR(__xludf.DUMMYFUNCTION("TEXTJOIN(CHAR(10), TRUE,
  ARRAYFORMULA(
    SORT(
      FILTER(X1:X29 &amp; "" "" &amp; $E1:$E29, X1:X29 &lt;&gt; """"),
      FILTER(VALUE(X1:X29), X1:X29 &lt;&gt; """"),
      FALSE
    )
  )
)
"),"Dwyforland s votes have been counted as follows:
12 Szimbaya Kingdom
10 Ugaly
8 Vylkuzeme
7 Dež Republic
6 Rumia
5 Comino
4 New Bander State
3 Tanoiro
2 Grand Duchy of Strenci
1 Insomnéa")</f>
        <v>Dwyforland s votes have been counted as follows:
12 Szimbaya Kingdom
10 Ugaly
8 Vylkuzeme
7 Dež Republic
6 Rumia
5 Comino
4 New Bander State
3 Tanoiro
2 Grand Duchy of Strenci
1 Insomnéa</v>
      </c>
      <c r="Y40" s="30" t="str">
        <f>IFERROR(__xludf.DUMMYFUNCTION("TEXTJOIN(CHAR(10), TRUE,
  ARRAYFORMULA(
    SORT(
      FILTER(Y1:Y29 &amp; "" "" &amp; $E1:$E29, Y1:Y29 &lt;&gt; """"),
      FILTER(VALUE(Y1:Y29), Y1:Y29 &lt;&gt; """"),
      FALSE
    )
  )
)
"),"Tcher-Racoi s votes have been counted as follows:
12 Xochimilia
10 New Bander State
8 Fierraria
7 Szimbaya Kingdom
6 Kimmystan
5 Reym-L-Dneurb
4 Rehi Kaita
3 Waiting Iist of Shelley &amp; Nici
2 Tamausia &amp; Deltannor
1 Dež Republic")</f>
        <v>Tcher-Racoi s votes have been counted as follows:
12 Xochimilia
10 New Bander State
8 Fierraria
7 Szimbaya Kingdom
6 Kimmystan
5 Reym-L-Dneurb
4 Rehi Kaita
3 Waiting Iist of Shelley &amp; Nici
2 Tamausia &amp; Deltannor
1 Dež Republic</v>
      </c>
      <c r="Z40" s="30" t="str">
        <f>IFERROR(__xludf.DUMMYFUNCTION("TEXTJOIN(CHAR(10), TRUE,
  ARRAYFORMULA(
    SORT(
      FILTER(Z1:Z29 &amp; "" "" &amp; $E1:$E29, Z1:Z29 &lt;&gt; """"),
      FILTER(VALUE(Z1:Z29), Z1:Z29 &lt;&gt; """"),
      FALSE
    )
  )
)
"),"Kordavian Islands s votes have been counted as follows:
12 Rumia
10 Waiting Iist of Shelley &amp; Nici
8 Vylkuzeme
7 Aimulli
6 New Acadia
5 Södermalm
4 Fierraria
3 Grand Duchy of Strenci
2 New Bander State
1 Xochimilia")</f>
        <v>Kordavian Islands s votes have been counted as follows:
12 Rumia
10 Waiting Iist of Shelley &amp; Nici
8 Vylkuzeme
7 Aimulli
6 New Acadia
5 Södermalm
4 Fierraria
3 Grand Duchy of Strenci
2 New Bander State
1 Xochimilia</v>
      </c>
      <c r="AA40" s="30" t="str">
        <f>IFERROR(__xludf.DUMMYFUNCTION("TEXTJOIN(CHAR(10), TRUE,
  ARRAYFORMULA(
    SORT(
      FILTER(AA1:AA29 &amp; "" "" &amp; $E1:$E29, AA1:AA29 &lt;&gt; """"),
      FILTER(VALUE(AA1:AA29), AA1:AA29 &lt;&gt; """"),
      FALSE
    )
  )
)
"),"Rumia s votes have been counted as follows:
12 Aimulli
10 Papendink
8 Vylkuzeme
7 Kordavian Islands
6 Waiting Iist of Shelley &amp; Nici
5 New Acadia
4 Södermalm
3 Tcher-Racoi
2 Orsa
1 Tanoiro")</f>
        <v>Rumia s votes have been counted as follows:
12 Aimulli
10 Papendink
8 Vylkuzeme
7 Kordavian Islands
6 Waiting Iist of Shelley &amp; Nici
5 New Acadia
4 Södermalm
3 Tcher-Racoi
2 Orsa
1 Tanoiro</v>
      </c>
      <c r="AB40" s="30" t="str">
        <f>IFERROR(__xludf.DUMMYFUNCTION("TEXTJOIN(CHAR(10), TRUE,
  ARRAYFORMULA(
    SORT(
      FILTER(AB1:AB29 &amp; "" "" &amp; $E1:$E29, AB1:AB29 &lt;&gt; """"),
      FILTER(VALUE(AB1:AB29), AB1:AB29 &lt;&gt; """"),
      FALSE
    )
  )
)
"),"Grand Duchy of Strenci s votes have been counted as follows:
12 Södermalm
10 Xochimilia
8 Kimmystan
7 Aimulli
6 Fierraria
5 Vylkuzeme
4 New Acadia
3 Reym-L-Dneurb
2 New Bander State
1 Roxma Nova")</f>
        <v>Grand Duchy of Strenci s votes have been counted as follows:
12 Södermalm
10 Xochimilia
8 Kimmystan
7 Aimulli
6 Fierraria
5 Vylkuzeme
4 New Acadia
3 Reym-L-Dneurb
2 New Bander State
1 Roxma Nova</v>
      </c>
      <c r="AC40" s="30" t="str">
        <f>IFERROR(__xludf.DUMMYFUNCTION("TEXTJOIN(CHAR(10), TRUE,
  ARRAYFORMULA(
    SORT(
      FILTER(AC1:AC29 &amp; "" "" &amp; $E1:$E29, AC1:AC29 &lt;&gt; """"),
      FILTER(VALUE(AC1:AC29), AC1:AC29 &lt;&gt; """"),
      FALSE
    )
  )
)
"),"Aimulli s votes have been counted as follows:
12 New Acadia
10 Vylkuzeme
8 Södermalm
7 Rumia
6 Tamausia &amp; Deltannor
5 Ugaly
4 Waiting Iist of Shelley &amp; Nici
3 Emsfrynt
2 Kordavian Islands
1 Dež Republic")</f>
        <v>Aimulli s votes have been counted as follows:
12 New Acadia
10 Vylkuzeme
8 Södermalm
7 Rumia
6 Tamausia &amp; Deltannor
5 Ugaly
4 Waiting Iist of Shelley &amp; Nici
3 Emsfrynt
2 Kordavian Islands
1 Dež Republic</v>
      </c>
      <c r="AD40" s="30" t="str">
        <f>IFERROR(__xludf.DUMMYFUNCTION("TEXTJOIN(CHAR(10), TRUE,
  ARRAYFORMULA(
    SORT(
      FILTER(AD1:AD29 &amp; "" "" &amp; $E1:$E29, AD1:AD29 &lt;&gt; """"),
      FILTER(VALUE(AD1:AD29), AD1:AD29 &lt;&gt; """"),
      FALSE
    )
  )
)
"),"RLD s votes have been counted as follows:
12 Kimmystan
10 Papendink
8 Öösingimäed
7 Orsa
6 Rehi Kaita
5 Roxma Nova
4 Comino
3 New Acadia
2 Emsfrynt
1 Grand Duchy of Strenci")</f>
        <v>RLD s votes have been counted as follows:
12 Kimmystan
10 Papendink
8 Öösingimäed
7 Orsa
6 Rehi Kaita
5 Roxma Nova
4 Comino
3 New Acadia
2 Emsfrynt
1 Grand Duchy of Strenci</v>
      </c>
      <c r="AE40" s="30" t="str">
        <f>IFERROR(__xludf.DUMMYFUNCTION("TEXTJOIN(CHAR(10), TRUE,
  ARRAYFORMULA(
    SORT(
      FILTER(AE1:AE29 &amp; "" "" &amp; $E1:$E29, AE1:AE29 &lt;&gt; """"),
      FILTER(VALUE(AE1:AE29), AE1:AE29 &lt;&gt; """"),
      FALSE
    )
  )
)
"),"Yaponesia s votes have been counted as follows:
12 Grand Duchy of Strenci
10 Tcher-Racoi
8 Rehi Kaita
7 Papendink
6 Kimmystan
5 Tamausia &amp; Deltannor
4 Aimulli
3 Ugaly
2 Reym-L-Dneurb
1 Emsfrynt")</f>
        <v>Yaponesia s votes have been counted as follows:
12 Grand Duchy of Strenci
10 Tcher-Racoi
8 Rehi Kaita
7 Papendink
6 Kimmystan
5 Tamausia &amp; Deltannor
4 Aimulli
3 Ugaly
2 Reym-L-Dneurb
1 Emsfrynt</v>
      </c>
      <c r="AF40" s="30" t="str">
        <f>IFERROR(__xludf.DUMMYFUNCTION("TEXTJOIN(CHAR(10), TRUE,
  ARRAYFORMULA(
    SORT(
      FILTER(AF1:AF29 &amp; "" "" &amp; $E1:$E29, AF1:AF29 &lt;&gt; """"),
      FILTER(VALUE(AF1:AF29), AF1:AF29 &lt;&gt; """"),
      FALSE
    )
  )
)
"),"Begonia s votes have been counted as follows:
12 Papendink
10 Kimmystan
8 Roxma Nova
7 Xochimilia
6 New Bander State
5 Emsfrynt
4 Fierraria
3 Rehi Kaita
2 Södermalm
1 Insomnéa")</f>
        <v>Begonia s votes have been counted as follows:
12 Papendink
10 Kimmystan
8 Roxma Nova
7 Xochimilia
6 New Bander State
5 Emsfrynt
4 Fierraria
3 Rehi Kaita
2 Södermalm
1 Insomnéa</v>
      </c>
      <c r="AG40" s="30" t="str">
        <f>IFERROR(__xludf.DUMMYFUNCTION("TEXTJOIN(CHAR(10), TRUE,
  ARRAYFORMULA(
    SORT(
      FILTER(AG1:AG29 &amp; "" "" &amp; $E1:$E29, AG1:AG29 &lt;&gt; """"),
      FILTER(VALUE(AG1:AG29), AG1:AG29 &lt;&gt; """"),
      FALSE
    )
  )
)
"),"New Acadia s votes have been counted as follows:
12 Rumia
10 New Bander State
8 Tamausia &amp; Deltannor
7 Fierraria
6 Comino
5 Ugaly
4 Södermalm
3 Tanoiro
2 Szimbaya Kingdom
1 Kordavian Islands")</f>
        <v>New Acadia s votes have been counted as follows:
12 Rumia
10 New Bander State
8 Tamausia &amp; Deltannor
7 Fierraria
6 Comino
5 Ugaly
4 Södermalm
3 Tanoiro
2 Szimbaya Kingdom
1 Kordavian Islands</v>
      </c>
      <c r="AH40" s="30" t="str">
        <f>IFERROR(__xludf.DUMMYFUNCTION("TEXTJOIN(CHAR(10), TRUE,
  ARRAYFORMULA(
    SORT(
      FILTER(AH1:AH29 &amp; "" "" &amp; $E1:$E29, AH1:AH29 &lt;&gt; """"),
      FILTER(VALUE(AH1:AH29), AH1:AH29 &lt;&gt; """"),
      FALSE
    )
  )
)
"),"Ugaly s votes have been counted as follows:
12 Tamausia &amp; Deltannor
10 Rehi Kaita
8 Reym-L-Dneurb
7 Xochimilia
6 Papendink
5 Dalisska
4 Emsfrynt
3 Dež Republic
2 Öösingimäed
1 Södermalm")</f>
        <v>Ugaly s votes have been counted as follows:
12 Tamausia &amp; Deltannor
10 Rehi Kaita
8 Reym-L-Dneurb
7 Xochimilia
6 Papendink
5 Dalisska
4 Emsfrynt
3 Dež Republic
2 Öösingimäed
1 Södermalm</v>
      </c>
      <c r="AI40" s="30" t="str">
        <f>IFERROR(__xludf.DUMMYFUNCTION("TEXTJOIN(CHAR(10), TRUE,
  ARRAYFORMULA(
    SORT(
      FILTER(AI1:AI29 &amp; "" "" &amp; $E1:$E29, AI1:AI29 &lt;&gt; """"),
      FILTER(VALUE(AI1:AI29), AI1:AI29 &lt;&gt; """"),
      FALSE
    )
  )
)
"),"Cydoni-Gibberia s votes have been counted as follows:
12 Ugaly
10 Tanoiro
8 Orsa
7 Emsfrynt
6 Tamausia &amp; Deltannor
5 Södermalm
4 Comino
3 Fierraria
2 Reym-L-Dneurb
1 Öösingimäed")</f>
        <v>Cydoni-Gibberia s votes have been counted as follows:
12 Ugaly
10 Tanoiro
8 Orsa
7 Emsfrynt
6 Tamausia &amp; Deltannor
5 Södermalm
4 Comino
3 Fierraria
2 Reym-L-Dneurb
1 Öösingimäed</v>
      </c>
      <c r="AJ40" s="30" t="str">
        <f>IFERROR(__xludf.DUMMYFUNCTION("TEXTJOIN(CHAR(10), TRUE,
  ARRAYFORMULA(
    SORT(
      FILTER(AJ1:AJ29 &amp; "" "" &amp; $E1:$E29, AJ1:AJ29 &lt;&gt; """"),
      FILTER(VALUE(AJ1:AJ29), AJ1:AJ29 &lt;&gt; """"),
      FALSE
    )
  )
)
"),"Papendink s votes have been counted as follows:
12 Öösingimäed
10 Rehi Kaita
8 Fierraria
7 Roxma Nova
6 Xochimilia
5 Rumia
4 Comino
3 Orsa
2 Kordavian Islands
1 Emsfrynt")</f>
        <v>Papendink s votes have been counted as follows:
12 Öösingimäed
10 Rehi Kaita
8 Fierraria
7 Roxma Nova
6 Xochimilia
5 Rumia
4 Comino
3 Orsa
2 Kordavian Islands
1 Emsfrynt</v>
      </c>
      <c r="AK40" s="30" t="str">
        <f>IFERROR(__xludf.DUMMYFUNCTION("TEXTJOIN(CHAR(10), TRUE,
  ARRAYFORMULA(
    SORT(
      FILTER(AK1:AK29 &amp; "" "" &amp; $E1:$E29, AK1:AK29 &lt;&gt; """"),
      FILTER(VALUE(AK1:AK29), AK1:AK29 &lt;&gt; """"),
      FALSE
    )
  )
)
"),"Adamsburg s votes have been counted as follows:
12 Reym-L-Dneurb
10 Fierraria
8 Rehi Kaita
7 Dež Republic
6 Ugaly
5 Xochimilia
4 New Bander State
3 Tamausia &amp; Deltannor
2 Comino
1 Kimmystan")</f>
        <v>Adamsburg s votes have been counted as follows:
12 Reym-L-Dneurb
10 Fierraria
8 Rehi Kaita
7 Dež Republic
6 Ugaly
5 Xochimilia
4 New Bander State
3 Tamausia &amp; Deltannor
2 Comino
1 Kimmystan</v>
      </c>
      <c r="AL40" s="30" t="str">
        <f>IFERROR(__xludf.DUMMYFUNCTION("TEXTJOIN(CHAR(10), TRUE,
  ARRAYFORMULA(
    SORT(
      FILTER(AL1:AL29 &amp; "" "" &amp; $E1:$E29, AL1:AL29 &lt;&gt; """"),
      FILTER(VALUE(AL1:AL29), AL1:AL29 &lt;&gt; """"),
      FALSE
    )
  )
)
"),"Marcobia s votes have been counted as follows:
12 Rumia
10 Insomnéa
8 Grand Duchy of Strenci
7 Södermalm
6 Roxma Nova
5 Kimmystan
4 Kordavian Islands
3 Waiting Iist of Shelley &amp; Nici
2 Dež Republic
1 Dalisska")</f>
        <v>Marcobia s votes have been counted as follows:
12 Rumia
10 Insomnéa
8 Grand Duchy of Strenci
7 Södermalm
6 Roxma Nova
5 Kimmystan
4 Kordavian Islands
3 Waiting Iist of Shelley &amp; Nici
2 Dež Republic
1 Dalisska</v>
      </c>
      <c r="AM40" s="30" t="str">
        <f>IFERROR(__xludf.DUMMYFUNCTION("TEXTJOIN(CHAR(10), TRUE,
  ARRAYFORMULA(
    SORT(
      FILTER(AM1:AM29 &amp; "" "" &amp; $E1:$E29, AM1:AM29 &lt;&gt; """"),
      FILTER(VALUE(AM1:AM29), AM1:AM29 &lt;&gt; """"),
      FALSE
    )
  )
)
"),"Tanoiro s votes have been counted as follows:
12 Ugaly
10 Reym-L-Dneurb
8 Emsfrynt
7 Öösingimäed
6 Tamausia &amp; Deltannor
5 Rehi Kaita
4 Aimulli
3 Kimmystan
2 Papendink
1 Fierraria")</f>
        <v>Tanoiro s votes have been counted as follows:
12 Ugaly
10 Reym-L-Dneurb
8 Emsfrynt
7 Öösingimäed
6 Tamausia &amp; Deltannor
5 Rehi Kaita
4 Aimulli
3 Kimmystan
2 Papendink
1 Fierraria</v>
      </c>
      <c r="AN40" s="30" t="str">
        <f>IFERROR(__xludf.DUMMYFUNCTION("TEXTJOIN(CHAR(10), TRUE,
  ARRAYFORMULA(
    SORT(
      FILTER(AN1:AN29 &amp; "" "" &amp; $E1:$E29, AN1:AN29 &lt;&gt; """"),
      FILTER(VALUE(AN1:AN29), AN1:AN29 &lt;&gt; """"),
      FALSE
    )
  )
)
"),"Roxma Nova s votes have been counted as follows:
12 Orsa
10 Kimmystan
8 Södermalm
7 Insomnéa
6 Dalisska
5 Öösingimäed
4 Kordavian Islands
3 Rehi Kaita
2 Vylkuzeme
1 Xochimilia")</f>
        <v>Roxma Nova s votes have been counted as follows:
12 Orsa
10 Kimmystan
8 Södermalm
7 Insomnéa
6 Dalisska
5 Öösingimäed
4 Kordavian Islands
3 Rehi Kaita
2 Vylkuzeme
1 Xochimilia</v>
      </c>
      <c r="AO40" s="30" t="str">
        <f>IFERROR(__xludf.DUMMYFUNCTION("TEXTJOIN(CHAR(10), TRUE,
  ARRAYFORMULA(
    SORT(
      FILTER(AO1:AO29 &amp; "" "" &amp; $E1:$E29, AO1:AO29 &lt;&gt; """"),
      FILTER(VALUE(AO1:AO29), AO1:AO29 &lt;&gt; """"),
      FALSE
    )
  )
)
"),"MatiMati s votes have been counted as follows:
12 Tanoiro
10 Öösingimäed
8 New Acadia
7 Södermalm
6 Kordavian Islands
5 Kimmystan
4 New Bander State
3 Aimulli
2 Roxma Nova
1 Insomnéa")</f>
        <v>MatiMati s votes have been counted as follows:
12 Tanoiro
10 Öösingimäed
8 New Acadia
7 Södermalm
6 Kordavian Islands
5 Kimmystan
4 New Bander State
3 Aimulli
2 Roxma Nova
1 Insomnéa</v>
      </c>
      <c r="AP40" s="30" t="str">
        <f>IFERROR(__xludf.DUMMYFUNCTION("TEXTJOIN(CHAR(10), TRUE,
  ARRAYFORMULA(
    SORT(
      FILTER(AP1:AP29 &amp; "" "" &amp; $E1:$E29, AP1:AP29 &lt;&gt; """"),
      FILTER(VALUE(AP1:AP29), AP1:AP29 &lt;&gt; """"),
      FALSE
    )
  )
)
"),"Xochimilia s votes have been counted as follows:
12 Öösingimäed
10 Fierraria
8 New Bander State
7 Dež Republic
6 Insomnéa
5 Tanoiro
4 Reym-L-Dneurb
3 Dalisska
2 Comino
1 Vylkuzeme")</f>
        <v>Xochimilia s votes have been counted as follows:
12 Öösingimäed
10 Fierraria
8 New Bander State
7 Dež Republic
6 Insomnéa
5 Tanoiro
4 Reym-L-Dneurb
3 Dalisska
2 Comino
1 Vylkuzeme</v>
      </c>
      <c r="AQ40" s="30" t="str">
        <f>IFERROR(__xludf.DUMMYFUNCTION("TEXTJOIN(CHAR(10), TRUE,
  ARRAYFORMULA(
    SORT(
      FILTER(AQ1:AQ29 &amp; "" "" &amp; $E1:$E29, AQ1:AQ29 &lt;&gt; """"),
      FILTER(VALUE(AQ1:AQ29), AQ1:AQ29 &lt;&gt; """"),
      FALSE
    )
  )
)
"),"Tir an Abhainn s votes have been counted as follows:
12 Emsfrynt
10 Södermalm
8 Aimulli
7 Öösingimäed
6 Tanoiro
5 Fierraria
4 Reym-L-Dneurb
3 New Acadia
2 Ugaly
1 Rumia")</f>
        <v>Tir an Abhainn s votes have been counted as follows:
12 Emsfrynt
10 Södermalm
8 Aimulli
7 Öösingimäed
6 Tanoiro
5 Fierraria
4 Reym-L-Dneurb
3 New Acadia
2 Ugaly
1 Rumia</v>
      </c>
      <c r="AR40" s="30" t="str">
        <f>IFERROR(__xludf.DUMMYFUNCTION("TEXTJOIN(CHAR(10), TRUE,
  ARRAYFORMULA(
    SORT(
      FILTER(AR1:AR29 &amp; "" "" &amp; $E1:$E29, AR1:AR29 &lt;&gt; """"),
      FILTER(VALUE(AR1:AR29), AR1:AR29 &lt;&gt; """"),
      FALSE
    )
  )
)
"),"Rehi Kaita s votes have been counted as follows:
12 Papendink
10 Orsa
8 Ugaly
7 Roxma Nova
6 Öösingimäed
5 Tamausia &amp; Deltannor
4 Emsfrynt
3 Fierraria
2 Reym-L-Dneurb
1 Dalisska")</f>
        <v>Rehi Kaita s votes have been counted as follows:
12 Papendink
10 Orsa
8 Ugaly
7 Roxma Nova
6 Öösingimäed
5 Tamausia &amp; Deltannor
4 Emsfrynt
3 Fierraria
2 Reym-L-Dneurb
1 Dalisska</v>
      </c>
      <c r="AS40" s="30" t="str">
        <f>IFERROR(__xludf.DUMMYFUNCTION("TEXTJOIN(CHAR(10), TRUE,
  ARRAYFORMULA(
    SORT(
      FILTER(AS1:AS29 &amp; "" "" &amp; $E1:$E29, AS1:AS29 &lt;&gt; """"),
      FILTER(VALUE(AS1:AS29), AS1:AS29 &lt;&gt; """"),
      FALSE
    )
  )
)
"),"New Bander State s votes have been counted as follows:
12 Xochimilia
10 Insomnéa
8 Dalisska
7 New Acadia
6 Roxma Nova
5 Fierraria
4 Tcher-Racoi
3 Comino
2 Kimmystan
1 Södermalm")</f>
        <v>New Bander State s votes have been counted as follows:
12 Xochimilia
10 Insomnéa
8 Dalisska
7 New Acadia
6 Roxma Nova
5 Fierraria
4 Tcher-Racoi
3 Comino
2 Kimmystan
1 Södermalm</v>
      </c>
      <c r="AT40" s="30" t="str">
        <f>IFERROR(__xludf.DUMMYFUNCTION("TEXTJOIN(CHAR(10), TRUE,
  ARRAYFORMULA(
    SORT(
      FILTER(AT1:AT29 &amp; "" "" &amp; $E1:$E29, AT1:AT29 &lt;&gt; """"),
      FILTER(VALUE(AT1:AT29), AT1:AT29 &lt;&gt; """"),
      FALSE
    )
  )
)
"),"Inzinimirit s votes have been counted as follows:
12 Roxma Nova
10 Aimulli
8 New Acadia
7 Dež Republic
6 Södermalm
5 Insomnéa
4 Vylkuzeme
3 Orsa
2 Kimmystan
1 Dalisska")</f>
        <v>Inzinimirit s votes have been counted as follows:
12 Roxma Nova
10 Aimulli
8 New Acadia
7 Dež Republic
6 Södermalm
5 Insomnéa
4 Vylkuzeme
3 Orsa
2 Kimmystan
1 Dalisska</v>
      </c>
      <c r="AU40" s="30" t="str">
        <f>IFERROR(__xludf.DUMMYFUNCTION("TEXTJOIN(CHAR(10), TRUE,
  ARRAYFORMULA(
    SORT(
      FILTER(AU1:AU29 &amp; "" "" &amp; $E1:$E29, AU1:AU29 &lt;&gt; """"),
      FILTER(VALUE(AU1:AU29), AU1:AU29 &lt;&gt; """"),
      FALSE
    )
  )
)
"),"Redwood Republic s votes have been counted as follows:
12 Kordavian Islands
10 Rumia
8 New Acadia
7 Dež Republic
6 Vylkuzeme
5 Emsfrynt
4 Waiting Iist of Shelley &amp; Nici
3 Aimulli
2 Ugaly
1 Reym-L-Dneurb")</f>
        <v>Redwood Republic s votes have been counted as follows:
12 Kordavian Islands
10 Rumia
8 New Acadia
7 Dež Republic
6 Vylkuzeme
5 Emsfrynt
4 Waiting Iist of Shelley &amp; Nici
3 Aimulli
2 Ugaly
1 Reym-L-Dneurb</v>
      </c>
      <c r="AV40" s="30" t="str">
        <f>IFERROR(__xludf.DUMMYFUNCTION("TEXTJOIN(CHAR(10), TRUE,
  ARRAYFORMULA(
    SORT(
      FILTER(AV1:AV29 &amp; "" "" &amp; $E1:$E29, AV1:AV29 &lt;&gt; """"),
      FILTER(VALUE(AV1:AV29), AV1:AV29 &lt;&gt; """"),
      FALSE
    )
  )
)
"),"Fervorosia s votes have been counted as follows:
12 Emsfrynt
10 Reym-L-Dneurb
8 Szimbaya Kingdom
7 Ugaly
6 Tamausia &amp; Deltannor
5 Grand Duchy of Strenci
4 Roxma Nova
3 Xochimilia
2 Comino
1 Fierraria")</f>
        <v>Fervorosia s votes have been counted as follows:
12 Emsfrynt
10 Reym-L-Dneurb
8 Szimbaya Kingdom
7 Ugaly
6 Tamausia &amp; Deltannor
5 Grand Duchy of Strenci
4 Roxma Nova
3 Xochimilia
2 Comino
1 Fierraria</v>
      </c>
      <c r="AW40" s="30" t="str">
        <f>IFERROR(__xludf.DUMMYFUNCTION("TEXTJOIN(CHAR(10), TRUE,
  ARRAYFORMULA(
    SORT(
      FILTER(AW1:AW29 &amp; "" "" &amp; $E1:$E29, AW1:AW29 &lt;&gt; """"),
      FILTER(VALUE(AW1:AW29), AW1:AW29 &lt;&gt; """"),
      FALSE
    )
  )
)
"),"Vylkuzeme s votes have been counted as follows:
12 Rumia
10 Kordavian Islands
8 Waiting Iist of Shelley &amp; Nici
7 Aimulli
6 New Acadia
5 Södermalm
4 Papendink
3 Insomnéa
2 Dalisska
1 Grand Duchy of Strenci")</f>
        <v>Vylkuzeme s votes have been counted as follows:
12 Rumia
10 Kordavian Islands
8 Waiting Iist of Shelley &amp; Nici
7 Aimulli
6 New Acadia
5 Södermalm
4 Papendink
3 Insomnéa
2 Dalisska
1 Grand Duchy of Strenci</v>
      </c>
      <c r="AX40" s="30" t="str">
        <f>IFERROR(__xludf.DUMMYFUNCTION("TEXTJOIN(CHAR(10), TRUE,
  ARRAYFORMULA(
    SORT(
      FILTER(AX1:AX29 &amp; "" "" &amp; $E1:$E29, AX1:AX29 &lt;&gt; """"),
      FILTER(VALUE(AX1:AX29), AX1:AX29 &lt;&gt; """"),
      FALSE
    )
  )
)
"),"Trollheimr s votes have been counted as follows:
12 Rumia
10 Vylkuzeme
8 Waiting Iist of Shelley &amp; Nici
7 Kordavian Islands
6 Aimulli
5 New Acadia
4 Insomnéa
3 Södermalm
2 Grand Duchy of Strenci
1 Roxma Nova")</f>
        <v>Trollheimr s votes have been counted as follows:
12 Rumia
10 Vylkuzeme
8 Waiting Iist of Shelley &amp; Nici
7 Kordavian Islands
6 Aimulli
5 New Acadia
4 Insomnéa
3 Södermalm
2 Grand Duchy of Strenci
1 Roxma Nova</v>
      </c>
      <c r="AY40" s="30" t="str">
        <f>IFERROR(__xludf.DUMMYFUNCTION("TEXTJOIN(CHAR(10), TRUE,
  ARRAYFORMULA(
    SORT(
      FILTER(AY1:AY29 &amp; "" "" &amp; $E1:$E29, AY1:AY29 &lt;&gt; """"),
      FILTER(VALUE(AY1:AY29), AY1:AY29 &lt;&gt; """"),
      FALSE
    )
  )
)
"),"Insomnea s votes have been counted as follows:
12 Comino
10 Dalisska
8 Xochimilia
7 New Bander State
6 Tcher-Racoi
5 Södermalm
4 Roxma Nova
3 Aimulli
2 Fierraria
1 Vylkuzeme")</f>
        <v>Insomnea s votes have been counted as follows:
12 Comino
10 Dalisska
8 Xochimilia
7 New Bander State
6 Tcher-Racoi
5 Södermalm
4 Roxma Nova
3 Aimulli
2 Fierraria
1 Vylkuzeme</v>
      </c>
      <c r="AZ40" s="30" t="str">
        <f>IFERROR(__xludf.DUMMYFUNCTION("TEXTJOIN(CHAR(10), TRUE,
  ARRAYFORMULA(
    SORT(
      FILTER(AZ1:AZ29 &amp; "" "" &amp; $E1:$E29, AZ1:AZ29 &lt;&gt; """"),
      FILTER(VALUE(AZ1:AZ29), AZ1:AZ29 &lt;&gt; """"),
      FALSE
    )
  )
)
"),"Carpentaria s votes have been counted as follows:
12 Comino
10 Szimbaya Kingdom
8 Ugaly
7 Grand Duchy of Strenci
6 New Acadia
5 Vylkuzeme
4 Rumia
3 Roxma Nova
2 Aimulli
1 Tanoiro")</f>
        <v>Carpentaria s votes have been counted as follows:
12 Comino
10 Szimbaya Kingdom
8 Ugaly
7 Grand Duchy of Strenci
6 New Acadia
5 Vylkuzeme
4 Rumia
3 Roxma Nova
2 Aimulli
1 Tanoiro</v>
      </c>
      <c r="BA40" s="30" t="str">
        <f>IFERROR(__xludf.DUMMYFUNCTION("TEXTJOIN(CHAR(10), TRUE,
  ARRAYFORMULA(
    SORT(
      FILTER(BA1:BA29 &amp; "" "" &amp; $E1:$E29, BA1:BA29 &lt;&gt; """"),
      FILTER(VALUE(BA1:BA29), BA1:BA29 &lt;&gt; """"),
      FALSE
    )
  )
)
"),"Oosingimaed s votes have been counted as follows:
12 Reym-L-Dneurb
10 Tamausia &amp; Deltannor
8 Szimbaya Kingdom
7 Tanoiro
6 New Acadia
5 Xochimilia
4 Fierraria
3 Rehi Kaita
2 Kimmystan
1 Roxma Nova")</f>
        <v>Oosingimaed s votes have been counted as follows:
12 Reym-L-Dneurb
10 Tamausia &amp; Deltannor
8 Szimbaya Kingdom
7 Tanoiro
6 New Acadia
5 Xochimilia
4 Fierraria
3 Rehi Kaita
2 Kimmystan
1 Roxma Nova</v>
      </c>
      <c r="BB40" s="30" t="str">
        <f>IFERROR(__xludf.DUMMYFUNCTION("TEXTJOIN(CHAR(10), TRUE,
  ARRAYFORMULA(
    SORT(
      FILTER(BB1:BB29 &amp; "" "" &amp; $E1:$E29, BB1:BB29 &lt;&gt; """"),
      FILTER(VALUE(BB1:BB29), BB1:BB29 &lt;&gt; """"),
      FALSE
    )
  )
)
"),"Doire s votes have been counted as follows:
12 Öösingimäed
10 New Bander State
8 Rehi Kaita
7 Roxma Nova
6 Fierraria
5 Kimmystan
4 Papendink
3 Xochimilia
2 Comino
1 Insomnéa")</f>
        <v>Doire s votes have been counted as follows:
12 Öösingimäed
10 New Bander State
8 Rehi Kaita
7 Roxma Nova
6 Fierraria
5 Kimmystan
4 Papendink
3 Xochimilia
2 Comino
1 Insomnéa</v>
      </c>
      <c r="BC40" s="30" t="str">
        <f>IFERROR(__xludf.DUMMYFUNCTION("TEXTJOIN(CHAR(10), TRUE,
  ARRAYFORMULA(
    SORT(
      FILTER(BC1:BC29 &amp; "" "" &amp; $E1:$E29, BC1:BC29 &lt;&gt; """"),
      FILTER(VALUE(BC1:BC29), BC1:BC29 &lt;&gt; """"),
      FALSE
    )
  )
)
"),"Orsa s votes have been counted as follows:
12 Kimmystan
10 Öösingimäed
8 Vylkuzeme
7 Emsfrynt
6 Rehi Kaita
5 Tanoiro
4 Aimulli
3 Roxma Nova
2 Reym-L-Dneurb
1 New Acadia")</f>
        <v>Orsa s votes have been counted as follows:
12 Kimmystan
10 Öösingimäed
8 Vylkuzeme
7 Emsfrynt
6 Rehi Kaita
5 Tanoiro
4 Aimulli
3 Roxma Nova
2 Reym-L-Dneurb
1 New Acadia</v>
      </c>
      <c r="BD40" s="30" t="str">
        <f>IFERROR(__xludf.DUMMYFUNCTION("TEXTJOIN(CHAR(10), TRUE,
  ARRAYFORMULA(
    SORT(
      FILTER(BD1:BD29 &amp; "" "" &amp; $E1:$E29, BD1:BD29 &lt;&gt; """"),
      FILTER(VALUE(BD1:BD29), BD1:BD29 &lt;&gt; """"),
      FALSE
    )
  )
)
"),"Zombira s votes have been counted as follows:
12 Waiting Iist of Shelley &amp; Nici
10 Rumia
8 Aimulli
7 Tanoiro
6 Emsfrynt
5 New Acadia
4 Insomnéa
3 Vylkuzeme
2 Papendink
1 Kordavian Islands")</f>
        <v>Zombira s votes have been counted as follows:
12 Waiting Iist of Shelley &amp; Nici
10 Rumia
8 Aimulli
7 Tanoiro
6 Emsfrynt
5 New Acadia
4 Insomnéa
3 Vylkuzeme
2 Papendink
1 Kordavian Islands</v>
      </c>
      <c r="BE40" s="30" t="str">
        <f>IFERROR(__xludf.DUMMYFUNCTION("TEXTJOIN(CHAR(10), TRUE,
  ARRAYFORMULA(
    SORT(
      FILTER(BE1:BE29 &amp; "" "" &amp; $E1:$E29, BE1:BE29 &lt;&gt; """"),
      FILTER(VALUE(BE1:BE29), BE1:BE29 &lt;&gt; """"),
      FALSE
    )
  )
)
"),"Calypso s votes have been counted as follows:
12 Kimmystan
10 Xochimilia
8 Roxma Nova
7 Dalisska
6 New Bander State
5 Södermalm
4 Fierraria
3 Comino
2 Insomnéa
1 Tcher-Racoi")</f>
        <v>Calypso s votes have been counted as follows:
12 Kimmystan
10 Xochimilia
8 Roxma Nova
7 Dalisska
6 New Bander State
5 Södermalm
4 Fierraria
3 Comino
2 Insomnéa
1 Tcher-Racoi</v>
      </c>
      <c r="BF40" s="30" t="str">
        <f>IFERROR(__xludf.DUMMYFUNCTION("TEXTJOIN(CHAR(10), TRUE,
  ARRAYFORMULA(
    SORT(
      FILTER(BF1:BF29 &amp; "" "" &amp; $E1:$E29, BF1:BF29 &lt;&gt; """"),
      FILTER(VALUE(BF1:BF29), BF1:BF29 &lt;&gt; """"),
      FALSE
    )
  )
)
"),"Biflovatia s votes have been counted as follows:
12 Öösingimäed
10 Emsfrynt
8 Dež Republic
7 Tanoiro
6 Reym-L-Dneurb
5 Fierraria
4 Ugaly
3 Rumia
2 Södermalm
1 New Acadia")</f>
        <v>Biflovatia s votes have been counted as follows:
12 Öösingimäed
10 Emsfrynt
8 Dež Republic
7 Tanoiro
6 Reym-L-Dneurb
5 Fierraria
4 Ugaly
3 Rumia
2 Södermalm
1 New Acadia</v>
      </c>
      <c r="BG40" s="30" t="str">
        <f>IFERROR(__xludf.DUMMYFUNCTION("TEXTJOIN(CHAR(10), TRUE,
  ARRAYFORMULA(
    SORT(
      FILTER(BG1:BG29 &amp; "" "" &amp; $E1:$E29, BG1:BG29 &lt;&gt; """"),
      FILTER(VALUE(BG1:BG29), BG1:BG29 &lt;&gt; """"),
      FALSE
    )
  )
)
"),"Endórë s votes have been counted as follows:
12 Tcher-Racoi
10 Kordavian Islands
8 Grand Duchy of Strenci
7 Szimbaya Kingdom
6 New Acadia
5 Waiting Iist of Shelley &amp; Nici
4 Aimulli
3 Rumia
2 Vylkuzeme
1 Fierraria")</f>
        <v>Endórë s votes have been counted as follows:
12 Tcher-Racoi
10 Kordavian Islands
8 Grand Duchy of Strenci
7 Szimbaya Kingdom
6 New Acadia
5 Waiting Iist of Shelley &amp; Nici
4 Aimulli
3 Rumia
2 Vylkuzeme
1 Fierraria</v>
      </c>
      <c r="BH40" s="30" t="str">
        <f>IFERROR(__xludf.DUMMYFUNCTION("TEXTJOIN(CHAR(10), TRUE,
  ARRAYFORMULA(
    SORT(
      FILTER(BH1:BH29 &amp; "" "" &amp; $E1:$E29, BH1:BH29 &lt;&gt; """"),
      FILTER(VALUE(BH1:BH29), BH1:BH29 &lt;&gt; """"),
      FALSE
    )
  )
)
"),"Perryfornia s votes have been counted as follows:
12 Ugaly
10 Tanoiro
8 Reym-L-Dneurb
7 Tamausia &amp; Deltannor
6 Szimbaya Kingdom
5 Dež Republic
4 New Acadia
3 Comino
2 Waiting Iist of Shelley &amp; Nici
1 Emsfrynt")</f>
        <v>Perryfornia s votes have been counted as follows:
12 Ugaly
10 Tanoiro
8 Reym-L-Dneurb
7 Tamausia &amp; Deltannor
6 Szimbaya Kingdom
5 Dež Republic
4 New Acadia
3 Comino
2 Waiting Iist of Shelley &amp; Nici
1 Emsfrynt</v>
      </c>
      <c r="BI40" s="30" t="str">
        <f>IFERROR(__xludf.DUMMYFUNCTION("TEXTJOIN(CHAR(10), TRUE,
  ARRAYFORMULA(
    SORT(
      FILTER(BI1:BI29 &amp; "" "" &amp; $E1:$E29, BI1:BI29 &lt;&gt; """"),
      FILTER(VALUE(BI1:BI29), BI1:BI29 &lt;&gt; """"),
      FALSE
    )
  )
)
"),"#VALUE!")</f>
        <v>#VALUE!</v>
      </c>
      <c r="BJ40" s="30" t="str">
        <f>IFERROR(__xludf.DUMMYFUNCTION("TEXTJOIN(CHAR(10), TRUE,
  ARRAYFORMULA(
    SORT(
      FILTER(BJ1:BJ29 &amp; "" "" &amp; $E1:$E29, BJ1:BJ29 &lt;&gt; """"),
      FILTER(VALUE(BJ1:BJ29), BJ1:BJ29 &lt;&gt; """"),
      FALSE
    )
  )
)
"),"#VALUE!")</f>
        <v>#VALUE!</v>
      </c>
      <c r="BK40" s="30" t="str">
        <f>IFERROR(__xludf.DUMMYFUNCTION("TEXTJOIN(CHAR(10), TRUE,
  ARRAYFORMULA(
    SORT(
      FILTER(BK1:BK29 &amp; "" "" &amp; $E1:$E29, BK1:BK29 &lt;&gt; """"),
      FILTER(VALUE(BK1:BK29), BK1:BK29 &lt;&gt; """"),
      FALSE
    )
  )
)
"),"#VALUE!")</f>
        <v>#VALUE!</v>
      </c>
      <c r="BL40" s="30" t="str">
        <f>IFERROR(__xludf.DUMMYFUNCTION("TEXTJOIN(CHAR(10), TRUE,
  ARRAYFORMULA(
    SORT(
      FILTER(BL1:BL29 &amp; "" "" &amp; $E1:$E29, BL1:BL29 &lt;&gt; """"),
      FILTER(VALUE(BL1:BL29), BL1:BL29 &lt;&gt; """"),
      FALSE
    )
  )
)
"),"#VALUE!")</f>
        <v>#VALUE!</v>
      </c>
    </row>
    <row r="41">
      <c r="B41" s="84"/>
      <c r="E41" s="84"/>
    </row>
    <row r="42">
      <c r="B42" s="84"/>
      <c r="E42" s="84"/>
      <c r="F42" s="29" t="s">
        <v>119</v>
      </c>
      <c r="G42" s="29" t="s">
        <v>119</v>
      </c>
      <c r="H42" s="29" t="s">
        <v>119</v>
      </c>
      <c r="I42" s="29" t="s">
        <v>119</v>
      </c>
      <c r="J42" s="29" t="s">
        <v>119</v>
      </c>
      <c r="K42" s="29" t="s">
        <v>119</v>
      </c>
      <c r="L42" s="29" t="s">
        <v>119</v>
      </c>
      <c r="M42" s="29" t="s">
        <v>119</v>
      </c>
      <c r="N42" s="29" t="s">
        <v>119</v>
      </c>
      <c r="O42" s="29" t="s">
        <v>119</v>
      </c>
      <c r="P42" s="29" t="s">
        <v>119</v>
      </c>
      <c r="Q42" s="29" t="s">
        <v>119</v>
      </c>
      <c r="R42" s="29" t="s">
        <v>119</v>
      </c>
      <c r="S42" s="29" t="s">
        <v>119</v>
      </c>
      <c r="T42" s="29" t="s">
        <v>119</v>
      </c>
      <c r="U42" s="29" t="s">
        <v>119</v>
      </c>
      <c r="V42" s="29" t="s">
        <v>119</v>
      </c>
      <c r="W42" s="29" t="s">
        <v>119</v>
      </c>
      <c r="X42" s="29" t="s">
        <v>119</v>
      </c>
      <c r="Y42" s="29" t="s">
        <v>119</v>
      </c>
      <c r="Z42" s="29" t="s">
        <v>119</v>
      </c>
      <c r="AA42" s="29" t="s">
        <v>119</v>
      </c>
      <c r="AB42" s="29" t="s">
        <v>119</v>
      </c>
      <c r="AC42" s="29" t="s">
        <v>119</v>
      </c>
      <c r="AD42" s="29" t="s">
        <v>119</v>
      </c>
      <c r="AE42" s="29" t="s">
        <v>119</v>
      </c>
      <c r="AF42" s="29" t="s">
        <v>119</v>
      </c>
      <c r="AG42" s="29" t="s">
        <v>119</v>
      </c>
      <c r="AH42" s="29" t="s">
        <v>119</v>
      </c>
      <c r="AI42" s="29" t="s">
        <v>119</v>
      </c>
      <c r="AJ42" s="29" t="s">
        <v>119</v>
      </c>
      <c r="AK42" s="29" t="s">
        <v>119</v>
      </c>
      <c r="AL42" s="29" t="s">
        <v>119</v>
      </c>
      <c r="AM42" s="29" t="s">
        <v>119</v>
      </c>
      <c r="AN42" s="29" t="s">
        <v>119</v>
      </c>
      <c r="AO42" s="29" t="s">
        <v>119</v>
      </c>
      <c r="AP42" s="29" t="s">
        <v>119</v>
      </c>
      <c r="AQ42" s="29" t="s">
        <v>119</v>
      </c>
      <c r="AR42" s="29" t="s">
        <v>119</v>
      </c>
      <c r="AS42" s="29" t="s">
        <v>119</v>
      </c>
      <c r="AT42" s="29" t="s">
        <v>119</v>
      </c>
      <c r="AU42" s="29" t="s">
        <v>119</v>
      </c>
      <c r="AV42" s="29" t="s">
        <v>119</v>
      </c>
      <c r="AW42" s="29" t="s">
        <v>119</v>
      </c>
      <c r="AX42" s="29" t="s">
        <v>119</v>
      </c>
      <c r="AY42" s="29" t="s">
        <v>119</v>
      </c>
      <c r="AZ42" s="29" t="s">
        <v>119</v>
      </c>
      <c r="BA42" s="29" t="s">
        <v>119</v>
      </c>
      <c r="BB42" s="29" t="s">
        <v>119</v>
      </c>
      <c r="BC42" s="29" t="s">
        <v>119</v>
      </c>
      <c r="BD42" s="29" t="s">
        <v>119</v>
      </c>
      <c r="BE42" s="29" t="s">
        <v>119</v>
      </c>
      <c r="BF42" s="29" t="s">
        <v>119</v>
      </c>
      <c r="BG42" s="29" t="s">
        <v>119</v>
      </c>
      <c r="BH42" s="29" t="s">
        <v>119</v>
      </c>
      <c r="BI42" s="29" t="s">
        <v>119</v>
      </c>
      <c r="BJ42" s="29" t="s">
        <v>119</v>
      </c>
      <c r="BK42" s="29" t="s">
        <v>119</v>
      </c>
    </row>
    <row r="43">
      <c r="B43" s="84"/>
      <c r="E43" s="84"/>
      <c r="F43" s="29" t="s">
        <v>120</v>
      </c>
      <c r="G43" s="29" t="s">
        <v>120</v>
      </c>
      <c r="H43" s="29" t="s">
        <v>120</v>
      </c>
      <c r="I43" s="29" t="s">
        <v>120</v>
      </c>
      <c r="J43" s="29" t="s">
        <v>120</v>
      </c>
      <c r="K43" s="29" t="s">
        <v>120</v>
      </c>
      <c r="L43" s="29" t="s">
        <v>120</v>
      </c>
      <c r="M43" s="29" t="s">
        <v>120</v>
      </c>
      <c r="N43" s="29" t="s">
        <v>120</v>
      </c>
      <c r="O43" s="29" t="s">
        <v>120</v>
      </c>
      <c r="P43" s="29" t="s">
        <v>120</v>
      </c>
      <c r="Q43" s="29" t="s">
        <v>120</v>
      </c>
      <c r="R43" s="29" t="s">
        <v>120</v>
      </c>
      <c r="S43" s="29" t="s">
        <v>120</v>
      </c>
      <c r="T43" s="29" t="s">
        <v>120</v>
      </c>
      <c r="U43" s="29" t="s">
        <v>120</v>
      </c>
      <c r="V43" s="29" t="s">
        <v>120</v>
      </c>
      <c r="W43" s="29" t="s">
        <v>120</v>
      </c>
      <c r="X43" s="29" t="s">
        <v>120</v>
      </c>
      <c r="Y43" s="29" t="s">
        <v>120</v>
      </c>
      <c r="Z43" s="29" t="s">
        <v>120</v>
      </c>
      <c r="AA43" s="29" t="s">
        <v>120</v>
      </c>
      <c r="AB43" s="29" t="s">
        <v>120</v>
      </c>
      <c r="AC43" s="29" t="s">
        <v>120</v>
      </c>
      <c r="AD43" s="29" t="s">
        <v>120</v>
      </c>
      <c r="AE43" s="29" t="s">
        <v>120</v>
      </c>
      <c r="AF43" s="29" t="s">
        <v>120</v>
      </c>
      <c r="AG43" s="29" t="s">
        <v>120</v>
      </c>
      <c r="AH43" s="29" t="s">
        <v>120</v>
      </c>
      <c r="AI43" s="29" t="s">
        <v>120</v>
      </c>
      <c r="AJ43" s="29" t="s">
        <v>120</v>
      </c>
      <c r="AK43" s="29" t="s">
        <v>120</v>
      </c>
      <c r="AL43" s="29" t="s">
        <v>120</v>
      </c>
      <c r="AM43" s="29" t="s">
        <v>120</v>
      </c>
      <c r="AN43" s="29" t="s">
        <v>120</v>
      </c>
      <c r="AO43" s="29" t="s">
        <v>120</v>
      </c>
      <c r="AP43" s="29" t="s">
        <v>120</v>
      </c>
      <c r="AQ43" s="29" t="s">
        <v>120</v>
      </c>
      <c r="AR43" s="29" t="s">
        <v>120</v>
      </c>
      <c r="AS43" s="29" t="s">
        <v>120</v>
      </c>
      <c r="AT43" s="29" t="s">
        <v>120</v>
      </c>
      <c r="AU43" s="29" t="s">
        <v>120</v>
      </c>
      <c r="AV43" s="29" t="s">
        <v>120</v>
      </c>
      <c r="AW43" s="29" t="s">
        <v>120</v>
      </c>
      <c r="AX43" s="29" t="s">
        <v>120</v>
      </c>
      <c r="AY43" s="29" t="s">
        <v>120</v>
      </c>
      <c r="AZ43" s="29" t="s">
        <v>120</v>
      </c>
      <c r="BA43" s="29" t="s">
        <v>120</v>
      </c>
      <c r="BB43" s="29" t="s">
        <v>120</v>
      </c>
      <c r="BC43" s="29" t="s">
        <v>120</v>
      </c>
      <c r="BD43" s="29" t="s">
        <v>120</v>
      </c>
      <c r="BE43" s="29" t="s">
        <v>120</v>
      </c>
      <c r="BF43" s="29" t="s">
        <v>120</v>
      </c>
      <c r="BG43" s="29" t="s">
        <v>120</v>
      </c>
      <c r="BH43" s="29" t="s">
        <v>120</v>
      </c>
      <c r="BI43" s="29" t="s">
        <v>120</v>
      </c>
      <c r="BJ43" s="29" t="s">
        <v>120</v>
      </c>
      <c r="BK43" s="29" t="s">
        <v>120</v>
      </c>
    </row>
    <row r="44">
      <c r="B44" s="84"/>
      <c r="E44" s="84"/>
    </row>
    <row r="45">
      <c r="B45" s="84"/>
      <c r="E45" s="84"/>
      <c r="G45" s="29" t="s">
        <v>121</v>
      </c>
      <c r="H45" s="29" t="s">
        <v>121</v>
      </c>
      <c r="I45" s="29" t="s">
        <v>121</v>
      </c>
      <c r="J45" s="29" t="s">
        <v>121</v>
      </c>
      <c r="K45" s="29" t="s">
        <v>121</v>
      </c>
      <c r="L45" s="29" t="s">
        <v>121</v>
      </c>
      <c r="M45" s="29" t="s">
        <v>121</v>
      </c>
      <c r="N45" s="29" t="s">
        <v>121</v>
      </c>
      <c r="O45" s="29" t="s">
        <v>121</v>
      </c>
      <c r="P45" s="29" t="s">
        <v>121</v>
      </c>
      <c r="Q45" s="29" t="s">
        <v>121</v>
      </c>
      <c r="R45" s="29" t="s">
        <v>121</v>
      </c>
      <c r="S45" s="29" t="s">
        <v>121</v>
      </c>
      <c r="T45" s="29" t="s">
        <v>121</v>
      </c>
      <c r="U45" s="29" t="s">
        <v>121</v>
      </c>
      <c r="V45" s="29" t="s">
        <v>121</v>
      </c>
      <c r="W45" s="29" t="s">
        <v>121</v>
      </c>
      <c r="X45" s="29" t="s">
        <v>121</v>
      </c>
      <c r="Z45" s="29" t="s">
        <v>121</v>
      </c>
      <c r="AA45" s="29" t="s">
        <v>121</v>
      </c>
      <c r="AB45" s="29" t="s">
        <v>121</v>
      </c>
      <c r="AC45" s="29" t="s">
        <v>121</v>
      </c>
      <c r="AD45" s="29" t="s">
        <v>121</v>
      </c>
      <c r="AE45" s="29" t="s">
        <v>121</v>
      </c>
      <c r="AF45" s="29" t="s">
        <v>121</v>
      </c>
      <c r="AG45" s="29" t="s">
        <v>121</v>
      </c>
      <c r="AH45" s="29" t="s">
        <v>121</v>
      </c>
      <c r="AM45" s="29" t="s">
        <v>121</v>
      </c>
      <c r="AN45" s="29" t="s">
        <v>121</v>
      </c>
      <c r="AO45" s="29" t="s">
        <v>121</v>
      </c>
      <c r="AP45" s="29" t="s">
        <v>121</v>
      </c>
      <c r="AQ45" s="29" t="s">
        <v>121</v>
      </c>
      <c r="AR45" s="29" t="s">
        <v>121</v>
      </c>
      <c r="AS45" s="29" t="s">
        <v>121</v>
      </c>
      <c r="AT45" s="29" t="s">
        <v>121</v>
      </c>
      <c r="AU45" s="29" t="s">
        <v>121</v>
      </c>
      <c r="AV45" s="29" t="s">
        <v>121</v>
      </c>
      <c r="AW45" s="29" t="s">
        <v>121</v>
      </c>
      <c r="AX45" s="29" t="s">
        <v>121</v>
      </c>
      <c r="AY45" s="29" t="s">
        <v>121</v>
      </c>
      <c r="AZ45" s="29" t="s">
        <v>121</v>
      </c>
      <c r="BA45" s="29" t="s">
        <v>121</v>
      </c>
      <c r="BB45" s="29" t="s">
        <v>121</v>
      </c>
      <c r="BC45" s="29" t="s">
        <v>121</v>
      </c>
    </row>
    <row r="46">
      <c r="B46" s="84"/>
      <c r="E46" s="84"/>
    </row>
    <row r="47">
      <c r="B47" s="84"/>
      <c r="E47" s="84"/>
    </row>
    <row r="48">
      <c r="B48" s="84"/>
      <c r="E48" s="84"/>
    </row>
    <row r="49">
      <c r="B49" s="84"/>
      <c r="E49" s="84"/>
    </row>
    <row r="50">
      <c r="B50" s="84"/>
      <c r="E50" s="84"/>
    </row>
    <row r="51">
      <c r="B51" s="84"/>
      <c r="E51" s="84"/>
    </row>
    <row r="52">
      <c r="B52" s="84"/>
      <c r="E52" s="84"/>
    </row>
    <row r="53">
      <c r="B53" s="84"/>
      <c r="E53" s="84"/>
    </row>
    <row r="54">
      <c r="B54" s="84"/>
      <c r="E54" s="84"/>
    </row>
    <row r="55">
      <c r="B55" s="84"/>
      <c r="E55" s="84"/>
    </row>
    <row r="56">
      <c r="B56" s="84"/>
      <c r="E56" s="84"/>
    </row>
    <row r="57">
      <c r="B57" s="84"/>
      <c r="E57" s="84"/>
    </row>
    <row r="58">
      <c r="B58" s="84"/>
      <c r="E58" s="84"/>
    </row>
    <row r="59">
      <c r="B59" s="84"/>
      <c r="E59" s="84"/>
    </row>
    <row r="60">
      <c r="B60" s="84"/>
      <c r="E60" s="84"/>
    </row>
    <row r="61">
      <c r="B61" s="84"/>
      <c r="E61" s="84"/>
    </row>
    <row r="62">
      <c r="B62" s="84"/>
      <c r="E62" s="84"/>
    </row>
    <row r="63">
      <c r="B63" s="84"/>
      <c r="E63" s="84"/>
    </row>
    <row r="64">
      <c r="B64" s="84"/>
      <c r="E64" s="84"/>
    </row>
    <row r="65">
      <c r="B65" s="84"/>
      <c r="E65" s="84"/>
    </row>
    <row r="66">
      <c r="B66" s="84"/>
      <c r="E66" s="84"/>
    </row>
    <row r="67">
      <c r="B67" s="84"/>
      <c r="E67" s="84"/>
    </row>
    <row r="68">
      <c r="B68" s="84"/>
      <c r="E68" s="84"/>
    </row>
    <row r="69">
      <c r="B69" s="84"/>
      <c r="E69" s="84"/>
    </row>
    <row r="70">
      <c r="B70" s="84"/>
      <c r="E70" s="84"/>
    </row>
    <row r="71">
      <c r="B71" s="84"/>
      <c r="E71" s="84"/>
    </row>
    <row r="72">
      <c r="B72" s="84"/>
      <c r="E72" s="84"/>
    </row>
    <row r="73">
      <c r="B73" s="84"/>
      <c r="E73" s="84"/>
    </row>
    <row r="74">
      <c r="B74" s="84"/>
      <c r="E74" s="84"/>
    </row>
    <row r="75">
      <c r="B75" s="84"/>
      <c r="E75" s="84"/>
    </row>
    <row r="76">
      <c r="B76" s="84"/>
      <c r="E76" s="84"/>
    </row>
    <row r="77">
      <c r="B77" s="84"/>
      <c r="E77" s="84"/>
    </row>
    <row r="78">
      <c r="B78" s="84"/>
      <c r="E78" s="84"/>
    </row>
    <row r="79">
      <c r="B79" s="84"/>
      <c r="E79" s="84"/>
    </row>
    <row r="80">
      <c r="B80" s="84"/>
      <c r="E80" s="84"/>
    </row>
    <row r="81">
      <c r="B81" s="84"/>
      <c r="E81" s="84"/>
    </row>
    <row r="82">
      <c r="B82" s="84"/>
      <c r="E82" s="84"/>
    </row>
    <row r="83">
      <c r="B83" s="84"/>
      <c r="E83" s="84"/>
    </row>
    <row r="84">
      <c r="B84" s="84"/>
      <c r="E84" s="84"/>
    </row>
    <row r="85">
      <c r="B85" s="84"/>
      <c r="E85" s="84"/>
    </row>
    <row r="86">
      <c r="B86" s="84"/>
      <c r="E86" s="84"/>
    </row>
    <row r="87">
      <c r="B87" s="84"/>
      <c r="E87" s="84"/>
    </row>
    <row r="88">
      <c r="B88" s="84"/>
      <c r="E88" s="84"/>
    </row>
    <row r="89">
      <c r="B89" s="84"/>
      <c r="E89" s="84"/>
    </row>
    <row r="90">
      <c r="B90" s="84"/>
      <c r="E90" s="84"/>
    </row>
    <row r="91">
      <c r="B91" s="84"/>
      <c r="E91" s="84"/>
    </row>
    <row r="92">
      <c r="B92" s="84"/>
      <c r="E92" s="84"/>
    </row>
    <row r="93">
      <c r="B93" s="84"/>
      <c r="E93" s="84"/>
    </row>
    <row r="94">
      <c r="B94" s="84"/>
      <c r="E94" s="84"/>
    </row>
    <row r="95">
      <c r="B95" s="84"/>
      <c r="E95" s="84"/>
    </row>
    <row r="96">
      <c r="B96" s="84"/>
      <c r="E96" s="84"/>
    </row>
    <row r="97">
      <c r="B97" s="84"/>
      <c r="E97" s="84"/>
    </row>
    <row r="98">
      <c r="B98" s="84"/>
      <c r="E98" s="84"/>
    </row>
    <row r="99">
      <c r="B99" s="84"/>
      <c r="E99" s="84"/>
    </row>
    <row r="100">
      <c r="B100" s="84"/>
      <c r="E100" s="84"/>
    </row>
    <row r="101">
      <c r="B101" s="84"/>
      <c r="E101" s="84"/>
    </row>
    <row r="102">
      <c r="B102" s="84"/>
      <c r="E102" s="84"/>
    </row>
    <row r="103">
      <c r="B103" s="84"/>
      <c r="E103" s="84"/>
    </row>
    <row r="104">
      <c r="B104" s="84"/>
      <c r="E104" s="84"/>
    </row>
    <row r="105">
      <c r="B105" s="84"/>
      <c r="E105" s="84"/>
    </row>
    <row r="106">
      <c r="B106" s="84"/>
      <c r="E106" s="84"/>
    </row>
    <row r="107">
      <c r="B107" s="84"/>
      <c r="E107" s="84"/>
    </row>
    <row r="108">
      <c r="B108" s="84"/>
      <c r="E108" s="84"/>
    </row>
    <row r="109">
      <c r="B109" s="84"/>
      <c r="E109" s="84"/>
    </row>
    <row r="110">
      <c r="B110" s="84"/>
      <c r="E110" s="84"/>
    </row>
    <row r="111">
      <c r="B111" s="84"/>
      <c r="E111" s="84"/>
    </row>
    <row r="112">
      <c r="B112" s="84"/>
      <c r="E112" s="84"/>
    </row>
    <row r="113">
      <c r="B113" s="84"/>
      <c r="E113" s="84"/>
    </row>
    <row r="114">
      <c r="B114" s="84"/>
      <c r="E114" s="84"/>
    </row>
    <row r="115">
      <c r="B115" s="84"/>
      <c r="E115" s="84"/>
    </row>
    <row r="116">
      <c r="B116" s="84"/>
      <c r="E116" s="84"/>
    </row>
    <row r="117">
      <c r="B117" s="84"/>
      <c r="E117" s="84"/>
    </row>
    <row r="118">
      <c r="B118" s="84"/>
      <c r="E118" s="84"/>
    </row>
    <row r="119">
      <c r="B119" s="84"/>
      <c r="E119" s="84"/>
    </row>
    <row r="120">
      <c r="B120" s="84"/>
      <c r="E120" s="84"/>
    </row>
    <row r="121">
      <c r="B121" s="84"/>
      <c r="E121" s="84"/>
    </row>
    <row r="122">
      <c r="B122" s="84"/>
      <c r="E122" s="84"/>
    </row>
    <row r="123">
      <c r="B123" s="84"/>
      <c r="E123" s="84"/>
    </row>
    <row r="124">
      <c r="B124" s="84"/>
      <c r="E124" s="84"/>
    </row>
    <row r="125">
      <c r="B125" s="84"/>
      <c r="E125" s="84"/>
    </row>
    <row r="126">
      <c r="B126" s="84"/>
      <c r="E126" s="84"/>
    </row>
    <row r="127">
      <c r="B127" s="84"/>
      <c r="E127" s="84"/>
    </row>
    <row r="128">
      <c r="B128" s="84"/>
      <c r="E128" s="84"/>
    </row>
    <row r="129">
      <c r="B129" s="84"/>
      <c r="E129" s="84"/>
    </row>
    <row r="130">
      <c r="B130" s="84"/>
      <c r="E130" s="84"/>
    </row>
    <row r="131">
      <c r="B131" s="84"/>
      <c r="E131" s="84"/>
    </row>
    <row r="132">
      <c r="B132" s="84"/>
      <c r="E132" s="84"/>
    </row>
    <row r="133">
      <c r="B133" s="84"/>
      <c r="E133" s="84"/>
    </row>
    <row r="134">
      <c r="B134" s="84"/>
      <c r="E134" s="84"/>
    </row>
    <row r="135">
      <c r="B135" s="84"/>
      <c r="E135" s="84"/>
    </row>
    <row r="136">
      <c r="B136" s="84"/>
      <c r="E136" s="84"/>
    </row>
    <row r="137">
      <c r="B137" s="84"/>
      <c r="E137" s="84"/>
    </row>
    <row r="138">
      <c r="B138" s="84"/>
      <c r="E138" s="84"/>
    </row>
    <row r="139">
      <c r="B139" s="84"/>
      <c r="E139" s="84"/>
    </row>
    <row r="140">
      <c r="B140" s="84"/>
      <c r="E140" s="84"/>
    </row>
    <row r="141">
      <c r="B141" s="84"/>
      <c r="E141" s="84"/>
    </row>
    <row r="142">
      <c r="B142" s="84"/>
      <c r="E142" s="84"/>
    </row>
    <row r="143">
      <c r="B143" s="84"/>
      <c r="E143" s="84"/>
    </row>
    <row r="144">
      <c r="B144" s="84"/>
      <c r="E144" s="84"/>
    </row>
    <row r="145">
      <c r="B145" s="84"/>
      <c r="E145" s="84"/>
    </row>
    <row r="146">
      <c r="B146" s="84"/>
      <c r="E146" s="84"/>
    </row>
    <row r="147">
      <c r="B147" s="84"/>
      <c r="E147" s="84"/>
    </row>
    <row r="148">
      <c r="B148" s="84"/>
      <c r="E148" s="84"/>
    </row>
    <row r="149">
      <c r="B149" s="84"/>
      <c r="E149" s="84"/>
    </row>
    <row r="150">
      <c r="B150" s="84"/>
      <c r="E150" s="84"/>
    </row>
    <row r="151">
      <c r="B151" s="84"/>
      <c r="E151" s="84"/>
    </row>
    <row r="152">
      <c r="B152" s="84"/>
      <c r="E152" s="84"/>
    </row>
    <row r="153">
      <c r="B153" s="84"/>
      <c r="E153" s="84"/>
    </row>
    <row r="154">
      <c r="B154" s="84"/>
      <c r="E154" s="84"/>
    </row>
    <row r="155">
      <c r="B155" s="84"/>
      <c r="E155" s="84"/>
    </row>
    <row r="156">
      <c r="B156" s="84"/>
      <c r="E156" s="84"/>
    </row>
    <row r="157">
      <c r="B157" s="84"/>
      <c r="E157" s="84"/>
    </row>
    <row r="158">
      <c r="B158" s="84"/>
      <c r="E158" s="84"/>
    </row>
    <row r="159">
      <c r="B159" s="84"/>
      <c r="E159" s="84"/>
    </row>
    <row r="160">
      <c r="B160" s="84"/>
      <c r="E160" s="84"/>
    </row>
    <row r="161">
      <c r="B161" s="84"/>
      <c r="E161" s="84"/>
    </row>
    <row r="162">
      <c r="B162" s="84"/>
      <c r="E162" s="84"/>
    </row>
    <row r="163">
      <c r="B163" s="84"/>
      <c r="E163" s="84"/>
    </row>
    <row r="164">
      <c r="B164" s="84"/>
      <c r="E164" s="84"/>
    </row>
    <row r="165">
      <c r="B165" s="84"/>
      <c r="E165" s="84"/>
    </row>
    <row r="166">
      <c r="B166" s="84"/>
      <c r="E166" s="84"/>
    </row>
    <row r="167">
      <c r="B167" s="84"/>
      <c r="E167" s="84"/>
    </row>
    <row r="168">
      <c r="B168" s="84"/>
      <c r="E168" s="84"/>
    </row>
    <row r="169">
      <c r="B169" s="84"/>
      <c r="E169" s="84"/>
    </row>
    <row r="170">
      <c r="B170" s="84"/>
      <c r="E170" s="84"/>
    </row>
    <row r="171">
      <c r="B171" s="84"/>
      <c r="E171" s="84"/>
    </row>
    <row r="172">
      <c r="B172" s="84"/>
      <c r="E172" s="84"/>
    </row>
    <row r="173">
      <c r="B173" s="84"/>
      <c r="E173" s="84"/>
    </row>
    <row r="174">
      <c r="B174" s="84"/>
      <c r="E174" s="84"/>
    </row>
    <row r="175">
      <c r="B175" s="84"/>
      <c r="E175" s="84"/>
    </row>
    <row r="176">
      <c r="B176" s="84"/>
      <c r="E176" s="84"/>
    </row>
    <row r="177">
      <c r="B177" s="84"/>
      <c r="E177" s="84"/>
    </row>
    <row r="178">
      <c r="B178" s="84"/>
      <c r="E178" s="84"/>
    </row>
    <row r="179">
      <c r="B179" s="84"/>
      <c r="E179" s="84"/>
    </row>
    <row r="180">
      <c r="B180" s="84"/>
      <c r="E180" s="84"/>
    </row>
    <row r="181">
      <c r="B181" s="84"/>
      <c r="E181" s="84"/>
    </row>
    <row r="182">
      <c r="B182" s="84"/>
      <c r="E182" s="84"/>
    </row>
    <row r="183">
      <c r="B183" s="84"/>
      <c r="E183" s="84"/>
    </row>
    <row r="184">
      <c r="B184" s="84"/>
      <c r="E184" s="84"/>
    </row>
    <row r="185">
      <c r="B185" s="84"/>
      <c r="E185" s="84"/>
    </row>
    <row r="186">
      <c r="B186" s="84"/>
      <c r="E186" s="84"/>
    </row>
    <row r="187">
      <c r="B187" s="84"/>
      <c r="E187" s="84"/>
    </row>
    <row r="188">
      <c r="B188" s="84"/>
      <c r="E188" s="84"/>
    </row>
    <row r="189">
      <c r="B189" s="84"/>
      <c r="E189" s="84"/>
    </row>
    <row r="190">
      <c r="B190" s="84"/>
      <c r="E190" s="84"/>
    </row>
    <row r="191">
      <c r="B191" s="84"/>
      <c r="E191" s="84"/>
    </row>
    <row r="192">
      <c r="B192" s="84"/>
      <c r="E192" s="84"/>
    </row>
    <row r="193">
      <c r="B193" s="84"/>
      <c r="E193" s="84"/>
    </row>
    <row r="194">
      <c r="B194" s="84"/>
      <c r="E194" s="84"/>
    </row>
    <row r="195">
      <c r="B195" s="84"/>
      <c r="E195" s="84"/>
    </row>
    <row r="196">
      <c r="B196" s="84"/>
      <c r="E196" s="84"/>
    </row>
    <row r="197">
      <c r="B197" s="84"/>
      <c r="E197" s="84"/>
    </row>
    <row r="198">
      <c r="B198" s="84"/>
      <c r="E198" s="84"/>
    </row>
    <row r="199">
      <c r="B199" s="84"/>
      <c r="E199" s="84"/>
    </row>
    <row r="200">
      <c r="B200" s="84"/>
      <c r="E200" s="84"/>
    </row>
    <row r="201">
      <c r="B201" s="84"/>
      <c r="E201" s="84"/>
    </row>
    <row r="202">
      <c r="B202" s="84"/>
      <c r="E202" s="84"/>
    </row>
    <row r="203">
      <c r="B203" s="84"/>
      <c r="E203" s="84"/>
    </row>
    <row r="204">
      <c r="B204" s="84"/>
      <c r="E204" s="84"/>
    </row>
    <row r="205">
      <c r="B205" s="84"/>
      <c r="E205" s="84"/>
    </row>
    <row r="206">
      <c r="B206" s="84"/>
      <c r="E206" s="84"/>
    </row>
    <row r="207">
      <c r="B207" s="84"/>
      <c r="E207" s="84"/>
    </row>
    <row r="208">
      <c r="B208" s="84"/>
      <c r="E208" s="84"/>
    </row>
    <row r="209">
      <c r="B209" s="84"/>
      <c r="E209" s="84"/>
    </row>
    <row r="210">
      <c r="B210" s="84"/>
      <c r="E210" s="84"/>
    </row>
    <row r="211">
      <c r="B211" s="84"/>
      <c r="E211" s="84"/>
    </row>
    <row r="212">
      <c r="B212" s="84"/>
      <c r="E212" s="84"/>
    </row>
    <row r="213">
      <c r="B213" s="84"/>
      <c r="E213" s="84"/>
    </row>
    <row r="214">
      <c r="B214" s="84"/>
      <c r="E214" s="84"/>
    </row>
    <row r="215">
      <c r="B215" s="84"/>
      <c r="E215" s="84"/>
    </row>
    <row r="216">
      <c r="B216" s="84"/>
      <c r="E216" s="84"/>
    </row>
    <row r="217">
      <c r="B217" s="84"/>
      <c r="E217" s="84"/>
    </row>
    <row r="218">
      <c r="B218" s="84"/>
      <c r="E218" s="84"/>
    </row>
    <row r="219">
      <c r="B219" s="84"/>
      <c r="E219" s="84"/>
    </row>
    <row r="220">
      <c r="B220" s="84"/>
      <c r="E220" s="84"/>
    </row>
    <row r="221">
      <c r="B221" s="84"/>
      <c r="E221" s="84"/>
    </row>
    <row r="222">
      <c r="B222" s="84"/>
      <c r="E222" s="84"/>
    </row>
    <row r="223">
      <c r="B223" s="84"/>
      <c r="E223" s="84"/>
    </row>
    <row r="224">
      <c r="B224" s="84"/>
      <c r="E224" s="84"/>
    </row>
    <row r="225">
      <c r="B225" s="84"/>
      <c r="E225" s="84"/>
    </row>
    <row r="226">
      <c r="B226" s="84"/>
      <c r="E226" s="84"/>
    </row>
    <row r="227">
      <c r="B227" s="84"/>
      <c r="E227" s="84"/>
    </row>
    <row r="228">
      <c r="B228" s="84"/>
      <c r="E228" s="84"/>
    </row>
    <row r="229">
      <c r="B229" s="84"/>
      <c r="E229" s="84"/>
    </row>
    <row r="230">
      <c r="B230" s="84"/>
      <c r="E230" s="84"/>
    </row>
    <row r="231">
      <c r="B231" s="84"/>
      <c r="E231" s="84"/>
    </row>
    <row r="232">
      <c r="B232" s="84"/>
      <c r="E232" s="84"/>
    </row>
    <row r="233">
      <c r="B233" s="84"/>
      <c r="E233" s="84"/>
    </row>
    <row r="234">
      <c r="B234" s="84"/>
      <c r="E234" s="84"/>
    </row>
    <row r="235">
      <c r="B235" s="84"/>
      <c r="E235" s="84"/>
    </row>
    <row r="236">
      <c r="B236" s="84"/>
      <c r="E236" s="84"/>
    </row>
    <row r="237">
      <c r="B237" s="84"/>
      <c r="E237" s="84"/>
    </row>
    <row r="238">
      <c r="B238" s="84"/>
      <c r="E238" s="84"/>
    </row>
    <row r="239">
      <c r="B239" s="84"/>
      <c r="E239" s="84"/>
    </row>
    <row r="240">
      <c r="B240" s="84"/>
      <c r="E240" s="84"/>
    </row>
    <row r="241">
      <c r="B241" s="84"/>
      <c r="E241" s="84"/>
    </row>
    <row r="242">
      <c r="B242" s="84"/>
      <c r="E242" s="84"/>
    </row>
    <row r="243">
      <c r="B243" s="84"/>
      <c r="E243" s="84"/>
    </row>
    <row r="244">
      <c r="B244" s="84"/>
      <c r="E244" s="84"/>
    </row>
    <row r="245">
      <c r="B245" s="84"/>
      <c r="E245" s="84"/>
    </row>
    <row r="246">
      <c r="B246" s="84"/>
      <c r="E246" s="84"/>
    </row>
    <row r="247">
      <c r="B247" s="84"/>
      <c r="E247" s="84"/>
    </row>
    <row r="248">
      <c r="B248" s="84"/>
      <c r="E248" s="84"/>
    </row>
    <row r="249">
      <c r="B249" s="84"/>
      <c r="E249" s="84"/>
    </row>
    <row r="250">
      <c r="B250" s="84"/>
      <c r="E250" s="84"/>
    </row>
    <row r="251">
      <c r="B251" s="84"/>
      <c r="E251" s="84"/>
    </row>
    <row r="252">
      <c r="B252" s="84"/>
      <c r="E252" s="84"/>
    </row>
    <row r="253">
      <c r="B253" s="84"/>
      <c r="E253" s="84"/>
    </row>
    <row r="254">
      <c r="B254" s="84"/>
      <c r="E254" s="84"/>
    </row>
    <row r="255">
      <c r="B255" s="84"/>
      <c r="E255" s="84"/>
    </row>
    <row r="256">
      <c r="B256" s="84"/>
      <c r="E256" s="84"/>
    </row>
    <row r="257">
      <c r="B257" s="84"/>
      <c r="E257" s="84"/>
    </row>
    <row r="258">
      <c r="B258" s="84"/>
      <c r="E258" s="84"/>
    </row>
    <row r="259">
      <c r="B259" s="84"/>
      <c r="E259" s="84"/>
    </row>
    <row r="260">
      <c r="B260" s="84"/>
      <c r="E260" s="84"/>
    </row>
    <row r="261">
      <c r="B261" s="84"/>
      <c r="E261" s="84"/>
    </row>
    <row r="262">
      <c r="B262" s="84"/>
      <c r="E262" s="84"/>
    </row>
    <row r="263">
      <c r="B263" s="84"/>
      <c r="E263" s="84"/>
    </row>
    <row r="264">
      <c r="B264" s="84"/>
      <c r="E264" s="84"/>
    </row>
    <row r="265">
      <c r="B265" s="84"/>
      <c r="E265" s="84"/>
    </row>
    <row r="266">
      <c r="B266" s="84"/>
      <c r="E266" s="84"/>
    </row>
    <row r="267">
      <c r="B267" s="84"/>
      <c r="E267" s="84"/>
    </row>
    <row r="268">
      <c r="B268" s="84"/>
      <c r="E268" s="84"/>
    </row>
    <row r="269">
      <c r="B269" s="84"/>
      <c r="E269" s="84"/>
    </row>
    <row r="270">
      <c r="B270" s="84"/>
      <c r="E270" s="84"/>
    </row>
    <row r="271">
      <c r="B271" s="84"/>
      <c r="E271" s="84"/>
    </row>
    <row r="272">
      <c r="B272" s="84"/>
      <c r="E272" s="84"/>
    </row>
    <row r="273">
      <c r="B273" s="84"/>
      <c r="E273" s="84"/>
    </row>
    <row r="274">
      <c r="B274" s="84"/>
      <c r="E274" s="84"/>
    </row>
    <row r="275">
      <c r="B275" s="84"/>
      <c r="E275" s="84"/>
    </row>
    <row r="276">
      <c r="B276" s="84"/>
      <c r="E276" s="84"/>
    </row>
    <row r="277">
      <c r="B277" s="84"/>
      <c r="E277" s="84"/>
    </row>
    <row r="278">
      <c r="B278" s="84"/>
      <c r="E278" s="84"/>
    </row>
    <row r="279">
      <c r="B279" s="84"/>
      <c r="E279" s="84"/>
    </row>
    <row r="280">
      <c r="B280" s="84"/>
      <c r="E280" s="84"/>
    </row>
    <row r="281">
      <c r="B281" s="84"/>
      <c r="E281" s="84"/>
    </row>
    <row r="282">
      <c r="B282" s="84"/>
      <c r="E282" s="84"/>
    </row>
    <row r="283">
      <c r="B283" s="84"/>
      <c r="E283" s="84"/>
    </row>
    <row r="284">
      <c r="B284" s="84"/>
      <c r="E284" s="84"/>
    </row>
    <row r="285">
      <c r="B285" s="84"/>
      <c r="E285" s="84"/>
    </row>
    <row r="286">
      <c r="B286" s="84"/>
      <c r="E286" s="84"/>
    </row>
    <row r="287">
      <c r="B287" s="84"/>
      <c r="E287" s="84"/>
    </row>
    <row r="288">
      <c r="B288" s="84"/>
      <c r="E288" s="84"/>
    </row>
    <row r="289">
      <c r="B289" s="84"/>
      <c r="E289" s="84"/>
    </row>
    <row r="290">
      <c r="B290" s="84"/>
      <c r="E290" s="84"/>
    </row>
    <row r="291">
      <c r="B291" s="84"/>
      <c r="E291" s="84"/>
    </row>
    <row r="292">
      <c r="B292" s="84"/>
      <c r="E292" s="84"/>
    </row>
    <row r="293">
      <c r="B293" s="84"/>
      <c r="E293" s="84"/>
    </row>
    <row r="294">
      <c r="B294" s="84"/>
      <c r="E294" s="84"/>
    </row>
    <row r="295">
      <c r="B295" s="84"/>
      <c r="E295" s="84"/>
    </row>
    <row r="296">
      <c r="B296" s="84"/>
      <c r="E296" s="84"/>
    </row>
    <row r="297">
      <c r="B297" s="84"/>
      <c r="E297" s="84"/>
    </row>
    <row r="298">
      <c r="B298" s="84"/>
      <c r="E298" s="84"/>
    </row>
    <row r="299">
      <c r="B299" s="84"/>
      <c r="E299" s="84"/>
    </row>
    <row r="300">
      <c r="B300" s="84"/>
      <c r="E300" s="84"/>
    </row>
    <row r="301">
      <c r="B301" s="84"/>
      <c r="E301" s="84"/>
    </row>
    <row r="302">
      <c r="B302" s="84"/>
      <c r="E302" s="84"/>
    </row>
    <row r="303">
      <c r="B303" s="84"/>
      <c r="E303" s="84"/>
    </row>
    <row r="304">
      <c r="B304" s="84"/>
      <c r="E304" s="84"/>
    </row>
    <row r="305">
      <c r="B305" s="84"/>
      <c r="E305" s="84"/>
    </row>
    <row r="306">
      <c r="B306" s="84"/>
      <c r="E306" s="84"/>
    </row>
    <row r="307">
      <c r="B307" s="84"/>
      <c r="E307" s="84"/>
    </row>
    <row r="308">
      <c r="B308" s="84"/>
      <c r="E308" s="84"/>
    </row>
    <row r="309">
      <c r="B309" s="84"/>
      <c r="E309" s="84"/>
    </row>
    <row r="310">
      <c r="B310" s="84"/>
      <c r="E310" s="84"/>
    </row>
    <row r="311">
      <c r="B311" s="84"/>
      <c r="E311" s="84"/>
    </row>
    <row r="312">
      <c r="B312" s="84"/>
      <c r="E312" s="84"/>
    </row>
    <row r="313">
      <c r="B313" s="84"/>
      <c r="E313" s="84"/>
    </row>
    <row r="314">
      <c r="B314" s="84"/>
      <c r="E314" s="84"/>
    </row>
    <row r="315">
      <c r="B315" s="84"/>
      <c r="E315" s="84"/>
    </row>
    <row r="316">
      <c r="B316" s="84"/>
      <c r="E316" s="84"/>
    </row>
    <row r="317">
      <c r="B317" s="84"/>
      <c r="E317" s="84"/>
    </row>
    <row r="318">
      <c r="B318" s="84"/>
      <c r="E318" s="84"/>
    </row>
    <row r="319">
      <c r="B319" s="84"/>
      <c r="E319" s="84"/>
    </row>
    <row r="320">
      <c r="B320" s="84"/>
      <c r="E320" s="84"/>
    </row>
    <row r="321">
      <c r="B321" s="84"/>
      <c r="E321" s="84"/>
    </row>
    <row r="322">
      <c r="B322" s="84"/>
      <c r="E322" s="84"/>
    </row>
    <row r="323">
      <c r="B323" s="84"/>
      <c r="E323" s="84"/>
    </row>
    <row r="324">
      <c r="B324" s="84"/>
      <c r="E324" s="84"/>
    </row>
    <row r="325">
      <c r="B325" s="84"/>
      <c r="E325" s="84"/>
    </row>
    <row r="326">
      <c r="B326" s="84"/>
      <c r="E326" s="84"/>
    </row>
    <row r="327">
      <c r="B327" s="84"/>
      <c r="E327" s="84"/>
    </row>
    <row r="328">
      <c r="B328" s="84"/>
      <c r="E328" s="84"/>
    </row>
    <row r="329">
      <c r="B329" s="84"/>
      <c r="E329" s="84"/>
    </row>
    <row r="330">
      <c r="B330" s="84"/>
      <c r="E330" s="84"/>
    </row>
    <row r="331">
      <c r="B331" s="84"/>
      <c r="E331" s="84"/>
    </row>
    <row r="332">
      <c r="B332" s="84"/>
      <c r="E332" s="84"/>
    </row>
    <row r="333">
      <c r="B333" s="84"/>
      <c r="E333" s="84"/>
    </row>
    <row r="334">
      <c r="B334" s="84"/>
      <c r="E334" s="84"/>
    </row>
    <row r="335">
      <c r="B335" s="84"/>
      <c r="E335" s="84"/>
    </row>
    <row r="336">
      <c r="B336" s="84"/>
      <c r="E336" s="84"/>
    </row>
    <row r="337">
      <c r="B337" s="84"/>
      <c r="E337" s="84"/>
    </row>
    <row r="338">
      <c r="B338" s="84"/>
      <c r="E338" s="84"/>
    </row>
    <row r="339">
      <c r="B339" s="84"/>
      <c r="E339" s="84"/>
    </row>
    <row r="340">
      <c r="B340" s="84"/>
      <c r="E340" s="84"/>
    </row>
    <row r="341">
      <c r="B341" s="84"/>
      <c r="E341" s="84"/>
    </row>
    <row r="342">
      <c r="B342" s="84"/>
      <c r="E342" s="84"/>
    </row>
    <row r="343">
      <c r="B343" s="84"/>
      <c r="E343" s="84"/>
    </row>
    <row r="344">
      <c r="B344" s="84"/>
      <c r="E344" s="84"/>
    </row>
    <row r="345">
      <c r="B345" s="84"/>
      <c r="E345" s="84"/>
    </row>
    <row r="346">
      <c r="B346" s="84"/>
      <c r="E346" s="84"/>
    </row>
    <row r="347">
      <c r="B347" s="84"/>
      <c r="E347" s="84"/>
    </row>
    <row r="348">
      <c r="B348" s="84"/>
      <c r="E348" s="84"/>
    </row>
    <row r="349">
      <c r="B349" s="84"/>
      <c r="E349" s="84"/>
    </row>
    <row r="350">
      <c r="B350" s="84"/>
      <c r="E350" s="84"/>
    </row>
    <row r="351">
      <c r="B351" s="84"/>
      <c r="E351" s="84"/>
    </row>
    <row r="352">
      <c r="B352" s="84"/>
      <c r="E352" s="84"/>
    </row>
    <row r="353">
      <c r="B353" s="84"/>
      <c r="E353" s="84"/>
    </row>
    <row r="354">
      <c r="B354" s="84"/>
      <c r="E354" s="84"/>
    </row>
    <row r="355">
      <c r="B355" s="84"/>
      <c r="E355" s="84"/>
    </row>
    <row r="356">
      <c r="B356" s="84"/>
      <c r="E356" s="84"/>
    </row>
    <row r="357">
      <c r="B357" s="84"/>
      <c r="E357" s="84"/>
    </row>
    <row r="358">
      <c r="B358" s="84"/>
      <c r="E358" s="84"/>
    </row>
    <row r="359">
      <c r="B359" s="84"/>
      <c r="E359" s="84"/>
    </row>
    <row r="360">
      <c r="B360" s="84"/>
      <c r="E360" s="84"/>
    </row>
    <row r="361">
      <c r="B361" s="84"/>
      <c r="E361" s="84"/>
    </row>
    <row r="362">
      <c r="B362" s="84"/>
      <c r="E362" s="84"/>
    </row>
    <row r="363">
      <c r="B363" s="84"/>
      <c r="E363" s="84"/>
    </row>
    <row r="364">
      <c r="B364" s="84"/>
      <c r="E364" s="84"/>
    </row>
    <row r="365">
      <c r="B365" s="84"/>
      <c r="E365" s="84"/>
    </row>
    <row r="366">
      <c r="B366" s="84"/>
      <c r="E366" s="84"/>
    </row>
    <row r="367">
      <c r="B367" s="84"/>
      <c r="E367" s="84"/>
    </row>
    <row r="368">
      <c r="B368" s="84"/>
      <c r="E368" s="84"/>
    </row>
    <row r="369">
      <c r="B369" s="84"/>
      <c r="E369" s="84"/>
    </row>
    <row r="370">
      <c r="B370" s="84"/>
      <c r="E370" s="84"/>
    </row>
    <row r="371">
      <c r="B371" s="84"/>
      <c r="E371" s="84"/>
    </row>
    <row r="372">
      <c r="B372" s="84"/>
      <c r="E372" s="84"/>
    </row>
    <row r="373">
      <c r="B373" s="84"/>
      <c r="E373" s="84"/>
    </row>
    <row r="374">
      <c r="B374" s="84"/>
      <c r="E374" s="84"/>
    </row>
    <row r="375">
      <c r="B375" s="84"/>
      <c r="E375" s="84"/>
    </row>
    <row r="376">
      <c r="B376" s="84"/>
      <c r="E376" s="84"/>
    </row>
    <row r="377">
      <c r="B377" s="84"/>
      <c r="E377" s="84"/>
    </row>
    <row r="378">
      <c r="B378" s="84"/>
      <c r="E378" s="84"/>
    </row>
    <row r="379">
      <c r="B379" s="84"/>
      <c r="E379" s="84"/>
    </row>
    <row r="380">
      <c r="B380" s="84"/>
      <c r="E380" s="84"/>
    </row>
    <row r="381">
      <c r="B381" s="84"/>
      <c r="E381" s="84"/>
    </row>
    <row r="382">
      <c r="B382" s="84"/>
      <c r="E382" s="84"/>
    </row>
    <row r="383">
      <c r="B383" s="84"/>
      <c r="E383" s="84"/>
    </row>
    <row r="384">
      <c r="B384" s="84"/>
      <c r="E384" s="84"/>
    </row>
    <row r="385">
      <c r="B385" s="84"/>
      <c r="E385" s="84"/>
    </row>
    <row r="386">
      <c r="B386" s="84"/>
      <c r="E386" s="84"/>
    </row>
    <row r="387">
      <c r="B387" s="84"/>
      <c r="E387" s="84"/>
    </row>
    <row r="388">
      <c r="B388" s="84"/>
      <c r="E388" s="84"/>
    </row>
    <row r="389">
      <c r="B389" s="84"/>
      <c r="E389" s="84"/>
    </row>
    <row r="390">
      <c r="B390" s="84"/>
      <c r="E390" s="84"/>
    </row>
    <row r="391">
      <c r="B391" s="84"/>
      <c r="E391" s="84"/>
    </row>
    <row r="392">
      <c r="B392" s="84"/>
      <c r="E392" s="84"/>
    </row>
    <row r="393">
      <c r="B393" s="84"/>
      <c r="E393" s="84"/>
    </row>
    <row r="394">
      <c r="B394" s="84"/>
      <c r="E394" s="84"/>
    </row>
    <row r="395">
      <c r="B395" s="84"/>
      <c r="E395" s="84"/>
    </row>
    <row r="396">
      <c r="B396" s="84"/>
      <c r="E396" s="84"/>
    </row>
    <row r="397">
      <c r="B397" s="84"/>
      <c r="E397" s="84"/>
    </row>
    <row r="398">
      <c r="B398" s="84"/>
      <c r="E398" s="84"/>
    </row>
    <row r="399">
      <c r="B399" s="84"/>
      <c r="E399" s="84"/>
    </row>
    <row r="400">
      <c r="B400" s="84"/>
      <c r="E400" s="84"/>
    </row>
    <row r="401">
      <c r="B401" s="84"/>
      <c r="E401" s="84"/>
    </row>
    <row r="402">
      <c r="B402" s="84"/>
      <c r="E402" s="84"/>
    </row>
    <row r="403">
      <c r="B403" s="84"/>
      <c r="E403" s="84"/>
    </row>
    <row r="404">
      <c r="B404" s="84"/>
      <c r="E404" s="84"/>
    </row>
    <row r="405">
      <c r="B405" s="84"/>
      <c r="E405" s="84"/>
    </row>
    <row r="406">
      <c r="B406" s="84"/>
      <c r="E406" s="84"/>
    </row>
    <row r="407">
      <c r="B407" s="84"/>
      <c r="E407" s="84"/>
    </row>
    <row r="408">
      <c r="B408" s="84"/>
      <c r="E408" s="84"/>
    </row>
    <row r="409">
      <c r="B409" s="84"/>
      <c r="E409" s="84"/>
    </row>
    <row r="410">
      <c r="B410" s="84"/>
      <c r="E410" s="84"/>
    </row>
    <row r="411">
      <c r="B411" s="84"/>
      <c r="E411" s="84"/>
    </row>
    <row r="412">
      <c r="B412" s="84"/>
      <c r="E412" s="84"/>
    </row>
    <row r="413">
      <c r="B413" s="84"/>
      <c r="E413" s="84"/>
    </row>
    <row r="414">
      <c r="B414" s="84"/>
      <c r="E414" s="84"/>
    </row>
    <row r="415">
      <c r="B415" s="84"/>
      <c r="E415" s="84"/>
    </row>
    <row r="416">
      <c r="B416" s="84"/>
      <c r="E416" s="84"/>
    </row>
    <row r="417">
      <c r="B417" s="84"/>
      <c r="E417" s="84"/>
    </row>
    <row r="418">
      <c r="B418" s="84"/>
      <c r="E418" s="84"/>
    </row>
    <row r="419">
      <c r="B419" s="84"/>
      <c r="E419" s="84"/>
    </row>
    <row r="420">
      <c r="B420" s="84"/>
      <c r="E420" s="84"/>
    </row>
    <row r="421">
      <c r="B421" s="84"/>
      <c r="E421" s="84"/>
    </row>
    <row r="422">
      <c r="B422" s="84"/>
      <c r="E422" s="84"/>
    </row>
    <row r="423">
      <c r="B423" s="84"/>
      <c r="E423" s="84"/>
    </row>
    <row r="424">
      <c r="B424" s="84"/>
      <c r="E424" s="84"/>
    </row>
    <row r="425">
      <c r="B425" s="84"/>
      <c r="E425" s="84"/>
    </row>
    <row r="426">
      <c r="B426" s="84"/>
      <c r="E426" s="84"/>
    </row>
    <row r="427">
      <c r="B427" s="84"/>
      <c r="E427" s="84"/>
    </row>
    <row r="428">
      <c r="B428" s="84"/>
      <c r="E428" s="84"/>
    </row>
    <row r="429">
      <c r="B429" s="84"/>
      <c r="E429" s="84"/>
    </row>
    <row r="430">
      <c r="B430" s="84"/>
      <c r="E430" s="84"/>
    </row>
    <row r="431">
      <c r="B431" s="84"/>
      <c r="E431" s="84"/>
    </row>
    <row r="432">
      <c r="B432" s="84"/>
      <c r="E432" s="84"/>
    </row>
    <row r="433">
      <c r="B433" s="84"/>
      <c r="E433" s="84"/>
    </row>
    <row r="434">
      <c r="B434" s="84"/>
      <c r="E434" s="84"/>
    </row>
    <row r="435">
      <c r="B435" s="84"/>
      <c r="E435" s="84"/>
    </row>
    <row r="436">
      <c r="B436" s="84"/>
      <c r="E436" s="84"/>
    </row>
    <row r="437">
      <c r="B437" s="84"/>
      <c r="E437" s="84"/>
    </row>
    <row r="438">
      <c r="B438" s="84"/>
      <c r="E438" s="84"/>
    </row>
    <row r="439">
      <c r="B439" s="84"/>
      <c r="E439" s="84"/>
    </row>
    <row r="440">
      <c r="B440" s="84"/>
      <c r="E440" s="84"/>
    </row>
    <row r="441">
      <c r="B441" s="84"/>
      <c r="E441" s="84"/>
    </row>
    <row r="442">
      <c r="B442" s="84"/>
      <c r="E442" s="84"/>
    </row>
    <row r="443">
      <c r="B443" s="84"/>
      <c r="E443" s="84"/>
    </row>
    <row r="444">
      <c r="B444" s="84"/>
      <c r="E444" s="84"/>
    </row>
    <row r="445">
      <c r="B445" s="84"/>
      <c r="E445" s="84"/>
    </row>
    <row r="446">
      <c r="B446" s="84"/>
      <c r="E446" s="84"/>
    </row>
    <row r="447">
      <c r="B447" s="84"/>
      <c r="E447" s="84"/>
    </row>
    <row r="448">
      <c r="B448" s="84"/>
      <c r="E448" s="84"/>
    </row>
    <row r="449">
      <c r="B449" s="84"/>
      <c r="E449" s="84"/>
    </row>
    <row r="450">
      <c r="B450" s="84"/>
      <c r="E450" s="84"/>
    </row>
    <row r="451">
      <c r="B451" s="84"/>
      <c r="E451" s="84"/>
    </row>
    <row r="452">
      <c r="B452" s="84"/>
      <c r="E452" s="84"/>
    </row>
    <row r="453">
      <c r="B453" s="84"/>
      <c r="E453" s="84"/>
    </row>
    <row r="454">
      <c r="B454" s="84"/>
      <c r="E454" s="84"/>
    </row>
    <row r="455">
      <c r="B455" s="84"/>
      <c r="E455" s="84"/>
    </row>
    <row r="456">
      <c r="B456" s="84"/>
      <c r="E456" s="84"/>
    </row>
    <row r="457">
      <c r="B457" s="84"/>
      <c r="E457" s="84"/>
    </row>
    <row r="458">
      <c r="B458" s="84"/>
      <c r="E458" s="84"/>
    </row>
    <row r="459">
      <c r="B459" s="84"/>
      <c r="E459" s="84"/>
    </row>
    <row r="460">
      <c r="B460" s="84"/>
      <c r="E460" s="84"/>
    </row>
    <row r="461">
      <c r="B461" s="84"/>
      <c r="E461" s="84"/>
    </row>
    <row r="462">
      <c r="B462" s="84"/>
      <c r="E462" s="84"/>
    </row>
    <row r="463">
      <c r="B463" s="84"/>
      <c r="E463" s="84"/>
    </row>
    <row r="464">
      <c r="B464" s="84"/>
      <c r="E464" s="84"/>
    </row>
    <row r="465">
      <c r="B465" s="84"/>
      <c r="E465" s="84"/>
    </row>
    <row r="466">
      <c r="B466" s="84"/>
      <c r="E466" s="84"/>
    </row>
    <row r="467">
      <c r="B467" s="84"/>
      <c r="E467" s="84"/>
    </row>
    <row r="468">
      <c r="B468" s="84"/>
      <c r="E468" s="84"/>
    </row>
    <row r="469">
      <c r="B469" s="84"/>
      <c r="E469" s="84"/>
    </row>
    <row r="470">
      <c r="B470" s="84"/>
      <c r="E470" s="84"/>
    </row>
    <row r="471">
      <c r="B471" s="84"/>
      <c r="E471" s="84"/>
    </row>
    <row r="472">
      <c r="B472" s="84"/>
      <c r="E472" s="84"/>
    </row>
    <row r="473">
      <c r="B473" s="84"/>
      <c r="E473" s="84"/>
    </row>
    <row r="474">
      <c r="B474" s="84"/>
      <c r="E474" s="84"/>
    </row>
    <row r="475">
      <c r="B475" s="84"/>
      <c r="E475" s="84"/>
    </row>
    <row r="476">
      <c r="B476" s="84"/>
      <c r="E476" s="84"/>
    </row>
    <row r="477">
      <c r="B477" s="84"/>
      <c r="E477" s="84"/>
    </row>
    <row r="478">
      <c r="B478" s="84"/>
      <c r="E478" s="84"/>
    </row>
    <row r="479">
      <c r="B479" s="84"/>
      <c r="E479" s="84"/>
    </row>
    <row r="480">
      <c r="B480" s="84"/>
      <c r="E480" s="84"/>
    </row>
    <row r="481">
      <c r="B481" s="84"/>
      <c r="E481" s="84"/>
    </row>
    <row r="482">
      <c r="B482" s="84"/>
      <c r="E482" s="84"/>
    </row>
    <row r="483">
      <c r="B483" s="84"/>
      <c r="E483" s="84"/>
    </row>
    <row r="484">
      <c r="B484" s="84"/>
      <c r="E484" s="84"/>
    </row>
    <row r="485">
      <c r="B485" s="84"/>
      <c r="E485" s="84"/>
    </row>
    <row r="486">
      <c r="B486" s="84"/>
      <c r="E486" s="84"/>
    </row>
    <row r="487">
      <c r="B487" s="84"/>
      <c r="E487" s="84"/>
    </row>
    <row r="488">
      <c r="B488" s="84"/>
      <c r="E488" s="84"/>
    </row>
    <row r="489">
      <c r="B489" s="84"/>
      <c r="E489" s="84"/>
    </row>
    <row r="490">
      <c r="B490" s="84"/>
      <c r="E490" s="84"/>
    </row>
    <row r="491">
      <c r="B491" s="84"/>
      <c r="E491" s="84"/>
    </row>
    <row r="492">
      <c r="B492" s="84"/>
      <c r="E492" s="84"/>
    </row>
    <row r="493">
      <c r="B493" s="84"/>
      <c r="E493" s="84"/>
    </row>
    <row r="494">
      <c r="B494" s="84"/>
      <c r="E494" s="84"/>
    </row>
    <row r="495">
      <c r="B495" s="84"/>
      <c r="E495" s="84"/>
    </row>
    <row r="496">
      <c r="B496" s="84"/>
      <c r="E496" s="84"/>
    </row>
    <row r="497">
      <c r="B497" s="84"/>
      <c r="E497" s="84"/>
    </row>
    <row r="498">
      <c r="B498" s="84"/>
      <c r="E498" s="84"/>
    </row>
    <row r="499">
      <c r="B499" s="84"/>
      <c r="E499" s="84"/>
    </row>
    <row r="500">
      <c r="B500" s="84"/>
      <c r="E500" s="84"/>
    </row>
    <row r="501">
      <c r="B501" s="84"/>
      <c r="E501" s="84"/>
    </row>
    <row r="502">
      <c r="B502" s="84"/>
      <c r="E502" s="84"/>
    </row>
    <row r="503">
      <c r="B503" s="84"/>
      <c r="E503" s="84"/>
    </row>
    <row r="504">
      <c r="B504" s="84"/>
      <c r="E504" s="84"/>
    </row>
    <row r="505">
      <c r="B505" s="84"/>
      <c r="E505" s="84"/>
    </row>
    <row r="506">
      <c r="B506" s="84"/>
      <c r="E506" s="84"/>
    </row>
    <row r="507">
      <c r="B507" s="84"/>
      <c r="E507" s="84"/>
    </row>
    <row r="508">
      <c r="B508" s="84"/>
      <c r="E508" s="84"/>
    </row>
    <row r="509">
      <c r="B509" s="84"/>
      <c r="E509" s="84"/>
    </row>
    <row r="510">
      <c r="B510" s="84"/>
      <c r="E510" s="84"/>
    </row>
    <row r="511">
      <c r="B511" s="84"/>
      <c r="E511" s="84"/>
    </row>
    <row r="512">
      <c r="B512" s="84"/>
      <c r="E512" s="84"/>
    </row>
    <row r="513">
      <c r="B513" s="84"/>
      <c r="E513" s="84"/>
    </row>
    <row r="514">
      <c r="B514" s="84"/>
      <c r="E514" s="84"/>
    </row>
    <row r="515">
      <c r="B515" s="84"/>
      <c r="E515" s="84"/>
    </row>
    <row r="516">
      <c r="B516" s="84"/>
      <c r="E516" s="84"/>
    </row>
    <row r="517">
      <c r="B517" s="84"/>
      <c r="E517" s="84"/>
    </row>
    <row r="518">
      <c r="B518" s="84"/>
      <c r="E518" s="84"/>
    </row>
    <row r="519">
      <c r="B519" s="84"/>
      <c r="E519" s="84"/>
    </row>
    <row r="520">
      <c r="B520" s="84"/>
      <c r="E520" s="84"/>
    </row>
    <row r="521">
      <c r="B521" s="84"/>
      <c r="E521" s="84"/>
    </row>
    <row r="522">
      <c r="B522" s="84"/>
      <c r="E522" s="84"/>
    </row>
    <row r="523">
      <c r="B523" s="84"/>
      <c r="E523" s="84"/>
    </row>
    <row r="524">
      <c r="B524" s="84"/>
      <c r="E524" s="84"/>
    </row>
    <row r="525">
      <c r="B525" s="84"/>
      <c r="E525" s="84"/>
    </row>
    <row r="526">
      <c r="B526" s="84"/>
      <c r="E526" s="84"/>
    </row>
    <row r="527">
      <c r="B527" s="84"/>
      <c r="E527" s="84"/>
    </row>
    <row r="528">
      <c r="B528" s="84"/>
      <c r="E528" s="84"/>
    </row>
    <row r="529">
      <c r="B529" s="84"/>
      <c r="E529" s="84"/>
    </row>
    <row r="530">
      <c r="B530" s="84"/>
      <c r="E530" s="84"/>
    </row>
    <row r="531">
      <c r="B531" s="84"/>
      <c r="E531" s="84"/>
    </row>
    <row r="532">
      <c r="B532" s="84"/>
      <c r="E532" s="84"/>
    </row>
    <row r="533">
      <c r="B533" s="84"/>
      <c r="E533" s="84"/>
    </row>
    <row r="534">
      <c r="B534" s="84"/>
      <c r="E534" s="84"/>
    </row>
    <row r="535">
      <c r="B535" s="84"/>
      <c r="E535" s="84"/>
    </row>
    <row r="536">
      <c r="B536" s="84"/>
      <c r="E536" s="84"/>
    </row>
    <row r="537">
      <c r="B537" s="84"/>
      <c r="E537" s="84"/>
    </row>
    <row r="538">
      <c r="B538" s="84"/>
      <c r="E538" s="84"/>
    </row>
    <row r="539">
      <c r="B539" s="84"/>
      <c r="E539" s="84"/>
    </row>
    <row r="540">
      <c r="B540" s="84"/>
      <c r="E540" s="84"/>
    </row>
    <row r="541">
      <c r="B541" s="84"/>
      <c r="E541" s="84"/>
    </row>
    <row r="542">
      <c r="B542" s="84"/>
      <c r="E542" s="84"/>
    </row>
    <row r="543">
      <c r="B543" s="84"/>
      <c r="E543" s="84"/>
    </row>
    <row r="544">
      <c r="B544" s="84"/>
      <c r="E544" s="84"/>
    </row>
    <row r="545">
      <c r="B545" s="84"/>
      <c r="E545" s="84"/>
    </row>
    <row r="546">
      <c r="B546" s="84"/>
      <c r="E546" s="84"/>
    </row>
    <row r="547">
      <c r="B547" s="84"/>
      <c r="E547" s="84"/>
    </row>
    <row r="548">
      <c r="B548" s="84"/>
      <c r="E548" s="84"/>
    </row>
    <row r="549">
      <c r="B549" s="84"/>
      <c r="E549" s="84"/>
    </row>
    <row r="550">
      <c r="B550" s="84"/>
      <c r="E550" s="84"/>
    </row>
    <row r="551">
      <c r="B551" s="84"/>
      <c r="E551" s="84"/>
    </row>
    <row r="552">
      <c r="B552" s="84"/>
      <c r="E552" s="84"/>
    </row>
    <row r="553">
      <c r="B553" s="84"/>
      <c r="E553" s="84"/>
    </row>
    <row r="554">
      <c r="B554" s="84"/>
      <c r="E554" s="84"/>
    </row>
    <row r="555">
      <c r="B555" s="84"/>
      <c r="E555" s="84"/>
    </row>
    <row r="556">
      <c r="B556" s="84"/>
      <c r="E556" s="84"/>
    </row>
    <row r="557">
      <c r="B557" s="84"/>
      <c r="E557" s="84"/>
    </row>
    <row r="558">
      <c r="B558" s="84"/>
      <c r="E558" s="84"/>
    </row>
    <row r="559">
      <c r="B559" s="84"/>
      <c r="E559" s="84"/>
    </row>
    <row r="560">
      <c r="B560" s="84"/>
      <c r="E560" s="84"/>
    </row>
    <row r="561">
      <c r="B561" s="84"/>
      <c r="E561" s="84"/>
    </row>
    <row r="562">
      <c r="B562" s="84"/>
      <c r="E562" s="84"/>
    </row>
    <row r="563">
      <c r="B563" s="84"/>
      <c r="E563" s="84"/>
    </row>
    <row r="564">
      <c r="B564" s="84"/>
      <c r="E564" s="84"/>
    </row>
    <row r="565">
      <c r="B565" s="84"/>
      <c r="E565" s="84"/>
    </row>
    <row r="566">
      <c r="B566" s="84"/>
      <c r="E566" s="84"/>
    </row>
    <row r="567">
      <c r="B567" s="84"/>
      <c r="E567" s="84"/>
    </row>
    <row r="568">
      <c r="B568" s="84"/>
      <c r="E568" s="84"/>
    </row>
    <row r="569">
      <c r="B569" s="84"/>
      <c r="E569" s="84"/>
    </row>
    <row r="570">
      <c r="B570" s="84"/>
      <c r="E570" s="84"/>
    </row>
    <row r="571">
      <c r="B571" s="84"/>
      <c r="E571" s="84"/>
    </row>
    <row r="572">
      <c r="B572" s="84"/>
      <c r="E572" s="84"/>
    </row>
    <row r="573">
      <c r="B573" s="84"/>
      <c r="E573" s="84"/>
    </row>
    <row r="574">
      <c r="B574" s="84"/>
      <c r="E574" s="84"/>
    </row>
    <row r="575">
      <c r="B575" s="84"/>
      <c r="E575" s="84"/>
    </row>
    <row r="576">
      <c r="B576" s="84"/>
      <c r="E576" s="84"/>
    </row>
    <row r="577">
      <c r="B577" s="84"/>
      <c r="E577" s="84"/>
    </row>
    <row r="578">
      <c r="B578" s="84"/>
      <c r="E578" s="84"/>
    </row>
    <row r="579">
      <c r="B579" s="84"/>
      <c r="E579" s="84"/>
    </row>
    <row r="580">
      <c r="B580" s="84"/>
      <c r="E580" s="84"/>
    </row>
    <row r="581">
      <c r="B581" s="84"/>
      <c r="E581" s="84"/>
    </row>
    <row r="582">
      <c r="B582" s="84"/>
      <c r="E582" s="84"/>
    </row>
    <row r="583">
      <c r="B583" s="84"/>
      <c r="E583" s="84"/>
    </row>
    <row r="584">
      <c r="B584" s="84"/>
      <c r="E584" s="84"/>
    </row>
    <row r="585">
      <c r="B585" s="84"/>
      <c r="E585" s="84"/>
    </row>
    <row r="586">
      <c r="B586" s="84"/>
      <c r="E586" s="84"/>
    </row>
    <row r="587">
      <c r="B587" s="84"/>
      <c r="E587" s="84"/>
    </row>
    <row r="588">
      <c r="B588" s="84"/>
      <c r="E588" s="84"/>
    </row>
    <row r="589">
      <c r="B589" s="84"/>
      <c r="E589" s="84"/>
    </row>
    <row r="590">
      <c r="B590" s="84"/>
      <c r="E590" s="84"/>
    </row>
    <row r="591">
      <c r="B591" s="84"/>
      <c r="E591" s="84"/>
    </row>
    <row r="592">
      <c r="B592" s="84"/>
      <c r="E592" s="84"/>
    </row>
    <row r="593">
      <c r="B593" s="84"/>
      <c r="E593" s="84"/>
    </row>
    <row r="594">
      <c r="B594" s="84"/>
      <c r="E594" s="84"/>
    </row>
    <row r="595">
      <c r="B595" s="84"/>
      <c r="E595" s="84"/>
    </row>
    <row r="596">
      <c r="B596" s="84"/>
      <c r="E596" s="84"/>
    </row>
    <row r="597">
      <c r="B597" s="84"/>
      <c r="E597" s="84"/>
    </row>
    <row r="598">
      <c r="B598" s="84"/>
      <c r="E598" s="84"/>
    </row>
    <row r="599">
      <c r="B599" s="84"/>
      <c r="E599" s="84"/>
    </row>
    <row r="600">
      <c r="B600" s="84"/>
      <c r="E600" s="84"/>
    </row>
    <row r="601">
      <c r="B601" s="84"/>
      <c r="E601" s="84"/>
    </row>
    <row r="602">
      <c r="B602" s="84"/>
      <c r="E602" s="84"/>
    </row>
    <row r="603">
      <c r="B603" s="84"/>
      <c r="E603" s="84"/>
    </row>
    <row r="604">
      <c r="B604" s="84"/>
      <c r="E604" s="84"/>
    </row>
    <row r="605">
      <c r="B605" s="84"/>
      <c r="E605" s="84"/>
    </row>
    <row r="606">
      <c r="B606" s="84"/>
      <c r="E606" s="84"/>
    </row>
    <row r="607">
      <c r="B607" s="84"/>
      <c r="E607" s="84"/>
    </row>
    <row r="608">
      <c r="B608" s="84"/>
      <c r="E608" s="84"/>
    </row>
    <row r="609">
      <c r="B609" s="84"/>
      <c r="E609" s="84"/>
    </row>
    <row r="610">
      <c r="B610" s="84"/>
      <c r="E610" s="84"/>
    </row>
    <row r="611">
      <c r="B611" s="84"/>
      <c r="E611" s="84"/>
    </row>
    <row r="612">
      <c r="B612" s="84"/>
      <c r="E612" s="84"/>
    </row>
    <row r="613">
      <c r="B613" s="84"/>
      <c r="E613" s="84"/>
    </row>
    <row r="614">
      <c r="B614" s="84"/>
      <c r="E614" s="84"/>
    </row>
    <row r="615">
      <c r="B615" s="84"/>
      <c r="E615" s="84"/>
    </row>
    <row r="616">
      <c r="B616" s="84"/>
      <c r="E616" s="84"/>
    </row>
    <row r="617">
      <c r="B617" s="84"/>
      <c r="E617" s="84"/>
    </row>
    <row r="618">
      <c r="B618" s="84"/>
      <c r="E618" s="84"/>
    </row>
    <row r="619">
      <c r="B619" s="84"/>
      <c r="E619" s="84"/>
    </row>
    <row r="620">
      <c r="B620" s="84"/>
      <c r="E620" s="84"/>
    </row>
    <row r="621">
      <c r="B621" s="84"/>
      <c r="E621" s="84"/>
    </row>
    <row r="622">
      <c r="B622" s="84"/>
      <c r="E622" s="84"/>
    </row>
    <row r="623">
      <c r="B623" s="84"/>
      <c r="E623" s="84"/>
    </row>
    <row r="624">
      <c r="B624" s="84"/>
      <c r="E624" s="84"/>
    </row>
    <row r="625">
      <c r="B625" s="84"/>
      <c r="E625" s="84"/>
    </row>
    <row r="626">
      <c r="B626" s="84"/>
      <c r="E626" s="84"/>
    </row>
    <row r="627">
      <c r="B627" s="84"/>
      <c r="E627" s="84"/>
    </row>
    <row r="628">
      <c r="B628" s="84"/>
      <c r="E628" s="84"/>
    </row>
    <row r="629">
      <c r="B629" s="84"/>
      <c r="E629" s="84"/>
    </row>
    <row r="630">
      <c r="B630" s="84"/>
      <c r="E630" s="84"/>
    </row>
    <row r="631">
      <c r="B631" s="84"/>
      <c r="E631" s="84"/>
    </row>
    <row r="632">
      <c r="B632" s="84"/>
      <c r="E632" s="84"/>
    </row>
    <row r="633">
      <c r="B633" s="84"/>
      <c r="E633" s="84"/>
    </row>
    <row r="634">
      <c r="B634" s="84"/>
      <c r="E634" s="84"/>
    </row>
    <row r="635">
      <c r="B635" s="84"/>
      <c r="E635" s="84"/>
    </row>
    <row r="636">
      <c r="B636" s="84"/>
      <c r="E636" s="84"/>
    </row>
    <row r="637">
      <c r="B637" s="84"/>
      <c r="E637" s="84"/>
    </row>
    <row r="638">
      <c r="B638" s="84"/>
      <c r="E638" s="84"/>
    </row>
    <row r="639">
      <c r="B639" s="84"/>
      <c r="E639" s="84"/>
    </row>
    <row r="640">
      <c r="B640" s="84"/>
      <c r="E640" s="84"/>
    </row>
    <row r="641">
      <c r="B641" s="84"/>
      <c r="E641" s="84"/>
    </row>
    <row r="642">
      <c r="B642" s="84"/>
      <c r="E642" s="84"/>
    </row>
    <row r="643">
      <c r="B643" s="84"/>
      <c r="E643" s="84"/>
    </row>
    <row r="644">
      <c r="B644" s="84"/>
      <c r="E644" s="84"/>
    </row>
    <row r="645">
      <c r="B645" s="84"/>
      <c r="E645" s="84"/>
    </row>
    <row r="646">
      <c r="B646" s="84"/>
      <c r="E646" s="84"/>
    </row>
    <row r="647">
      <c r="B647" s="84"/>
      <c r="E647" s="84"/>
    </row>
    <row r="648">
      <c r="B648" s="84"/>
      <c r="E648" s="84"/>
    </row>
    <row r="649">
      <c r="B649" s="84"/>
      <c r="E649" s="84"/>
    </row>
    <row r="650">
      <c r="B650" s="84"/>
      <c r="E650" s="84"/>
    </row>
    <row r="651">
      <c r="B651" s="84"/>
      <c r="E651" s="84"/>
    </row>
    <row r="652">
      <c r="B652" s="84"/>
      <c r="E652" s="84"/>
    </row>
    <row r="653">
      <c r="B653" s="84"/>
      <c r="E653" s="84"/>
    </row>
    <row r="654">
      <c r="B654" s="84"/>
      <c r="E654" s="84"/>
    </row>
    <row r="655">
      <c r="B655" s="84"/>
      <c r="E655" s="84"/>
    </row>
    <row r="656">
      <c r="B656" s="84"/>
      <c r="E656" s="84"/>
    </row>
    <row r="657">
      <c r="B657" s="84"/>
      <c r="E657" s="84"/>
    </row>
    <row r="658">
      <c r="B658" s="84"/>
      <c r="E658" s="84"/>
    </row>
    <row r="659">
      <c r="B659" s="84"/>
      <c r="E659" s="84"/>
    </row>
    <row r="660">
      <c r="B660" s="84"/>
      <c r="E660" s="84"/>
    </row>
    <row r="661">
      <c r="B661" s="84"/>
      <c r="E661" s="84"/>
    </row>
    <row r="662">
      <c r="B662" s="84"/>
      <c r="E662" s="84"/>
    </row>
    <row r="663">
      <c r="B663" s="84"/>
      <c r="E663" s="84"/>
    </row>
    <row r="664">
      <c r="B664" s="84"/>
      <c r="E664" s="84"/>
    </row>
    <row r="665">
      <c r="B665" s="84"/>
      <c r="E665" s="84"/>
    </row>
    <row r="666">
      <c r="B666" s="84"/>
      <c r="E666" s="84"/>
    </row>
    <row r="667">
      <c r="B667" s="84"/>
      <c r="E667" s="84"/>
    </row>
    <row r="668">
      <c r="B668" s="84"/>
      <c r="E668" s="84"/>
    </row>
    <row r="669">
      <c r="B669" s="84"/>
      <c r="E669" s="84"/>
    </row>
    <row r="670">
      <c r="B670" s="84"/>
      <c r="E670" s="84"/>
    </row>
    <row r="671">
      <c r="B671" s="84"/>
      <c r="E671" s="84"/>
    </row>
    <row r="672">
      <c r="B672" s="84"/>
      <c r="E672" s="84"/>
    </row>
    <row r="673">
      <c r="B673" s="84"/>
      <c r="E673" s="84"/>
    </row>
    <row r="674">
      <c r="B674" s="84"/>
      <c r="E674" s="84"/>
    </row>
    <row r="675">
      <c r="B675" s="84"/>
      <c r="E675" s="84"/>
    </row>
    <row r="676">
      <c r="B676" s="84"/>
      <c r="E676" s="84"/>
    </row>
    <row r="677">
      <c r="B677" s="84"/>
      <c r="E677" s="84"/>
    </row>
    <row r="678">
      <c r="B678" s="84"/>
      <c r="E678" s="84"/>
    </row>
    <row r="679">
      <c r="B679" s="84"/>
      <c r="E679" s="84"/>
    </row>
    <row r="680">
      <c r="B680" s="84"/>
      <c r="E680" s="84"/>
    </row>
    <row r="681">
      <c r="B681" s="84"/>
      <c r="E681" s="84"/>
    </row>
    <row r="682">
      <c r="B682" s="84"/>
      <c r="E682" s="84"/>
    </row>
    <row r="683">
      <c r="B683" s="84"/>
      <c r="E683" s="84"/>
    </row>
    <row r="684">
      <c r="B684" s="84"/>
      <c r="E684" s="84"/>
    </row>
    <row r="685">
      <c r="B685" s="84"/>
      <c r="E685" s="84"/>
    </row>
    <row r="686">
      <c r="B686" s="84"/>
      <c r="E686" s="84"/>
    </row>
    <row r="687">
      <c r="B687" s="84"/>
      <c r="E687" s="84"/>
    </row>
    <row r="688">
      <c r="B688" s="84"/>
      <c r="E688" s="84"/>
    </row>
    <row r="689">
      <c r="B689" s="84"/>
      <c r="E689" s="84"/>
    </row>
    <row r="690">
      <c r="B690" s="84"/>
      <c r="E690" s="84"/>
    </row>
    <row r="691">
      <c r="B691" s="84"/>
      <c r="E691" s="84"/>
    </row>
    <row r="692">
      <c r="B692" s="84"/>
      <c r="E692" s="84"/>
    </row>
    <row r="693">
      <c r="B693" s="84"/>
      <c r="E693" s="84"/>
    </row>
    <row r="694">
      <c r="B694" s="84"/>
      <c r="E694" s="84"/>
    </row>
    <row r="695">
      <c r="B695" s="84"/>
      <c r="E695" s="84"/>
    </row>
    <row r="696">
      <c r="B696" s="84"/>
      <c r="E696" s="84"/>
    </row>
    <row r="697">
      <c r="B697" s="84"/>
      <c r="E697" s="84"/>
    </row>
    <row r="698">
      <c r="B698" s="84"/>
      <c r="E698" s="84"/>
    </row>
    <row r="699">
      <c r="B699" s="84"/>
      <c r="E699" s="84"/>
    </row>
    <row r="700">
      <c r="B700" s="84"/>
      <c r="E700" s="84"/>
    </row>
    <row r="701">
      <c r="B701" s="84"/>
      <c r="E701" s="84"/>
    </row>
    <row r="702">
      <c r="B702" s="84"/>
      <c r="E702" s="84"/>
    </row>
    <row r="703">
      <c r="B703" s="84"/>
      <c r="E703" s="84"/>
    </row>
    <row r="704">
      <c r="B704" s="84"/>
      <c r="E704" s="84"/>
    </row>
    <row r="705">
      <c r="B705" s="84"/>
      <c r="E705" s="84"/>
    </row>
    <row r="706">
      <c r="B706" s="84"/>
      <c r="E706" s="84"/>
    </row>
    <row r="707">
      <c r="B707" s="84"/>
      <c r="E707" s="84"/>
    </row>
    <row r="708">
      <c r="B708" s="84"/>
      <c r="E708" s="84"/>
    </row>
    <row r="709">
      <c r="B709" s="84"/>
      <c r="E709" s="84"/>
    </row>
    <row r="710">
      <c r="B710" s="84"/>
      <c r="E710" s="84"/>
    </row>
    <row r="711">
      <c r="B711" s="84"/>
      <c r="E711" s="84"/>
    </row>
    <row r="712">
      <c r="B712" s="84"/>
      <c r="E712" s="84"/>
    </row>
    <row r="713">
      <c r="B713" s="84"/>
      <c r="E713" s="84"/>
    </row>
    <row r="714">
      <c r="B714" s="84"/>
      <c r="E714" s="84"/>
    </row>
    <row r="715">
      <c r="B715" s="84"/>
      <c r="E715" s="84"/>
    </row>
    <row r="716">
      <c r="B716" s="84"/>
      <c r="E716" s="84"/>
    </row>
    <row r="717">
      <c r="B717" s="84"/>
      <c r="E717" s="84"/>
    </row>
    <row r="718">
      <c r="B718" s="84"/>
      <c r="E718" s="84"/>
    </row>
    <row r="719">
      <c r="B719" s="84"/>
      <c r="E719" s="84"/>
    </row>
    <row r="720">
      <c r="B720" s="84"/>
      <c r="E720" s="84"/>
    </row>
    <row r="721">
      <c r="B721" s="84"/>
      <c r="E721" s="84"/>
    </row>
    <row r="722">
      <c r="B722" s="84"/>
      <c r="E722" s="84"/>
    </row>
    <row r="723">
      <c r="B723" s="84"/>
      <c r="E723" s="84"/>
    </row>
    <row r="724">
      <c r="B724" s="84"/>
      <c r="E724" s="84"/>
    </row>
    <row r="725">
      <c r="B725" s="84"/>
      <c r="E725" s="84"/>
    </row>
    <row r="726">
      <c r="B726" s="84"/>
      <c r="E726" s="84"/>
    </row>
    <row r="727">
      <c r="B727" s="84"/>
      <c r="E727" s="84"/>
    </row>
    <row r="728">
      <c r="B728" s="84"/>
      <c r="E728" s="84"/>
    </row>
    <row r="729">
      <c r="B729" s="84"/>
      <c r="E729" s="84"/>
    </row>
    <row r="730">
      <c r="B730" s="84"/>
      <c r="E730" s="84"/>
    </row>
    <row r="731">
      <c r="B731" s="84"/>
      <c r="E731" s="84"/>
    </row>
    <row r="732">
      <c r="B732" s="84"/>
      <c r="E732" s="84"/>
    </row>
    <row r="733">
      <c r="B733" s="84"/>
      <c r="E733" s="84"/>
    </row>
    <row r="734">
      <c r="B734" s="84"/>
      <c r="E734" s="84"/>
    </row>
    <row r="735">
      <c r="B735" s="84"/>
      <c r="E735" s="84"/>
    </row>
    <row r="736">
      <c r="B736" s="84"/>
      <c r="E736" s="84"/>
    </row>
    <row r="737">
      <c r="B737" s="84"/>
      <c r="E737" s="84"/>
    </row>
    <row r="738">
      <c r="B738" s="84"/>
      <c r="E738" s="84"/>
    </row>
    <row r="739">
      <c r="B739" s="84"/>
      <c r="E739" s="84"/>
    </row>
    <row r="740">
      <c r="B740" s="84"/>
      <c r="E740" s="84"/>
    </row>
    <row r="741">
      <c r="B741" s="84"/>
      <c r="E741" s="84"/>
    </row>
    <row r="742">
      <c r="B742" s="84"/>
      <c r="E742" s="84"/>
    </row>
    <row r="743">
      <c r="B743" s="84"/>
      <c r="E743" s="84"/>
    </row>
    <row r="744">
      <c r="B744" s="84"/>
      <c r="E744" s="84"/>
    </row>
    <row r="745">
      <c r="B745" s="84"/>
      <c r="E745" s="84"/>
    </row>
    <row r="746">
      <c r="B746" s="84"/>
      <c r="E746" s="84"/>
    </row>
    <row r="747">
      <c r="B747" s="84"/>
      <c r="E747" s="84"/>
    </row>
    <row r="748">
      <c r="B748" s="84"/>
      <c r="E748" s="84"/>
    </row>
    <row r="749">
      <c r="B749" s="84"/>
      <c r="E749" s="84"/>
    </row>
    <row r="750">
      <c r="B750" s="84"/>
      <c r="E750" s="84"/>
    </row>
    <row r="751">
      <c r="B751" s="84"/>
      <c r="E751" s="84"/>
    </row>
    <row r="752">
      <c r="B752" s="84"/>
      <c r="E752" s="84"/>
    </row>
    <row r="753">
      <c r="B753" s="84"/>
      <c r="E753" s="84"/>
    </row>
    <row r="754">
      <c r="B754" s="84"/>
      <c r="E754" s="84"/>
    </row>
    <row r="755">
      <c r="B755" s="84"/>
      <c r="E755" s="84"/>
    </row>
    <row r="756">
      <c r="B756" s="84"/>
      <c r="E756" s="84"/>
    </row>
    <row r="757">
      <c r="B757" s="84"/>
      <c r="E757" s="84"/>
    </row>
    <row r="758">
      <c r="B758" s="84"/>
      <c r="E758" s="84"/>
    </row>
    <row r="759">
      <c r="B759" s="84"/>
      <c r="E759" s="84"/>
    </row>
    <row r="760">
      <c r="B760" s="84"/>
      <c r="E760" s="84"/>
    </row>
    <row r="761">
      <c r="B761" s="84"/>
      <c r="E761" s="84"/>
    </row>
    <row r="762">
      <c r="B762" s="84"/>
      <c r="E762" s="84"/>
    </row>
    <row r="763">
      <c r="B763" s="84"/>
      <c r="E763" s="84"/>
    </row>
    <row r="764">
      <c r="B764" s="84"/>
      <c r="E764" s="84"/>
    </row>
    <row r="765">
      <c r="B765" s="84"/>
      <c r="E765" s="84"/>
    </row>
    <row r="766">
      <c r="B766" s="84"/>
      <c r="E766" s="84"/>
    </row>
    <row r="767">
      <c r="B767" s="84"/>
      <c r="E767" s="84"/>
    </row>
    <row r="768">
      <c r="B768" s="84"/>
      <c r="E768" s="84"/>
    </row>
    <row r="769">
      <c r="B769" s="84"/>
      <c r="E769" s="84"/>
    </row>
    <row r="770">
      <c r="B770" s="84"/>
      <c r="E770" s="84"/>
    </row>
    <row r="771">
      <c r="B771" s="84"/>
      <c r="E771" s="84"/>
    </row>
    <row r="772">
      <c r="B772" s="84"/>
      <c r="E772" s="84"/>
    </row>
    <row r="773">
      <c r="B773" s="84"/>
      <c r="E773" s="84"/>
    </row>
    <row r="774">
      <c r="B774" s="84"/>
      <c r="E774" s="84"/>
    </row>
    <row r="775">
      <c r="B775" s="84"/>
      <c r="E775" s="84"/>
    </row>
    <row r="776">
      <c r="B776" s="84"/>
      <c r="E776" s="84"/>
    </row>
    <row r="777">
      <c r="B777" s="84"/>
      <c r="E777" s="84"/>
    </row>
    <row r="778">
      <c r="B778" s="84"/>
      <c r="E778" s="84"/>
    </row>
    <row r="779">
      <c r="B779" s="84"/>
      <c r="E779" s="84"/>
    </row>
    <row r="780">
      <c r="B780" s="84"/>
      <c r="E780" s="84"/>
    </row>
    <row r="781">
      <c r="B781" s="84"/>
      <c r="E781" s="84"/>
    </row>
    <row r="782">
      <c r="B782" s="84"/>
      <c r="E782" s="84"/>
    </row>
    <row r="783">
      <c r="B783" s="84"/>
      <c r="E783" s="84"/>
    </row>
    <row r="784">
      <c r="B784" s="84"/>
      <c r="E784" s="84"/>
    </row>
    <row r="785">
      <c r="B785" s="84"/>
      <c r="E785" s="84"/>
    </row>
    <row r="786">
      <c r="B786" s="84"/>
      <c r="E786" s="84"/>
    </row>
    <row r="787">
      <c r="B787" s="84"/>
      <c r="E787" s="84"/>
    </row>
    <row r="788">
      <c r="B788" s="84"/>
      <c r="E788" s="84"/>
    </row>
    <row r="789">
      <c r="B789" s="84"/>
      <c r="E789" s="84"/>
    </row>
    <row r="790">
      <c r="B790" s="84"/>
      <c r="E790" s="84"/>
    </row>
    <row r="791">
      <c r="B791" s="84"/>
      <c r="E791" s="84"/>
    </row>
    <row r="792">
      <c r="B792" s="84"/>
      <c r="E792" s="84"/>
    </row>
    <row r="793">
      <c r="B793" s="84"/>
      <c r="E793" s="84"/>
    </row>
    <row r="794">
      <c r="B794" s="84"/>
      <c r="E794" s="84"/>
    </row>
    <row r="795">
      <c r="B795" s="84"/>
      <c r="E795" s="84"/>
    </row>
    <row r="796">
      <c r="B796" s="84"/>
      <c r="E796" s="84"/>
    </row>
    <row r="797">
      <c r="B797" s="84"/>
      <c r="E797" s="84"/>
    </row>
    <row r="798">
      <c r="B798" s="84"/>
      <c r="E798" s="84"/>
    </row>
    <row r="799">
      <c r="B799" s="84"/>
      <c r="E799" s="84"/>
    </row>
    <row r="800">
      <c r="B800" s="84"/>
      <c r="E800" s="84"/>
    </row>
    <row r="801">
      <c r="B801" s="84"/>
      <c r="E801" s="84"/>
    </row>
    <row r="802">
      <c r="B802" s="84"/>
      <c r="E802" s="84"/>
    </row>
    <row r="803">
      <c r="B803" s="84"/>
      <c r="E803" s="84"/>
    </row>
    <row r="804">
      <c r="B804" s="84"/>
      <c r="E804" s="84"/>
    </row>
    <row r="805">
      <c r="B805" s="84"/>
      <c r="E805" s="84"/>
    </row>
    <row r="806">
      <c r="B806" s="84"/>
      <c r="E806" s="84"/>
    </row>
    <row r="807">
      <c r="B807" s="84"/>
      <c r="E807" s="84"/>
    </row>
    <row r="808">
      <c r="B808" s="84"/>
      <c r="E808" s="84"/>
    </row>
    <row r="809">
      <c r="B809" s="84"/>
      <c r="E809" s="84"/>
    </row>
    <row r="810">
      <c r="B810" s="84"/>
      <c r="E810" s="84"/>
    </row>
    <row r="811">
      <c r="B811" s="84"/>
      <c r="E811" s="84"/>
    </row>
    <row r="812">
      <c r="B812" s="84"/>
      <c r="E812" s="84"/>
    </row>
    <row r="813">
      <c r="B813" s="84"/>
      <c r="E813" s="84"/>
    </row>
    <row r="814">
      <c r="B814" s="84"/>
      <c r="E814" s="84"/>
    </row>
    <row r="815">
      <c r="B815" s="84"/>
      <c r="E815" s="84"/>
    </row>
    <row r="816">
      <c r="B816" s="84"/>
      <c r="E816" s="84"/>
    </row>
    <row r="817">
      <c r="B817" s="84"/>
      <c r="E817" s="84"/>
    </row>
    <row r="818">
      <c r="B818" s="84"/>
      <c r="E818" s="84"/>
    </row>
    <row r="819">
      <c r="B819" s="84"/>
      <c r="E819" s="84"/>
    </row>
    <row r="820">
      <c r="B820" s="84"/>
      <c r="E820" s="84"/>
    </row>
    <row r="821">
      <c r="B821" s="84"/>
      <c r="E821" s="84"/>
    </row>
    <row r="822">
      <c r="B822" s="84"/>
      <c r="E822" s="84"/>
    </row>
    <row r="823">
      <c r="B823" s="84"/>
      <c r="E823" s="84"/>
    </row>
    <row r="824">
      <c r="B824" s="84"/>
      <c r="E824" s="84"/>
    </row>
    <row r="825">
      <c r="B825" s="84"/>
      <c r="E825" s="84"/>
    </row>
    <row r="826">
      <c r="B826" s="84"/>
      <c r="E826" s="84"/>
    </row>
    <row r="827">
      <c r="B827" s="84"/>
      <c r="E827" s="84"/>
    </row>
    <row r="828">
      <c r="B828" s="84"/>
      <c r="E828" s="84"/>
    </row>
    <row r="829">
      <c r="B829" s="84"/>
      <c r="E829" s="84"/>
    </row>
    <row r="830">
      <c r="B830" s="84"/>
      <c r="E830" s="84"/>
    </row>
    <row r="831">
      <c r="B831" s="84"/>
      <c r="E831" s="84"/>
    </row>
    <row r="832">
      <c r="B832" s="84"/>
      <c r="E832" s="84"/>
    </row>
    <row r="833">
      <c r="B833" s="84"/>
      <c r="E833" s="84"/>
    </row>
    <row r="834">
      <c r="B834" s="84"/>
      <c r="E834" s="84"/>
    </row>
    <row r="835">
      <c r="B835" s="84"/>
      <c r="E835" s="84"/>
    </row>
    <row r="836">
      <c r="B836" s="84"/>
      <c r="E836" s="84"/>
    </row>
    <row r="837">
      <c r="B837" s="84"/>
      <c r="E837" s="84"/>
    </row>
    <row r="838">
      <c r="B838" s="84"/>
      <c r="E838" s="84"/>
    </row>
    <row r="839">
      <c r="B839" s="84"/>
      <c r="E839" s="84"/>
    </row>
    <row r="840">
      <c r="B840" s="84"/>
      <c r="E840" s="84"/>
    </row>
    <row r="841">
      <c r="B841" s="84"/>
      <c r="E841" s="84"/>
    </row>
    <row r="842">
      <c r="B842" s="84"/>
      <c r="E842" s="84"/>
    </row>
    <row r="843">
      <c r="B843" s="84"/>
      <c r="E843" s="84"/>
    </row>
    <row r="844">
      <c r="B844" s="84"/>
      <c r="E844" s="84"/>
    </row>
    <row r="845">
      <c r="B845" s="84"/>
      <c r="E845" s="84"/>
    </row>
    <row r="846">
      <c r="B846" s="84"/>
      <c r="E846" s="84"/>
    </row>
    <row r="847">
      <c r="B847" s="84"/>
      <c r="E847" s="84"/>
    </row>
    <row r="848">
      <c r="B848" s="84"/>
      <c r="E848" s="84"/>
    </row>
    <row r="849">
      <c r="B849" s="84"/>
      <c r="E849" s="84"/>
    </row>
    <row r="850">
      <c r="B850" s="84"/>
      <c r="E850" s="84"/>
    </row>
    <row r="851">
      <c r="B851" s="84"/>
      <c r="E851" s="84"/>
    </row>
    <row r="852">
      <c r="B852" s="84"/>
      <c r="E852" s="84"/>
    </row>
    <row r="853">
      <c r="B853" s="84"/>
      <c r="E853" s="84"/>
    </row>
    <row r="854">
      <c r="B854" s="84"/>
      <c r="E854" s="84"/>
    </row>
    <row r="855">
      <c r="B855" s="84"/>
      <c r="E855" s="84"/>
    </row>
    <row r="856">
      <c r="B856" s="84"/>
      <c r="E856" s="84"/>
    </row>
    <row r="857">
      <c r="B857" s="84"/>
      <c r="E857" s="84"/>
    </row>
    <row r="858">
      <c r="B858" s="84"/>
      <c r="E858" s="84"/>
    </row>
    <row r="859">
      <c r="B859" s="84"/>
      <c r="E859" s="84"/>
    </row>
    <row r="860">
      <c r="B860" s="84"/>
      <c r="E860" s="84"/>
    </row>
    <row r="861">
      <c r="B861" s="84"/>
      <c r="E861" s="84"/>
    </row>
    <row r="862">
      <c r="B862" s="84"/>
      <c r="E862" s="84"/>
    </row>
    <row r="863">
      <c r="B863" s="84"/>
      <c r="E863" s="84"/>
    </row>
    <row r="864">
      <c r="B864" s="84"/>
      <c r="E864" s="84"/>
    </row>
    <row r="865">
      <c r="B865" s="84"/>
      <c r="E865" s="84"/>
    </row>
    <row r="866">
      <c r="B866" s="84"/>
      <c r="E866" s="84"/>
    </row>
    <row r="867">
      <c r="B867" s="84"/>
      <c r="E867" s="84"/>
    </row>
    <row r="868">
      <c r="B868" s="84"/>
      <c r="E868" s="84"/>
    </row>
    <row r="869">
      <c r="B869" s="84"/>
      <c r="E869" s="84"/>
    </row>
    <row r="870">
      <c r="B870" s="84"/>
      <c r="E870" s="84"/>
    </row>
    <row r="871">
      <c r="B871" s="84"/>
      <c r="E871" s="84"/>
    </row>
    <row r="872">
      <c r="B872" s="84"/>
      <c r="E872" s="84"/>
    </row>
    <row r="873">
      <c r="B873" s="84"/>
      <c r="E873" s="84"/>
    </row>
    <row r="874">
      <c r="B874" s="84"/>
      <c r="E874" s="84"/>
    </row>
    <row r="875">
      <c r="B875" s="84"/>
      <c r="E875" s="84"/>
    </row>
    <row r="876">
      <c r="B876" s="84"/>
      <c r="E876" s="84"/>
    </row>
    <row r="877">
      <c r="B877" s="84"/>
      <c r="E877" s="84"/>
    </row>
    <row r="878">
      <c r="B878" s="84"/>
      <c r="E878" s="84"/>
    </row>
    <row r="879">
      <c r="B879" s="84"/>
      <c r="E879" s="84"/>
    </row>
    <row r="880">
      <c r="B880" s="84"/>
      <c r="E880" s="84"/>
    </row>
    <row r="881">
      <c r="B881" s="84"/>
      <c r="E881" s="84"/>
    </row>
    <row r="882">
      <c r="B882" s="84"/>
      <c r="E882" s="84"/>
    </row>
    <row r="883">
      <c r="B883" s="84"/>
      <c r="E883" s="84"/>
    </row>
    <row r="884">
      <c r="B884" s="84"/>
      <c r="E884" s="84"/>
    </row>
    <row r="885">
      <c r="B885" s="84"/>
      <c r="E885" s="84"/>
    </row>
    <row r="886">
      <c r="B886" s="84"/>
      <c r="E886" s="84"/>
    </row>
    <row r="887">
      <c r="B887" s="84"/>
      <c r="E887" s="84"/>
    </row>
    <row r="888">
      <c r="B888" s="84"/>
      <c r="E888" s="84"/>
    </row>
    <row r="889">
      <c r="B889" s="84"/>
      <c r="E889" s="84"/>
    </row>
    <row r="890">
      <c r="B890" s="84"/>
      <c r="E890" s="84"/>
    </row>
    <row r="891">
      <c r="B891" s="84"/>
      <c r="E891" s="84"/>
    </row>
    <row r="892">
      <c r="B892" s="84"/>
      <c r="E892" s="84"/>
    </row>
    <row r="893">
      <c r="B893" s="84"/>
      <c r="E893" s="84"/>
    </row>
    <row r="894">
      <c r="B894" s="84"/>
      <c r="E894" s="84"/>
    </row>
    <row r="895">
      <c r="B895" s="84"/>
      <c r="E895" s="84"/>
    </row>
    <row r="896">
      <c r="B896" s="84"/>
      <c r="E896" s="84"/>
    </row>
    <row r="897">
      <c r="B897" s="84"/>
      <c r="E897" s="84"/>
    </row>
    <row r="898">
      <c r="B898" s="84"/>
      <c r="E898" s="84"/>
    </row>
    <row r="899">
      <c r="B899" s="84"/>
      <c r="E899" s="84"/>
    </row>
    <row r="900">
      <c r="B900" s="84"/>
      <c r="E900" s="84"/>
    </row>
    <row r="901">
      <c r="B901" s="84"/>
      <c r="E901" s="84"/>
    </row>
    <row r="902">
      <c r="B902" s="84"/>
      <c r="E902" s="84"/>
    </row>
    <row r="903">
      <c r="B903" s="84"/>
      <c r="E903" s="84"/>
    </row>
    <row r="904">
      <c r="B904" s="84"/>
      <c r="E904" s="84"/>
    </row>
    <row r="905">
      <c r="B905" s="84"/>
      <c r="E905" s="84"/>
    </row>
    <row r="906">
      <c r="B906" s="84"/>
      <c r="E906" s="84"/>
    </row>
    <row r="907">
      <c r="B907" s="84"/>
      <c r="E907" s="84"/>
    </row>
    <row r="908">
      <c r="B908" s="84"/>
      <c r="E908" s="84"/>
    </row>
    <row r="909">
      <c r="B909" s="84"/>
      <c r="E909" s="84"/>
    </row>
    <row r="910">
      <c r="B910" s="84"/>
      <c r="E910" s="84"/>
    </row>
    <row r="911">
      <c r="B911" s="84"/>
      <c r="E911" s="84"/>
    </row>
    <row r="912">
      <c r="B912" s="84"/>
      <c r="E912" s="84"/>
    </row>
    <row r="913">
      <c r="B913" s="84"/>
      <c r="E913" s="84"/>
    </row>
    <row r="914">
      <c r="B914" s="84"/>
      <c r="E914" s="84"/>
    </row>
    <row r="915">
      <c r="B915" s="84"/>
      <c r="E915" s="84"/>
    </row>
    <row r="916">
      <c r="B916" s="84"/>
      <c r="E916" s="84"/>
    </row>
    <row r="917">
      <c r="B917" s="84"/>
      <c r="E917" s="84"/>
    </row>
    <row r="918">
      <c r="B918" s="84"/>
      <c r="E918" s="84"/>
    </row>
    <row r="919">
      <c r="B919" s="84"/>
      <c r="E919" s="84"/>
    </row>
    <row r="920">
      <c r="B920" s="84"/>
      <c r="E920" s="84"/>
    </row>
    <row r="921">
      <c r="B921" s="84"/>
      <c r="E921" s="84"/>
    </row>
    <row r="922">
      <c r="B922" s="84"/>
      <c r="E922" s="84"/>
    </row>
    <row r="923">
      <c r="B923" s="84"/>
      <c r="E923" s="84"/>
    </row>
    <row r="924">
      <c r="B924" s="84"/>
      <c r="E924" s="84"/>
    </row>
    <row r="925">
      <c r="B925" s="84"/>
      <c r="E925" s="84"/>
    </row>
    <row r="926">
      <c r="B926" s="84"/>
      <c r="E926" s="84"/>
    </row>
    <row r="927">
      <c r="B927" s="84"/>
      <c r="E927" s="84"/>
    </row>
    <row r="928">
      <c r="B928" s="84"/>
      <c r="E928" s="84"/>
    </row>
    <row r="929">
      <c r="B929" s="84"/>
      <c r="E929" s="84"/>
    </row>
    <row r="930">
      <c r="B930" s="84"/>
      <c r="E930" s="84"/>
    </row>
    <row r="931">
      <c r="B931" s="84"/>
      <c r="E931" s="84"/>
    </row>
    <row r="932">
      <c r="B932" s="84"/>
      <c r="E932" s="84"/>
    </row>
    <row r="933">
      <c r="B933" s="84"/>
      <c r="E933" s="84"/>
    </row>
    <row r="934">
      <c r="B934" s="84"/>
      <c r="E934" s="84"/>
    </row>
    <row r="935">
      <c r="B935" s="84"/>
      <c r="E935" s="84"/>
    </row>
    <row r="936">
      <c r="B936" s="84"/>
      <c r="E936" s="84"/>
    </row>
    <row r="937">
      <c r="B937" s="84"/>
      <c r="E937" s="84"/>
    </row>
    <row r="938">
      <c r="B938" s="84"/>
      <c r="E938" s="84"/>
    </row>
    <row r="939">
      <c r="B939" s="84"/>
      <c r="E939" s="84"/>
    </row>
    <row r="940">
      <c r="B940" s="84"/>
      <c r="E940" s="84"/>
    </row>
    <row r="941">
      <c r="B941" s="84"/>
      <c r="E941" s="84"/>
    </row>
    <row r="942">
      <c r="B942" s="84"/>
      <c r="E942" s="84"/>
    </row>
    <row r="943">
      <c r="B943" s="84"/>
      <c r="E943" s="84"/>
    </row>
    <row r="944">
      <c r="B944" s="84"/>
      <c r="E944" s="84"/>
    </row>
    <row r="945">
      <c r="B945" s="84"/>
      <c r="E945" s="84"/>
    </row>
    <row r="946">
      <c r="B946" s="84"/>
      <c r="E946" s="84"/>
    </row>
    <row r="947">
      <c r="B947" s="84"/>
      <c r="E947" s="84"/>
    </row>
    <row r="948">
      <c r="B948" s="84"/>
      <c r="E948" s="84"/>
    </row>
    <row r="949">
      <c r="B949" s="84"/>
      <c r="E949" s="84"/>
    </row>
    <row r="950">
      <c r="B950" s="84"/>
      <c r="E950" s="84"/>
    </row>
    <row r="951">
      <c r="B951" s="84"/>
      <c r="E951" s="84"/>
    </row>
    <row r="952">
      <c r="B952" s="84"/>
      <c r="E952" s="84"/>
    </row>
    <row r="953">
      <c r="B953" s="84"/>
      <c r="E953" s="84"/>
    </row>
    <row r="954">
      <c r="B954" s="84"/>
      <c r="E954" s="84"/>
    </row>
    <row r="955">
      <c r="B955" s="84"/>
      <c r="E955" s="84"/>
    </row>
    <row r="956">
      <c r="B956" s="84"/>
      <c r="E956" s="84"/>
    </row>
    <row r="957">
      <c r="B957" s="84"/>
      <c r="E957" s="84"/>
    </row>
    <row r="958">
      <c r="B958" s="84"/>
      <c r="E958" s="84"/>
    </row>
    <row r="959">
      <c r="B959" s="84"/>
      <c r="E959" s="84"/>
    </row>
    <row r="960">
      <c r="B960" s="84"/>
      <c r="E960" s="84"/>
    </row>
    <row r="961">
      <c r="B961" s="84"/>
      <c r="E961" s="84"/>
    </row>
    <row r="962">
      <c r="B962" s="84"/>
      <c r="E962" s="84"/>
    </row>
    <row r="963">
      <c r="B963" s="84"/>
      <c r="E963" s="84"/>
    </row>
    <row r="964">
      <c r="B964" s="84"/>
      <c r="E964" s="84"/>
    </row>
    <row r="965">
      <c r="B965" s="84"/>
      <c r="E965" s="84"/>
    </row>
    <row r="966">
      <c r="B966" s="84"/>
      <c r="E966" s="84"/>
    </row>
    <row r="967">
      <c r="B967" s="84"/>
      <c r="E967" s="84"/>
    </row>
    <row r="968">
      <c r="B968" s="84"/>
      <c r="E968" s="84"/>
    </row>
    <row r="969">
      <c r="B969" s="84"/>
      <c r="E969" s="84"/>
    </row>
    <row r="970">
      <c r="B970" s="84"/>
      <c r="E970" s="84"/>
    </row>
    <row r="971">
      <c r="B971" s="84"/>
      <c r="E971" s="84"/>
    </row>
    <row r="972">
      <c r="B972" s="84"/>
      <c r="E972" s="84"/>
    </row>
    <row r="973">
      <c r="B973" s="84"/>
      <c r="E973" s="84"/>
    </row>
    <row r="974">
      <c r="B974" s="84"/>
      <c r="E974" s="84"/>
    </row>
    <row r="975">
      <c r="B975" s="84"/>
      <c r="E975" s="84"/>
    </row>
    <row r="976">
      <c r="B976" s="84"/>
      <c r="E976" s="84"/>
    </row>
    <row r="977">
      <c r="B977" s="84"/>
      <c r="E977" s="84"/>
    </row>
    <row r="978">
      <c r="B978" s="84"/>
      <c r="E978" s="84"/>
    </row>
    <row r="979">
      <c r="B979" s="84"/>
      <c r="E979" s="84"/>
    </row>
    <row r="980">
      <c r="B980" s="84"/>
      <c r="E980" s="84"/>
    </row>
    <row r="981">
      <c r="B981" s="84"/>
      <c r="E981" s="84"/>
    </row>
    <row r="982">
      <c r="B982" s="84"/>
      <c r="E982" s="84"/>
    </row>
    <row r="983">
      <c r="B983" s="84"/>
      <c r="E983" s="84"/>
    </row>
    <row r="984">
      <c r="B984" s="84"/>
      <c r="E984" s="84"/>
    </row>
    <row r="985">
      <c r="B985" s="84"/>
      <c r="E985" s="84"/>
    </row>
    <row r="986">
      <c r="B986" s="84"/>
      <c r="E986" s="84"/>
    </row>
    <row r="987">
      <c r="B987" s="84"/>
      <c r="E987" s="84"/>
    </row>
    <row r="988">
      <c r="B988" s="84"/>
      <c r="E988" s="84"/>
    </row>
    <row r="989">
      <c r="B989" s="84"/>
      <c r="E989" s="84"/>
    </row>
    <row r="990">
      <c r="B990" s="84"/>
      <c r="E990" s="84"/>
    </row>
    <row r="991">
      <c r="B991" s="84"/>
      <c r="E991" s="84"/>
    </row>
    <row r="992">
      <c r="B992" s="84"/>
      <c r="E992" s="84"/>
    </row>
    <row r="993">
      <c r="B993" s="84"/>
      <c r="E993" s="84"/>
    </row>
    <row r="994">
      <c r="B994" s="84"/>
      <c r="E994" s="84"/>
    </row>
    <row r="995">
      <c r="B995" s="84"/>
      <c r="E995" s="84"/>
    </row>
    <row r="996">
      <c r="B996" s="84"/>
      <c r="E996" s="84"/>
    </row>
    <row r="997">
      <c r="B997" s="84"/>
      <c r="E997" s="84"/>
    </row>
    <row r="998">
      <c r="B998" s="84"/>
      <c r="E998" s="84"/>
    </row>
    <row r="999">
      <c r="B999" s="84"/>
      <c r="E999" s="84"/>
    </row>
    <row r="1000">
      <c r="B1000" s="84"/>
      <c r="E1000" s="84"/>
    </row>
    <row r="1001">
      <c r="B1001" s="84"/>
      <c r="E1001" s="84"/>
    </row>
    <row r="1002">
      <c r="B1002" s="84"/>
      <c r="E1002" s="84"/>
    </row>
    <row r="1003">
      <c r="B1003" s="84"/>
      <c r="E1003" s="8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63"/>
    <col customWidth="1" min="2" max="2" width="6.63"/>
    <col customWidth="1" min="3" max="3" width="6.5"/>
    <col customWidth="1" min="4" max="4" width="10.13"/>
    <col customWidth="1" min="5" max="5" width="18.5"/>
    <col customWidth="1" min="6" max="7" width="11.75"/>
    <col customWidth="1" min="8" max="51" width="5.5"/>
    <col customWidth="1" min="52" max="52" width="5.75"/>
    <col customWidth="1" min="53" max="65" width="5.5"/>
    <col customWidth="1" min="66" max="66" width="8.88"/>
    <col customWidth="1" min="67" max="67" width="9.25"/>
    <col customWidth="1" min="68" max="68" width="10.38"/>
    <col customWidth="1" min="69" max="70" width="8.25"/>
    <col customWidth="1" min="71" max="73" width="7.25"/>
  </cols>
  <sheetData>
    <row r="1" ht="69.0" customHeight="1">
      <c r="A1" s="1" t="s">
        <v>101</v>
      </c>
      <c r="B1" s="65" t="s">
        <v>102</v>
      </c>
      <c r="C1" s="1" t="s">
        <v>103</v>
      </c>
      <c r="D1" s="1" t="s">
        <v>104</v>
      </c>
      <c r="E1" s="65" t="s">
        <v>105</v>
      </c>
      <c r="F1" s="57" t="s">
        <v>73</v>
      </c>
      <c r="G1" s="67" t="s">
        <v>28</v>
      </c>
      <c r="H1" s="57" t="s">
        <v>48</v>
      </c>
      <c r="I1" s="67" t="s">
        <v>65</v>
      </c>
      <c r="J1" s="57" t="s">
        <v>22</v>
      </c>
      <c r="K1" s="57" t="s">
        <v>21</v>
      </c>
      <c r="L1" s="57" t="s">
        <v>16</v>
      </c>
      <c r="M1" s="57" t="s">
        <v>3</v>
      </c>
      <c r="N1" s="57" t="s">
        <v>72</v>
      </c>
      <c r="O1" s="57" t="s">
        <v>69</v>
      </c>
      <c r="P1" s="57" t="s">
        <v>11</v>
      </c>
      <c r="Q1" s="57" t="s">
        <v>52</v>
      </c>
      <c r="R1" s="57" t="s">
        <v>63</v>
      </c>
      <c r="S1" s="57" t="s">
        <v>122</v>
      </c>
      <c r="T1" s="57" t="s">
        <v>54</v>
      </c>
      <c r="U1" s="57" t="s">
        <v>59</v>
      </c>
      <c r="V1" s="57" t="s">
        <v>10</v>
      </c>
      <c r="W1" s="57" t="s">
        <v>8</v>
      </c>
      <c r="X1" s="57" t="s">
        <v>60</v>
      </c>
      <c r="Y1" s="57" t="s">
        <v>56</v>
      </c>
      <c r="Z1" s="57" t="s">
        <v>109</v>
      </c>
      <c r="AA1" s="57" t="s">
        <v>5</v>
      </c>
      <c r="AB1" s="57" t="s">
        <v>14</v>
      </c>
      <c r="AC1" s="57" t="s">
        <v>66</v>
      </c>
      <c r="AD1" s="57" t="s">
        <v>74</v>
      </c>
      <c r="AE1" s="57" t="s">
        <v>9</v>
      </c>
      <c r="AF1" s="57" t="s">
        <v>123</v>
      </c>
      <c r="AG1" s="57" t="s">
        <v>64</v>
      </c>
      <c r="AH1" s="57" t="s">
        <v>71</v>
      </c>
      <c r="AI1" s="57" t="s">
        <v>49</v>
      </c>
      <c r="AJ1" s="57" t="s">
        <v>20</v>
      </c>
      <c r="AK1" s="67" t="s">
        <v>24</v>
      </c>
      <c r="AL1" s="57" t="s">
        <v>61</v>
      </c>
      <c r="AM1" s="57" t="s">
        <v>12</v>
      </c>
      <c r="AN1" s="57" t="s">
        <v>19</v>
      </c>
      <c r="AO1" s="57" t="s">
        <v>53</v>
      </c>
      <c r="AP1" s="57" t="s">
        <v>15</v>
      </c>
      <c r="AQ1" s="57" t="s">
        <v>26</v>
      </c>
      <c r="AR1" s="57" t="s">
        <v>18</v>
      </c>
      <c r="AS1" s="57" t="s">
        <v>75</v>
      </c>
      <c r="AT1" s="57" t="s">
        <v>27</v>
      </c>
      <c r="AU1" s="57" t="s">
        <v>23</v>
      </c>
      <c r="AV1" s="57" t="s">
        <v>13</v>
      </c>
      <c r="AW1" s="57" t="s">
        <v>58</v>
      </c>
      <c r="AX1" s="57" t="s">
        <v>7</v>
      </c>
      <c r="AY1" s="57" t="s">
        <v>111</v>
      </c>
      <c r="AZ1" s="57" t="s">
        <v>51</v>
      </c>
      <c r="BA1" s="57" t="s">
        <v>55</v>
      </c>
      <c r="BB1" s="57" t="s">
        <v>17</v>
      </c>
      <c r="BC1" s="57" t="s">
        <v>29</v>
      </c>
      <c r="BD1" s="57" t="s">
        <v>4</v>
      </c>
      <c r="BE1" s="57" t="s">
        <v>50</v>
      </c>
      <c r="BF1" s="57" t="s">
        <v>67</v>
      </c>
      <c r="BG1" s="6" t="s">
        <v>6</v>
      </c>
      <c r="BH1" s="6" t="s">
        <v>62</v>
      </c>
      <c r="BI1" s="68" t="s">
        <v>113</v>
      </c>
      <c r="BJ1" s="68" t="s">
        <v>114</v>
      </c>
      <c r="BK1" s="6" t="s">
        <v>115</v>
      </c>
      <c r="BL1" s="68" t="s">
        <v>116</v>
      </c>
      <c r="BM1" s="69" t="s">
        <v>117</v>
      </c>
      <c r="BN1" s="7" t="s">
        <v>32</v>
      </c>
      <c r="BO1" s="7" t="s">
        <v>33</v>
      </c>
      <c r="BP1" s="7" t="s">
        <v>34</v>
      </c>
      <c r="BQ1" s="7" t="s">
        <v>35</v>
      </c>
      <c r="BR1" s="7" t="s">
        <v>36</v>
      </c>
      <c r="BS1" s="7" t="s">
        <v>37</v>
      </c>
      <c r="BT1" s="8" t="s">
        <v>38</v>
      </c>
      <c r="BU1" s="8" t="s">
        <v>39</v>
      </c>
    </row>
    <row r="2" ht="16.5" customHeight="1">
      <c r="A2" s="23">
        <v>18.0</v>
      </c>
      <c r="B2" s="82">
        <f t="shared" ref="B2:C2" si="1">BN2</f>
        <v>200</v>
      </c>
      <c r="C2" s="83">
        <f t="shared" si="1"/>
        <v>1</v>
      </c>
      <c r="D2" s="23"/>
      <c r="E2" s="81" t="s">
        <v>24</v>
      </c>
      <c r="F2" s="22">
        <v>10.0</v>
      </c>
      <c r="G2" s="18"/>
      <c r="H2" s="22">
        <v>5.0</v>
      </c>
      <c r="I2" s="22">
        <v>7.0</v>
      </c>
      <c r="J2" s="22">
        <v>4.0</v>
      </c>
      <c r="K2" s="22">
        <v>10.0</v>
      </c>
      <c r="L2" s="22">
        <v>12.0</v>
      </c>
      <c r="M2" s="22">
        <v>6.0</v>
      </c>
      <c r="N2" s="22"/>
      <c r="O2" s="22"/>
      <c r="P2" s="22">
        <v>10.0</v>
      </c>
      <c r="Q2" s="22">
        <v>1.0</v>
      </c>
      <c r="R2" s="22">
        <v>2.0</v>
      </c>
      <c r="S2" s="22">
        <v>2.0</v>
      </c>
      <c r="T2" s="22"/>
      <c r="U2" s="22"/>
      <c r="V2" s="22">
        <v>12.0</v>
      </c>
      <c r="W2" s="22"/>
      <c r="X2" s="22">
        <v>5.0</v>
      </c>
      <c r="Y2" s="22">
        <v>10.0</v>
      </c>
      <c r="Z2" s="22">
        <v>1.0</v>
      </c>
      <c r="AA2" s="22">
        <v>10.0</v>
      </c>
      <c r="AB2" s="23"/>
      <c r="AC2" s="22"/>
      <c r="AD2" s="23"/>
      <c r="AE2" s="22"/>
      <c r="AF2" s="22">
        <v>5.0</v>
      </c>
      <c r="AG2" s="22"/>
      <c r="AH2" s="22">
        <v>3.0</v>
      </c>
      <c r="AI2" s="22"/>
      <c r="AJ2" s="22"/>
      <c r="AK2" s="17"/>
      <c r="AL2" s="22"/>
      <c r="AM2" s="22">
        <v>10.0</v>
      </c>
      <c r="AN2" s="22"/>
      <c r="AO2" s="22">
        <v>12.0</v>
      </c>
      <c r="AP2" s="22"/>
      <c r="AQ2" s="23"/>
      <c r="AR2" s="22">
        <v>8.0</v>
      </c>
      <c r="AS2" s="22"/>
      <c r="AT2" s="22"/>
      <c r="AU2" s="22">
        <v>12.0</v>
      </c>
      <c r="AV2" s="22"/>
      <c r="AW2" s="22"/>
      <c r="AX2" s="22">
        <v>7.0</v>
      </c>
      <c r="AY2" s="22"/>
      <c r="AZ2" s="22">
        <v>8.0</v>
      </c>
      <c r="BA2" s="22"/>
      <c r="BB2" s="22"/>
      <c r="BC2" s="22"/>
      <c r="BD2" s="22"/>
      <c r="BE2" s="22">
        <v>4.0</v>
      </c>
      <c r="BF2" s="22">
        <v>12.0</v>
      </c>
      <c r="BG2" s="22"/>
      <c r="BH2" s="22">
        <v>12.0</v>
      </c>
      <c r="BI2" s="22"/>
      <c r="BJ2" s="22"/>
      <c r="BK2" s="22"/>
      <c r="BL2" s="22"/>
      <c r="BM2" s="17"/>
      <c r="BN2" s="23">
        <f t="shared" ref="BN2:BN29" si="3">SUM(F2:BM2)</f>
        <v>200</v>
      </c>
      <c r="BO2" s="23">
        <f t="shared" ref="BO2:BO29" si="4">RANK(BN2, $BN$2:$BN$29)
</f>
        <v>1</v>
      </c>
      <c r="BP2" s="23">
        <f t="shared" ref="BP2:BP29" si="5">COUNTIF(F2:BM2, "&gt;0")</f>
        <v>27</v>
      </c>
      <c r="BQ2" s="23">
        <f t="shared" ref="BQ2:BQ29" si="6">COUNTIF(F2:BM2, "12")</f>
        <v>6</v>
      </c>
      <c r="BR2" s="23">
        <f t="shared" ref="BR2:BR29" si="7">COUNTIF(F2:BM2, "10")</f>
        <v>6</v>
      </c>
      <c r="BS2" s="23">
        <f t="shared" ref="BS2:BS29" si="8">COUNTIF(F2:BM2, "8")</f>
        <v>2</v>
      </c>
      <c r="BT2" s="24">
        <f t="shared" ref="BT2:BT29" si="9">VALUE(BN2 &amp; TEXT(BP2, "00") &amp; TEXT(BQ2, "00") &amp; TEXT(BR2, "00") &amp; TEXT(BS2, "00"))
</f>
        <v>20027060602</v>
      </c>
      <c r="BU2" s="23">
        <f t="shared" ref="BU2:BU29" si="10">RANK(BT2, $BT$2:$BT$29)
</f>
        <v>1</v>
      </c>
    </row>
    <row r="3" ht="16.5" customHeight="1">
      <c r="A3" s="23">
        <v>6.0</v>
      </c>
      <c r="B3" s="79">
        <f t="shared" ref="B3:C3" si="2">BN3</f>
        <v>173</v>
      </c>
      <c r="C3" s="80">
        <f t="shared" si="2"/>
        <v>2</v>
      </c>
      <c r="D3" s="23"/>
      <c r="E3" s="81" t="s">
        <v>66</v>
      </c>
      <c r="F3" s="22"/>
      <c r="G3" s="17">
        <v>8.0</v>
      </c>
      <c r="H3" s="23"/>
      <c r="I3" s="22">
        <v>4.0</v>
      </c>
      <c r="J3" s="22">
        <v>12.0</v>
      </c>
      <c r="K3" s="22"/>
      <c r="L3" s="22">
        <v>7.0</v>
      </c>
      <c r="M3" s="22"/>
      <c r="N3" s="22"/>
      <c r="O3" s="22">
        <v>12.0</v>
      </c>
      <c r="P3" s="22"/>
      <c r="Q3" s="22"/>
      <c r="R3" s="22">
        <v>10.0</v>
      </c>
      <c r="S3" s="22">
        <v>1.0</v>
      </c>
      <c r="T3" s="22"/>
      <c r="U3" s="22">
        <v>10.0</v>
      </c>
      <c r="V3" s="22"/>
      <c r="W3" s="22">
        <v>10.0</v>
      </c>
      <c r="X3" s="22">
        <v>12.0</v>
      </c>
      <c r="Y3" s="22"/>
      <c r="Z3" s="22"/>
      <c r="AA3" s="22">
        <v>6.0</v>
      </c>
      <c r="AB3" s="22">
        <v>12.0</v>
      </c>
      <c r="AC3" s="22"/>
      <c r="AD3" s="22">
        <v>12.0</v>
      </c>
      <c r="AE3" s="22"/>
      <c r="AF3" s="22">
        <v>7.0</v>
      </c>
      <c r="AG3" s="22"/>
      <c r="AH3" s="22"/>
      <c r="AI3" s="22"/>
      <c r="AJ3" s="22">
        <v>6.0</v>
      </c>
      <c r="AK3" s="17"/>
      <c r="AL3" s="22">
        <v>5.0</v>
      </c>
      <c r="AM3" s="22">
        <v>7.0</v>
      </c>
      <c r="AN3" s="22"/>
      <c r="AO3" s="22"/>
      <c r="AP3" s="22"/>
      <c r="AQ3" s="22"/>
      <c r="AR3" s="22"/>
      <c r="AS3" s="23"/>
      <c r="AT3" s="22">
        <v>10.0</v>
      </c>
      <c r="AU3" s="22"/>
      <c r="AV3" s="22">
        <v>12.0</v>
      </c>
      <c r="AW3" s="23"/>
      <c r="AX3" s="23"/>
      <c r="AY3" s="22"/>
      <c r="AZ3" s="22">
        <v>4.0</v>
      </c>
      <c r="BA3" s="22"/>
      <c r="BB3" s="23"/>
      <c r="BC3" s="22"/>
      <c r="BD3" s="23"/>
      <c r="BE3" s="22">
        <v>3.0</v>
      </c>
      <c r="BF3" s="22"/>
      <c r="BG3" s="22">
        <v>3.0</v>
      </c>
      <c r="BH3" s="22"/>
      <c r="BI3" s="22"/>
      <c r="BJ3" s="22"/>
      <c r="BK3" s="22"/>
      <c r="BL3" s="22"/>
      <c r="BM3" s="17"/>
      <c r="BN3" s="23">
        <f t="shared" si="3"/>
        <v>173</v>
      </c>
      <c r="BO3" s="23">
        <f t="shared" si="4"/>
        <v>2</v>
      </c>
      <c r="BP3" s="23">
        <f t="shared" si="5"/>
        <v>22</v>
      </c>
      <c r="BQ3" s="23">
        <f t="shared" si="6"/>
        <v>6</v>
      </c>
      <c r="BR3" s="23">
        <f t="shared" si="7"/>
        <v>4</v>
      </c>
      <c r="BS3" s="23">
        <f t="shared" si="8"/>
        <v>1</v>
      </c>
      <c r="BT3" s="24">
        <f t="shared" si="9"/>
        <v>17322060401</v>
      </c>
      <c r="BU3" s="23">
        <f t="shared" si="10"/>
        <v>2</v>
      </c>
    </row>
    <row r="4" ht="16.5" customHeight="1">
      <c r="A4" s="17">
        <v>25.0</v>
      </c>
      <c r="B4" s="79">
        <f t="shared" ref="B4:C4" si="11">BN4</f>
        <v>147</v>
      </c>
      <c r="C4" s="80">
        <f t="shared" si="11"/>
        <v>3</v>
      </c>
      <c r="D4" s="17"/>
      <c r="E4" s="81" t="s">
        <v>23</v>
      </c>
      <c r="F4" s="17">
        <v>4.0</v>
      </c>
      <c r="G4" s="17">
        <v>5.0</v>
      </c>
      <c r="H4" s="17">
        <v>12.0</v>
      </c>
      <c r="I4" s="17">
        <v>8.0</v>
      </c>
      <c r="J4" s="17">
        <v>6.0</v>
      </c>
      <c r="K4" s="17">
        <v>8.0</v>
      </c>
      <c r="L4" s="18"/>
      <c r="M4" s="17"/>
      <c r="N4" s="17">
        <v>7.0</v>
      </c>
      <c r="O4" s="17"/>
      <c r="P4" s="18"/>
      <c r="Q4" s="17">
        <v>3.0</v>
      </c>
      <c r="R4" s="17"/>
      <c r="S4" s="17">
        <v>6.0</v>
      </c>
      <c r="T4" s="17">
        <v>6.0</v>
      </c>
      <c r="U4" s="17"/>
      <c r="V4" s="17"/>
      <c r="W4" s="17">
        <v>4.0</v>
      </c>
      <c r="X4" s="17">
        <v>3.0</v>
      </c>
      <c r="Y4" s="17">
        <v>7.0</v>
      </c>
      <c r="Z4" s="17"/>
      <c r="AA4" s="17">
        <v>3.0</v>
      </c>
      <c r="AB4" s="18"/>
      <c r="AC4" s="17">
        <v>1.0</v>
      </c>
      <c r="AD4" s="17"/>
      <c r="AE4" s="17"/>
      <c r="AF4" s="18"/>
      <c r="AG4" s="18"/>
      <c r="AH4" s="18"/>
      <c r="AI4" s="17"/>
      <c r="AJ4" s="17">
        <v>1.0</v>
      </c>
      <c r="AK4" s="18"/>
      <c r="AL4" s="18"/>
      <c r="AM4" s="17">
        <v>2.0</v>
      </c>
      <c r="AN4" s="17"/>
      <c r="AO4" s="17">
        <v>10.0</v>
      </c>
      <c r="AP4" s="17">
        <v>12.0</v>
      </c>
      <c r="AQ4" s="17">
        <v>5.0</v>
      </c>
      <c r="AR4" s="17"/>
      <c r="AS4" s="17"/>
      <c r="AT4" s="17">
        <v>7.0</v>
      </c>
      <c r="AU4" s="17"/>
      <c r="AV4" s="17"/>
      <c r="AW4" s="18"/>
      <c r="AX4" s="17"/>
      <c r="AY4" s="17"/>
      <c r="AZ4" s="17">
        <v>1.0</v>
      </c>
      <c r="BA4" s="18"/>
      <c r="BB4" s="17">
        <v>5.0</v>
      </c>
      <c r="BC4" s="17"/>
      <c r="BD4" s="18"/>
      <c r="BE4" s="17">
        <v>7.0</v>
      </c>
      <c r="BF4" s="17">
        <v>4.0</v>
      </c>
      <c r="BG4" s="17"/>
      <c r="BH4" s="17">
        <v>10.0</v>
      </c>
      <c r="BI4" s="17"/>
      <c r="BJ4" s="17"/>
      <c r="BK4" s="17"/>
      <c r="BL4" s="17"/>
      <c r="BM4" s="17"/>
      <c r="BN4" s="18">
        <f t="shared" si="3"/>
        <v>147</v>
      </c>
      <c r="BO4" s="18">
        <f t="shared" si="4"/>
        <v>3</v>
      </c>
      <c r="BP4" s="18">
        <f t="shared" si="5"/>
        <v>26</v>
      </c>
      <c r="BQ4" s="18">
        <f t="shared" si="6"/>
        <v>2</v>
      </c>
      <c r="BR4" s="18">
        <f t="shared" si="7"/>
        <v>2</v>
      </c>
      <c r="BS4" s="18">
        <f t="shared" si="8"/>
        <v>2</v>
      </c>
      <c r="BT4" s="19">
        <f t="shared" si="9"/>
        <v>14726020202</v>
      </c>
      <c r="BU4" s="18">
        <f t="shared" si="10"/>
        <v>3</v>
      </c>
    </row>
    <row r="5" ht="16.5" customHeight="1">
      <c r="A5" s="22">
        <v>27.0</v>
      </c>
      <c r="B5" s="79">
        <f t="shared" ref="B5:C5" si="12">BN5</f>
        <v>144</v>
      </c>
      <c r="C5" s="80">
        <f t="shared" si="12"/>
        <v>4</v>
      </c>
      <c r="D5" s="22"/>
      <c r="E5" s="81" t="s">
        <v>22</v>
      </c>
      <c r="F5" s="22">
        <v>1.0</v>
      </c>
      <c r="G5" s="17"/>
      <c r="H5" s="22"/>
      <c r="I5" s="22">
        <v>12.0</v>
      </c>
      <c r="J5" s="23"/>
      <c r="K5" s="22">
        <v>5.0</v>
      </c>
      <c r="L5" s="22">
        <v>8.0</v>
      </c>
      <c r="M5" s="23"/>
      <c r="N5" s="22">
        <v>8.0</v>
      </c>
      <c r="O5" s="22"/>
      <c r="P5" s="22">
        <v>7.0</v>
      </c>
      <c r="Q5" s="22">
        <v>10.0</v>
      </c>
      <c r="R5" s="22"/>
      <c r="S5" s="23"/>
      <c r="T5" s="22"/>
      <c r="U5" s="23"/>
      <c r="V5" s="22">
        <v>6.0</v>
      </c>
      <c r="W5" s="22">
        <v>12.0</v>
      </c>
      <c r="X5" s="22">
        <v>2.0</v>
      </c>
      <c r="Y5" s="22">
        <v>5.0</v>
      </c>
      <c r="Z5" s="22"/>
      <c r="AA5" s="22">
        <v>12.0</v>
      </c>
      <c r="AB5" s="22"/>
      <c r="AC5" s="23"/>
      <c r="AD5" s="22"/>
      <c r="AE5" s="22"/>
      <c r="AF5" s="23"/>
      <c r="AG5" s="22"/>
      <c r="AH5" s="22"/>
      <c r="AI5" s="22"/>
      <c r="AJ5" s="22"/>
      <c r="AK5" s="17"/>
      <c r="AL5" s="22"/>
      <c r="AM5" s="22">
        <v>12.0</v>
      </c>
      <c r="AN5" s="22"/>
      <c r="AO5" s="22"/>
      <c r="AP5" s="23"/>
      <c r="AQ5" s="23"/>
      <c r="AR5" s="22"/>
      <c r="AS5" s="22"/>
      <c r="AT5" s="23"/>
      <c r="AU5" s="22"/>
      <c r="AV5" s="22"/>
      <c r="AW5" s="22"/>
      <c r="AX5" s="22">
        <v>8.0</v>
      </c>
      <c r="AY5" s="23"/>
      <c r="AZ5" s="22">
        <v>10.0</v>
      </c>
      <c r="BA5" s="22"/>
      <c r="BB5" s="23"/>
      <c r="BC5" s="22">
        <v>7.0</v>
      </c>
      <c r="BD5" s="23"/>
      <c r="BE5" s="22"/>
      <c r="BF5" s="22">
        <v>6.0</v>
      </c>
      <c r="BG5" s="22">
        <v>7.0</v>
      </c>
      <c r="BH5" s="22">
        <v>6.0</v>
      </c>
      <c r="BI5" s="22"/>
      <c r="BJ5" s="22"/>
      <c r="BK5" s="23"/>
      <c r="BL5" s="22"/>
      <c r="BM5" s="17"/>
      <c r="BN5" s="23">
        <f t="shared" si="3"/>
        <v>144</v>
      </c>
      <c r="BO5" s="23">
        <f t="shared" si="4"/>
        <v>4</v>
      </c>
      <c r="BP5" s="23">
        <f t="shared" si="5"/>
        <v>19</v>
      </c>
      <c r="BQ5" s="23">
        <f t="shared" si="6"/>
        <v>4</v>
      </c>
      <c r="BR5" s="23">
        <f t="shared" si="7"/>
        <v>2</v>
      </c>
      <c r="BS5" s="23">
        <f t="shared" si="8"/>
        <v>3</v>
      </c>
      <c r="BT5" s="24">
        <f t="shared" si="9"/>
        <v>14419040203</v>
      </c>
      <c r="BU5" s="23">
        <f t="shared" si="10"/>
        <v>4</v>
      </c>
    </row>
    <row r="6" ht="16.5" customHeight="1">
      <c r="A6" s="18">
        <v>11.0</v>
      </c>
      <c r="B6" s="79">
        <f t="shared" ref="B6:C6" si="13">BN6</f>
        <v>137</v>
      </c>
      <c r="C6" s="80">
        <f t="shared" si="13"/>
        <v>5</v>
      </c>
      <c r="D6" s="18"/>
      <c r="E6" s="81" t="s">
        <v>64</v>
      </c>
      <c r="F6" s="17">
        <v>12.0</v>
      </c>
      <c r="G6" s="17"/>
      <c r="H6" s="17">
        <v>6.0</v>
      </c>
      <c r="I6" s="17"/>
      <c r="J6" s="17">
        <v>5.0</v>
      </c>
      <c r="K6" s="17">
        <v>3.0</v>
      </c>
      <c r="L6" s="17"/>
      <c r="M6" s="17">
        <v>12.0</v>
      </c>
      <c r="N6" s="17">
        <v>12.0</v>
      </c>
      <c r="O6" s="18"/>
      <c r="P6" s="17">
        <v>6.0</v>
      </c>
      <c r="Q6" s="17"/>
      <c r="R6" s="17">
        <v>1.0</v>
      </c>
      <c r="S6" s="17">
        <v>4.0</v>
      </c>
      <c r="T6" s="17"/>
      <c r="U6" s="17">
        <v>2.0</v>
      </c>
      <c r="V6" s="17"/>
      <c r="W6" s="17"/>
      <c r="X6" s="17"/>
      <c r="Y6" s="17">
        <v>12.0</v>
      </c>
      <c r="Z6" s="17"/>
      <c r="AA6" s="17"/>
      <c r="AB6" s="18"/>
      <c r="AC6" s="17"/>
      <c r="AD6" s="17"/>
      <c r="AE6" s="17">
        <v>3.0</v>
      </c>
      <c r="AF6" s="17"/>
      <c r="AG6" s="17"/>
      <c r="AH6" s="17">
        <v>2.0</v>
      </c>
      <c r="AI6" s="17"/>
      <c r="AJ6" s="17"/>
      <c r="AK6" s="17">
        <v>8.0</v>
      </c>
      <c r="AL6" s="17"/>
      <c r="AM6" s="17"/>
      <c r="AN6" s="17"/>
      <c r="AO6" s="17">
        <v>2.0</v>
      </c>
      <c r="AP6" s="17"/>
      <c r="AQ6" s="17">
        <v>4.0</v>
      </c>
      <c r="AR6" s="17">
        <v>2.0</v>
      </c>
      <c r="AS6" s="17"/>
      <c r="AT6" s="17"/>
      <c r="AU6" s="17">
        <v>10.0</v>
      </c>
      <c r="AV6" s="17"/>
      <c r="AW6" s="17"/>
      <c r="AX6" s="17">
        <v>10.0</v>
      </c>
      <c r="AY6" s="18"/>
      <c r="AZ6" s="17"/>
      <c r="BA6" s="17"/>
      <c r="BB6" s="17">
        <v>2.0</v>
      </c>
      <c r="BC6" s="17">
        <v>5.0</v>
      </c>
      <c r="BD6" s="17"/>
      <c r="BE6" s="17">
        <v>6.0</v>
      </c>
      <c r="BF6" s="17"/>
      <c r="BG6" s="18"/>
      <c r="BH6" s="17">
        <v>8.0</v>
      </c>
      <c r="BI6" s="17"/>
      <c r="BJ6" s="18"/>
      <c r="BK6" s="18"/>
      <c r="BL6" s="17"/>
      <c r="BM6" s="17"/>
      <c r="BN6" s="18">
        <f t="shared" si="3"/>
        <v>137</v>
      </c>
      <c r="BO6" s="18">
        <f t="shared" si="4"/>
        <v>5</v>
      </c>
      <c r="BP6" s="18">
        <f t="shared" si="5"/>
        <v>23</v>
      </c>
      <c r="BQ6" s="18">
        <f t="shared" si="6"/>
        <v>4</v>
      </c>
      <c r="BR6" s="18">
        <f t="shared" si="7"/>
        <v>2</v>
      </c>
      <c r="BS6" s="18">
        <f t="shared" si="8"/>
        <v>2</v>
      </c>
      <c r="BT6" s="19">
        <f t="shared" si="9"/>
        <v>13723040202</v>
      </c>
      <c r="BU6" s="18">
        <f t="shared" si="10"/>
        <v>5</v>
      </c>
    </row>
    <row r="7" ht="16.5" customHeight="1">
      <c r="A7" s="18">
        <v>5.0</v>
      </c>
      <c r="B7" s="79">
        <f t="shared" ref="B7:C7" si="14">BN7</f>
        <v>129</v>
      </c>
      <c r="C7" s="80">
        <f t="shared" si="14"/>
        <v>6</v>
      </c>
      <c r="D7" s="18"/>
      <c r="E7" s="81" t="s">
        <v>19</v>
      </c>
      <c r="F7" s="17"/>
      <c r="G7" s="17">
        <v>6.0</v>
      </c>
      <c r="H7" s="17"/>
      <c r="I7" s="17"/>
      <c r="J7" s="17">
        <v>2.0</v>
      </c>
      <c r="K7" s="18"/>
      <c r="L7" s="18"/>
      <c r="M7" s="17"/>
      <c r="N7" s="17">
        <v>1.0</v>
      </c>
      <c r="O7" s="17">
        <v>1.0</v>
      </c>
      <c r="P7" s="17">
        <v>8.0</v>
      </c>
      <c r="Q7" s="17"/>
      <c r="R7" s="17"/>
      <c r="S7" s="18"/>
      <c r="T7" s="17">
        <v>5.0</v>
      </c>
      <c r="U7" s="17"/>
      <c r="V7" s="17"/>
      <c r="W7" s="17">
        <v>5.0</v>
      </c>
      <c r="X7" s="17"/>
      <c r="Y7" s="17">
        <v>1.0</v>
      </c>
      <c r="Z7" s="17">
        <v>8.0</v>
      </c>
      <c r="AA7" s="18"/>
      <c r="AB7" s="17">
        <v>6.0</v>
      </c>
      <c r="AC7" s="18"/>
      <c r="AD7" s="17"/>
      <c r="AE7" s="17">
        <v>1.0</v>
      </c>
      <c r="AF7" s="17"/>
      <c r="AG7" s="17">
        <v>5.0</v>
      </c>
      <c r="AH7" s="17"/>
      <c r="AI7" s="17">
        <v>8.0</v>
      </c>
      <c r="AJ7" s="18"/>
      <c r="AK7" s="18"/>
      <c r="AL7" s="17">
        <v>7.0</v>
      </c>
      <c r="AM7" s="17">
        <v>8.0</v>
      </c>
      <c r="AN7" s="17"/>
      <c r="AO7" s="17"/>
      <c r="AP7" s="17">
        <v>2.0</v>
      </c>
      <c r="AQ7" s="18"/>
      <c r="AR7" s="17">
        <v>7.0</v>
      </c>
      <c r="AS7" s="17">
        <v>6.0</v>
      </c>
      <c r="AT7" s="17"/>
      <c r="AU7" s="17"/>
      <c r="AV7" s="17"/>
      <c r="AW7" s="17">
        <v>12.0</v>
      </c>
      <c r="AX7" s="17">
        <v>4.0</v>
      </c>
      <c r="AY7" s="17">
        <v>4.0</v>
      </c>
      <c r="AZ7" s="17">
        <v>3.0</v>
      </c>
      <c r="BA7" s="17">
        <v>7.0</v>
      </c>
      <c r="BB7" s="17">
        <v>3.0</v>
      </c>
      <c r="BC7" s="18"/>
      <c r="BD7" s="17">
        <v>8.0</v>
      </c>
      <c r="BE7" s="17"/>
      <c r="BF7" s="17">
        <v>1.0</v>
      </c>
      <c r="BG7" s="17"/>
      <c r="BH7" s="18"/>
      <c r="BI7" s="18"/>
      <c r="BJ7" s="17"/>
      <c r="BK7" s="18"/>
      <c r="BL7" s="17"/>
      <c r="BM7" s="17"/>
      <c r="BN7" s="18">
        <f t="shared" si="3"/>
        <v>129</v>
      </c>
      <c r="BO7" s="18">
        <f t="shared" si="4"/>
        <v>6</v>
      </c>
      <c r="BP7" s="18">
        <f t="shared" si="5"/>
        <v>26</v>
      </c>
      <c r="BQ7" s="18">
        <f t="shared" si="6"/>
        <v>1</v>
      </c>
      <c r="BR7" s="18">
        <f t="shared" si="7"/>
        <v>0</v>
      </c>
      <c r="BS7" s="18">
        <f t="shared" si="8"/>
        <v>5</v>
      </c>
      <c r="BT7" s="19">
        <f t="shared" si="9"/>
        <v>12926010005</v>
      </c>
      <c r="BU7" s="18">
        <f t="shared" si="10"/>
        <v>6</v>
      </c>
    </row>
    <row r="8" ht="16.5" customHeight="1">
      <c r="A8" s="23">
        <v>3.0</v>
      </c>
      <c r="B8" s="79">
        <f t="shared" ref="B8:C8" si="15">BN8</f>
        <v>129</v>
      </c>
      <c r="C8" s="80">
        <f t="shared" si="15"/>
        <v>6</v>
      </c>
      <c r="D8" s="23"/>
      <c r="E8" s="81" t="s">
        <v>72</v>
      </c>
      <c r="F8" s="22">
        <v>3.0</v>
      </c>
      <c r="G8" s="17"/>
      <c r="H8" s="22">
        <v>1.0</v>
      </c>
      <c r="I8" s="23"/>
      <c r="J8" s="22"/>
      <c r="K8" s="22">
        <v>4.0</v>
      </c>
      <c r="L8" s="22">
        <v>1.0</v>
      </c>
      <c r="M8" s="22"/>
      <c r="N8" s="23"/>
      <c r="O8" s="23"/>
      <c r="P8" s="22"/>
      <c r="Q8" s="23"/>
      <c r="R8" s="22"/>
      <c r="S8" s="22">
        <v>7.0</v>
      </c>
      <c r="T8" s="22">
        <v>3.0</v>
      </c>
      <c r="U8" s="23"/>
      <c r="V8" s="22">
        <v>5.0</v>
      </c>
      <c r="W8" s="22">
        <v>8.0</v>
      </c>
      <c r="X8" s="22"/>
      <c r="Y8" s="22"/>
      <c r="Z8" s="23"/>
      <c r="AA8" s="22"/>
      <c r="AB8" s="22"/>
      <c r="AC8" s="22"/>
      <c r="AD8" s="22"/>
      <c r="AE8" s="23"/>
      <c r="AF8" s="23"/>
      <c r="AG8" s="22">
        <v>8.0</v>
      </c>
      <c r="AH8" s="22"/>
      <c r="AI8" s="22"/>
      <c r="AJ8" s="23"/>
      <c r="AK8" s="17">
        <v>2.0</v>
      </c>
      <c r="AL8" s="22">
        <v>12.0</v>
      </c>
      <c r="AM8" s="23"/>
      <c r="AN8" s="22">
        <v>5.0</v>
      </c>
      <c r="AO8" s="22">
        <v>1.0</v>
      </c>
      <c r="AP8" s="22">
        <v>10.0</v>
      </c>
      <c r="AQ8" s="22">
        <v>12.0</v>
      </c>
      <c r="AR8" s="22">
        <v>6.0</v>
      </c>
      <c r="AS8" s="22"/>
      <c r="AT8" s="22"/>
      <c r="AU8" s="22">
        <v>7.0</v>
      </c>
      <c r="AV8" s="22"/>
      <c r="AW8" s="23"/>
      <c r="AX8" s="22"/>
      <c r="AY8" s="23"/>
      <c r="AZ8" s="22"/>
      <c r="BA8" s="22">
        <v>12.0</v>
      </c>
      <c r="BB8" s="22">
        <v>10.0</v>
      </c>
      <c r="BC8" s="22"/>
      <c r="BD8" s="22"/>
      <c r="BE8" s="22">
        <v>12.0</v>
      </c>
      <c r="BF8" s="23"/>
      <c r="BG8" s="23"/>
      <c r="BH8" s="22"/>
      <c r="BI8" s="22"/>
      <c r="BJ8" s="22"/>
      <c r="BK8" s="22"/>
      <c r="BL8" s="23"/>
      <c r="BM8" s="17"/>
      <c r="BN8" s="23">
        <f t="shared" si="3"/>
        <v>129</v>
      </c>
      <c r="BO8" s="23">
        <f t="shared" si="4"/>
        <v>6</v>
      </c>
      <c r="BP8" s="23">
        <f t="shared" si="5"/>
        <v>20</v>
      </c>
      <c r="BQ8" s="23">
        <f t="shared" si="6"/>
        <v>4</v>
      </c>
      <c r="BR8" s="23">
        <f t="shared" si="7"/>
        <v>2</v>
      </c>
      <c r="BS8" s="23">
        <f t="shared" si="8"/>
        <v>2</v>
      </c>
      <c r="BT8" s="24">
        <f t="shared" si="9"/>
        <v>12920040202</v>
      </c>
      <c r="BU8" s="23">
        <f t="shared" si="10"/>
        <v>7</v>
      </c>
    </row>
    <row r="9" ht="16.5" customHeight="1">
      <c r="A9" s="18">
        <v>1.0</v>
      </c>
      <c r="B9" s="79">
        <f t="shared" ref="B9:C9" si="16">BN9</f>
        <v>128</v>
      </c>
      <c r="C9" s="80">
        <f t="shared" si="16"/>
        <v>8</v>
      </c>
      <c r="D9" s="18"/>
      <c r="E9" s="81" t="s">
        <v>123</v>
      </c>
      <c r="F9" s="17"/>
      <c r="G9" s="18"/>
      <c r="H9" s="17"/>
      <c r="I9" s="18"/>
      <c r="J9" s="17"/>
      <c r="K9" s="17"/>
      <c r="L9" s="18"/>
      <c r="M9" s="17"/>
      <c r="N9" s="17"/>
      <c r="O9" s="17">
        <v>6.0</v>
      </c>
      <c r="P9" s="17"/>
      <c r="Q9" s="17"/>
      <c r="R9" s="17">
        <v>3.0</v>
      </c>
      <c r="S9" s="17">
        <v>8.0</v>
      </c>
      <c r="T9" s="17">
        <v>12.0</v>
      </c>
      <c r="U9" s="17">
        <v>7.0</v>
      </c>
      <c r="V9" s="17"/>
      <c r="W9" s="17">
        <v>2.0</v>
      </c>
      <c r="X9" s="17"/>
      <c r="Y9" s="18"/>
      <c r="Z9" s="18"/>
      <c r="AA9" s="18"/>
      <c r="AB9" s="17"/>
      <c r="AC9" s="17">
        <v>12.0</v>
      </c>
      <c r="AD9" s="17">
        <v>7.0</v>
      </c>
      <c r="AE9" s="17">
        <v>7.0</v>
      </c>
      <c r="AF9" s="18"/>
      <c r="AG9" s="17"/>
      <c r="AH9" s="17">
        <v>4.0</v>
      </c>
      <c r="AI9" s="18"/>
      <c r="AJ9" s="17">
        <v>12.0</v>
      </c>
      <c r="AK9" s="17"/>
      <c r="AL9" s="18"/>
      <c r="AM9" s="17">
        <v>3.0</v>
      </c>
      <c r="AN9" s="18"/>
      <c r="AO9" s="18"/>
      <c r="AP9" s="17">
        <v>3.0</v>
      </c>
      <c r="AQ9" s="17"/>
      <c r="AR9" s="17"/>
      <c r="AS9" s="17"/>
      <c r="AT9" s="17">
        <v>8.0</v>
      </c>
      <c r="AU9" s="17">
        <v>4.0</v>
      </c>
      <c r="AV9" s="17">
        <v>7.0</v>
      </c>
      <c r="AW9" s="17">
        <v>10.0</v>
      </c>
      <c r="AX9" s="17"/>
      <c r="AY9" s="17">
        <v>3.0</v>
      </c>
      <c r="AZ9" s="17">
        <v>2.0</v>
      </c>
      <c r="BA9" s="17"/>
      <c r="BB9" s="17">
        <v>4.0</v>
      </c>
      <c r="BC9" s="17"/>
      <c r="BD9" s="17"/>
      <c r="BE9" s="17"/>
      <c r="BF9" s="18"/>
      <c r="BG9" s="17">
        <v>4.0</v>
      </c>
      <c r="BH9" s="18"/>
      <c r="BI9" s="17"/>
      <c r="BJ9" s="17"/>
      <c r="BK9" s="17"/>
      <c r="BL9" s="17"/>
      <c r="BM9" s="17"/>
      <c r="BN9" s="18">
        <f t="shared" si="3"/>
        <v>128</v>
      </c>
      <c r="BO9" s="18">
        <f t="shared" si="4"/>
        <v>8</v>
      </c>
      <c r="BP9" s="18">
        <f t="shared" si="5"/>
        <v>21</v>
      </c>
      <c r="BQ9" s="18">
        <f t="shared" si="6"/>
        <v>3</v>
      </c>
      <c r="BR9" s="18">
        <f t="shared" si="7"/>
        <v>1</v>
      </c>
      <c r="BS9" s="18">
        <f t="shared" si="8"/>
        <v>2</v>
      </c>
      <c r="BT9" s="19">
        <f t="shared" si="9"/>
        <v>12821030102</v>
      </c>
      <c r="BU9" s="18">
        <f t="shared" si="10"/>
        <v>8</v>
      </c>
    </row>
    <row r="10" ht="16.5" customHeight="1">
      <c r="A10" s="23">
        <v>15.0</v>
      </c>
      <c r="B10" s="79">
        <f t="shared" ref="B10:C10" si="17">BN10</f>
        <v>128</v>
      </c>
      <c r="C10" s="80">
        <f t="shared" si="17"/>
        <v>8</v>
      </c>
      <c r="D10" s="23"/>
      <c r="E10" s="81" t="s">
        <v>18</v>
      </c>
      <c r="F10" s="22">
        <v>7.0</v>
      </c>
      <c r="G10" s="17">
        <v>3.0</v>
      </c>
      <c r="H10" s="22">
        <v>8.0</v>
      </c>
      <c r="I10" s="23"/>
      <c r="J10" s="22"/>
      <c r="K10" s="22">
        <v>12.0</v>
      </c>
      <c r="L10" s="22"/>
      <c r="M10" s="22">
        <v>8.0</v>
      </c>
      <c r="N10" s="22">
        <v>3.0</v>
      </c>
      <c r="O10" s="22"/>
      <c r="P10" s="22">
        <v>4.0</v>
      </c>
      <c r="Q10" s="23"/>
      <c r="R10" s="22"/>
      <c r="S10" s="23"/>
      <c r="T10" s="22"/>
      <c r="U10" s="22"/>
      <c r="V10" s="22">
        <v>4.0</v>
      </c>
      <c r="W10" s="22">
        <v>6.0</v>
      </c>
      <c r="X10" s="23"/>
      <c r="Y10" s="22"/>
      <c r="Z10" s="22"/>
      <c r="AA10" s="23"/>
      <c r="AB10" s="23"/>
      <c r="AC10" s="22"/>
      <c r="AD10" s="22"/>
      <c r="AE10" s="22"/>
      <c r="AF10" s="22"/>
      <c r="AG10" s="22">
        <v>6.0</v>
      </c>
      <c r="AH10" s="22">
        <v>8.0</v>
      </c>
      <c r="AI10" s="22">
        <v>3.0</v>
      </c>
      <c r="AJ10" s="22"/>
      <c r="AK10" s="17">
        <v>10.0</v>
      </c>
      <c r="AL10" s="22">
        <v>10.0</v>
      </c>
      <c r="AM10" s="22"/>
      <c r="AN10" s="22">
        <v>3.0</v>
      </c>
      <c r="AO10" s="22"/>
      <c r="AP10" s="22"/>
      <c r="AQ10" s="22"/>
      <c r="AR10" s="22"/>
      <c r="AS10" s="23"/>
      <c r="AT10" s="22"/>
      <c r="AU10" s="22">
        <v>5.0</v>
      </c>
      <c r="AV10" s="23"/>
      <c r="AW10" s="23"/>
      <c r="AX10" s="23"/>
      <c r="AY10" s="22"/>
      <c r="AZ10" s="22"/>
      <c r="BA10" s="22">
        <v>8.0</v>
      </c>
      <c r="BB10" s="22">
        <v>6.0</v>
      </c>
      <c r="BC10" s="22">
        <v>4.0</v>
      </c>
      <c r="BD10" s="22"/>
      <c r="BE10" s="22"/>
      <c r="BF10" s="22">
        <v>10.0</v>
      </c>
      <c r="BG10" s="22"/>
      <c r="BH10" s="23"/>
      <c r="BI10" s="22"/>
      <c r="BJ10" s="22"/>
      <c r="BK10" s="22"/>
      <c r="BL10" s="22"/>
      <c r="BM10" s="17"/>
      <c r="BN10" s="23">
        <f t="shared" si="3"/>
        <v>128</v>
      </c>
      <c r="BO10" s="23">
        <f t="shared" si="4"/>
        <v>8</v>
      </c>
      <c r="BP10" s="23">
        <f t="shared" si="5"/>
        <v>20</v>
      </c>
      <c r="BQ10" s="23">
        <f t="shared" si="6"/>
        <v>1</v>
      </c>
      <c r="BR10" s="23">
        <f t="shared" si="7"/>
        <v>3</v>
      </c>
      <c r="BS10" s="23">
        <f t="shared" si="8"/>
        <v>4</v>
      </c>
      <c r="BT10" s="24">
        <f t="shared" si="9"/>
        <v>12820010304</v>
      </c>
      <c r="BU10" s="23">
        <f t="shared" si="10"/>
        <v>9</v>
      </c>
    </row>
    <row r="11" ht="16.5" customHeight="1">
      <c r="A11" s="18">
        <v>2.0</v>
      </c>
      <c r="B11" s="79">
        <f t="shared" ref="B11:C11" si="18">BN11</f>
        <v>126</v>
      </c>
      <c r="C11" s="80">
        <f t="shared" si="18"/>
        <v>10</v>
      </c>
      <c r="D11" s="18"/>
      <c r="E11" s="81" t="s">
        <v>8</v>
      </c>
      <c r="F11" s="18"/>
      <c r="G11" s="18"/>
      <c r="H11" s="17"/>
      <c r="I11" s="17"/>
      <c r="J11" s="17"/>
      <c r="K11" s="17"/>
      <c r="L11" s="17"/>
      <c r="M11" s="17">
        <v>10.0</v>
      </c>
      <c r="N11" s="17">
        <v>4.0</v>
      </c>
      <c r="O11" s="17"/>
      <c r="P11" s="17">
        <v>5.0</v>
      </c>
      <c r="Q11" s="17">
        <v>8.0</v>
      </c>
      <c r="R11" s="17"/>
      <c r="S11" s="17">
        <v>5.0</v>
      </c>
      <c r="T11" s="17"/>
      <c r="U11" s="17">
        <v>3.0</v>
      </c>
      <c r="V11" s="17"/>
      <c r="W11" s="17"/>
      <c r="X11" s="17">
        <v>7.0</v>
      </c>
      <c r="Y11" s="17"/>
      <c r="Z11" s="17"/>
      <c r="AA11" s="17"/>
      <c r="AB11" s="17"/>
      <c r="AC11" s="17"/>
      <c r="AD11" s="17"/>
      <c r="AE11" s="17">
        <v>6.0</v>
      </c>
      <c r="AF11" s="17"/>
      <c r="AG11" s="17"/>
      <c r="AH11" s="17"/>
      <c r="AI11" s="17">
        <v>4.0</v>
      </c>
      <c r="AJ11" s="17"/>
      <c r="AK11" s="17"/>
      <c r="AL11" s="17">
        <v>8.0</v>
      </c>
      <c r="AM11" s="17">
        <v>6.0</v>
      </c>
      <c r="AN11" s="17"/>
      <c r="AO11" s="17">
        <v>3.0</v>
      </c>
      <c r="AP11" s="18"/>
      <c r="AQ11" s="17">
        <v>10.0</v>
      </c>
      <c r="AR11" s="17">
        <v>3.0</v>
      </c>
      <c r="AS11" s="17">
        <v>5.0</v>
      </c>
      <c r="AT11" s="17"/>
      <c r="AU11" s="17">
        <v>1.0</v>
      </c>
      <c r="AV11" s="17">
        <v>4.0</v>
      </c>
      <c r="AW11" s="17"/>
      <c r="AX11" s="17">
        <v>1.0</v>
      </c>
      <c r="AY11" s="17">
        <v>2.0</v>
      </c>
      <c r="AZ11" s="17"/>
      <c r="BA11" s="17">
        <v>6.0</v>
      </c>
      <c r="BB11" s="17"/>
      <c r="BC11" s="17">
        <v>8.0</v>
      </c>
      <c r="BD11" s="17">
        <v>4.0</v>
      </c>
      <c r="BE11" s="17">
        <v>5.0</v>
      </c>
      <c r="BF11" s="17">
        <v>7.0</v>
      </c>
      <c r="BG11" s="17">
        <v>1.0</v>
      </c>
      <c r="BH11" s="17"/>
      <c r="BI11" s="18"/>
      <c r="BJ11" s="17"/>
      <c r="BK11" s="18"/>
      <c r="BL11" s="17"/>
      <c r="BM11" s="17"/>
      <c r="BN11" s="18">
        <f t="shared" si="3"/>
        <v>126</v>
      </c>
      <c r="BO11" s="18">
        <f t="shared" si="4"/>
        <v>10</v>
      </c>
      <c r="BP11" s="18">
        <f t="shared" si="5"/>
        <v>25</v>
      </c>
      <c r="BQ11" s="18">
        <f t="shared" si="6"/>
        <v>0</v>
      </c>
      <c r="BR11" s="18">
        <f t="shared" si="7"/>
        <v>2</v>
      </c>
      <c r="BS11" s="18">
        <f t="shared" si="8"/>
        <v>3</v>
      </c>
      <c r="BT11" s="19">
        <f t="shared" si="9"/>
        <v>12625000203</v>
      </c>
      <c r="BU11" s="18">
        <f t="shared" si="10"/>
        <v>10</v>
      </c>
    </row>
    <row r="12" ht="16.5" customHeight="1">
      <c r="A12" s="18">
        <v>14.0</v>
      </c>
      <c r="B12" s="79">
        <f t="shared" ref="B12:C12" si="19">BN12</f>
        <v>124</v>
      </c>
      <c r="C12" s="80">
        <f t="shared" si="19"/>
        <v>11</v>
      </c>
      <c r="D12" s="18"/>
      <c r="E12" s="81" t="s">
        <v>26</v>
      </c>
      <c r="F12" s="17"/>
      <c r="G12" s="17"/>
      <c r="H12" s="17">
        <v>3.0</v>
      </c>
      <c r="I12" s="18"/>
      <c r="J12" s="17"/>
      <c r="K12" s="17"/>
      <c r="L12" s="17"/>
      <c r="M12" s="17">
        <v>5.0</v>
      </c>
      <c r="N12" s="17">
        <v>5.0</v>
      </c>
      <c r="O12" s="17"/>
      <c r="P12" s="17"/>
      <c r="Q12" s="17">
        <v>7.0</v>
      </c>
      <c r="R12" s="18"/>
      <c r="S12" s="17"/>
      <c r="T12" s="18"/>
      <c r="U12" s="18"/>
      <c r="V12" s="17">
        <v>10.0</v>
      </c>
      <c r="W12" s="17"/>
      <c r="X12" s="17"/>
      <c r="Y12" s="18"/>
      <c r="Z12" s="17">
        <v>10.0</v>
      </c>
      <c r="AA12" s="17"/>
      <c r="AB12" s="17"/>
      <c r="AC12" s="18"/>
      <c r="AD12" s="17"/>
      <c r="AE12" s="17">
        <v>10.0</v>
      </c>
      <c r="AF12" s="17"/>
      <c r="AG12" s="17"/>
      <c r="AH12" s="17"/>
      <c r="AI12" s="17">
        <v>7.0</v>
      </c>
      <c r="AJ12" s="17">
        <v>4.0</v>
      </c>
      <c r="AK12" s="17">
        <v>7.0</v>
      </c>
      <c r="AL12" s="17">
        <v>6.0</v>
      </c>
      <c r="AM12" s="17"/>
      <c r="AN12" s="17">
        <v>1.0</v>
      </c>
      <c r="AO12" s="17"/>
      <c r="AP12" s="17"/>
      <c r="AQ12" s="17"/>
      <c r="AR12" s="17"/>
      <c r="AS12" s="17">
        <v>12.0</v>
      </c>
      <c r="AT12" s="17"/>
      <c r="AU12" s="17"/>
      <c r="AV12" s="17">
        <v>1.0</v>
      </c>
      <c r="AW12" s="17"/>
      <c r="AX12" s="17">
        <v>3.0</v>
      </c>
      <c r="AY12" s="17">
        <v>8.0</v>
      </c>
      <c r="AZ12" s="17"/>
      <c r="BA12" s="17">
        <v>3.0</v>
      </c>
      <c r="BB12" s="18"/>
      <c r="BC12" s="17">
        <v>12.0</v>
      </c>
      <c r="BD12" s="17">
        <v>10.0</v>
      </c>
      <c r="BE12" s="18"/>
      <c r="BF12" s="18"/>
      <c r="BG12" s="17"/>
      <c r="BH12" s="17"/>
      <c r="BI12" s="18"/>
      <c r="BJ12" s="17"/>
      <c r="BK12" s="17"/>
      <c r="BL12" s="17"/>
      <c r="BM12" s="17"/>
      <c r="BN12" s="18">
        <f t="shared" si="3"/>
        <v>124</v>
      </c>
      <c r="BO12" s="18">
        <f t="shared" si="4"/>
        <v>11</v>
      </c>
      <c r="BP12" s="18">
        <f t="shared" si="5"/>
        <v>19</v>
      </c>
      <c r="BQ12" s="18">
        <f t="shared" si="6"/>
        <v>2</v>
      </c>
      <c r="BR12" s="18">
        <f t="shared" si="7"/>
        <v>4</v>
      </c>
      <c r="BS12" s="18">
        <f t="shared" si="8"/>
        <v>1</v>
      </c>
      <c r="BT12" s="19">
        <f t="shared" si="9"/>
        <v>12419020401</v>
      </c>
      <c r="BU12" s="18">
        <f t="shared" si="10"/>
        <v>11</v>
      </c>
    </row>
    <row r="13" ht="16.5" customHeight="1">
      <c r="A13" s="23">
        <v>21.0</v>
      </c>
      <c r="B13" s="79">
        <f t="shared" ref="B13:C13" si="20">BN13</f>
        <v>123</v>
      </c>
      <c r="C13" s="80">
        <f t="shared" si="20"/>
        <v>12</v>
      </c>
      <c r="D13" s="23"/>
      <c r="E13" s="81" t="s">
        <v>12</v>
      </c>
      <c r="F13" s="22"/>
      <c r="G13" s="17"/>
      <c r="H13" s="23"/>
      <c r="I13" s="23"/>
      <c r="J13" s="22"/>
      <c r="K13" s="22">
        <v>2.0</v>
      </c>
      <c r="L13" s="22"/>
      <c r="M13" s="22">
        <v>1.0</v>
      </c>
      <c r="N13" s="22">
        <v>2.0</v>
      </c>
      <c r="O13" s="23"/>
      <c r="P13" s="22"/>
      <c r="Q13" s="22">
        <v>5.0</v>
      </c>
      <c r="R13" s="22"/>
      <c r="S13" s="23"/>
      <c r="T13" s="22">
        <v>8.0</v>
      </c>
      <c r="U13" s="23"/>
      <c r="V13" s="22"/>
      <c r="W13" s="22">
        <v>7.0</v>
      </c>
      <c r="X13" s="23"/>
      <c r="Y13" s="22"/>
      <c r="Z13" s="22"/>
      <c r="AA13" s="22"/>
      <c r="AB13" s="22">
        <v>5.0</v>
      </c>
      <c r="AC13" s="22"/>
      <c r="AD13" s="22"/>
      <c r="AE13" s="22">
        <v>8.0</v>
      </c>
      <c r="AF13" s="22"/>
      <c r="AG13" s="22">
        <v>12.0</v>
      </c>
      <c r="AH13" s="22">
        <v>6.0</v>
      </c>
      <c r="AI13" s="22">
        <v>10.0</v>
      </c>
      <c r="AJ13" s="22"/>
      <c r="AK13" s="17"/>
      <c r="AL13" s="22"/>
      <c r="AM13" s="22"/>
      <c r="AN13" s="22">
        <v>10.0</v>
      </c>
      <c r="AO13" s="22"/>
      <c r="AP13" s="22">
        <v>5.0</v>
      </c>
      <c r="AQ13" s="23"/>
      <c r="AR13" s="23"/>
      <c r="AS13" s="22">
        <v>2.0</v>
      </c>
      <c r="AT13" s="22"/>
      <c r="AU13" s="22">
        <v>3.0</v>
      </c>
      <c r="AV13" s="23"/>
      <c r="AW13" s="22">
        <v>2.0</v>
      </c>
      <c r="AX13" s="22"/>
      <c r="AY13" s="22"/>
      <c r="AZ13" s="23"/>
      <c r="BA13" s="22">
        <v>5.0</v>
      </c>
      <c r="BB13" s="22">
        <v>12.0</v>
      </c>
      <c r="BC13" s="22">
        <v>6.0</v>
      </c>
      <c r="BD13" s="22">
        <v>12.0</v>
      </c>
      <c r="BE13" s="23"/>
      <c r="BF13" s="23"/>
      <c r="BG13" s="22"/>
      <c r="BH13" s="23"/>
      <c r="BI13" s="22"/>
      <c r="BJ13" s="22"/>
      <c r="BK13" s="22"/>
      <c r="BL13" s="22"/>
      <c r="BM13" s="17"/>
      <c r="BN13" s="23">
        <f t="shared" si="3"/>
        <v>123</v>
      </c>
      <c r="BO13" s="23">
        <f t="shared" si="4"/>
        <v>12</v>
      </c>
      <c r="BP13" s="23">
        <f t="shared" si="5"/>
        <v>20</v>
      </c>
      <c r="BQ13" s="23">
        <f t="shared" si="6"/>
        <v>3</v>
      </c>
      <c r="BR13" s="23">
        <f t="shared" si="7"/>
        <v>2</v>
      </c>
      <c r="BS13" s="23">
        <f t="shared" si="8"/>
        <v>2</v>
      </c>
      <c r="BT13" s="24">
        <f t="shared" si="9"/>
        <v>12320030202</v>
      </c>
      <c r="BU13" s="23">
        <f t="shared" si="10"/>
        <v>12</v>
      </c>
    </row>
    <row r="14" ht="16.5" customHeight="1">
      <c r="A14" s="23">
        <v>22.0</v>
      </c>
      <c r="B14" s="79">
        <f t="shared" ref="B14:C14" si="21">BN14</f>
        <v>118</v>
      </c>
      <c r="C14" s="80">
        <f t="shared" si="21"/>
        <v>13</v>
      </c>
      <c r="D14" s="23"/>
      <c r="E14" s="81" t="s">
        <v>57</v>
      </c>
      <c r="F14" s="22"/>
      <c r="G14" s="17">
        <v>2.0</v>
      </c>
      <c r="H14" s="22">
        <v>4.0</v>
      </c>
      <c r="I14" s="22"/>
      <c r="J14" s="22">
        <v>10.0</v>
      </c>
      <c r="K14" s="22"/>
      <c r="L14" s="22"/>
      <c r="M14" s="22"/>
      <c r="N14" s="22"/>
      <c r="O14" s="22">
        <v>4.0</v>
      </c>
      <c r="P14" s="22"/>
      <c r="Q14" s="22">
        <v>12.0</v>
      </c>
      <c r="R14" s="22"/>
      <c r="S14" s="22"/>
      <c r="T14" s="22">
        <v>7.0</v>
      </c>
      <c r="U14" s="22">
        <v>8.0</v>
      </c>
      <c r="V14" s="22">
        <v>8.0</v>
      </c>
      <c r="W14" s="22"/>
      <c r="X14" s="22"/>
      <c r="Y14" s="22"/>
      <c r="Z14" s="22">
        <v>12.0</v>
      </c>
      <c r="AA14" s="22">
        <v>1.0</v>
      </c>
      <c r="AB14" s="22">
        <v>10.0</v>
      </c>
      <c r="AC14" s="22"/>
      <c r="AD14" s="22">
        <v>3.0</v>
      </c>
      <c r="AE14" s="22"/>
      <c r="AF14" s="22"/>
      <c r="AG14" s="22"/>
      <c r="AH14" s="22"/>
      <c r="AI14" s="22">
        <v>1.0</v>
      </c>
      <c r="AJ14" s="23"/>
      <c r="AK14" s="17"/>
      <c r="AL14" s="22"/>
      <c r="AM14" s="22"/>
      <c r="AN14" s="22">
        <v>7.0</v>
      </c>
      <c r="AO14" s="23"/>
      <c r="AP14" s="22">
        <v>1.0</v>
      </c>
      <c r="AQ14" s="22">
        <v>6.0</v>
      </c>
      <c r="AR14" s="22"/>
      <c r="AS14" s="22">
        <v>10.0</v>
      </c>
      <c r="AT14" s="22">
        <v>4.0</v>
      </c>
      <c r="AU14" s="23"/>
      <c r="AV14" s="23"/>
      <c r="AW14" s="22">
        <v>5.0</v>
      </c>
      <c r="AX14" s="22"/>
      <c r="AY14" s="23"/>
      <c r="AZ14" s="22"/>
      <c r="BA14" s="22">
        <v>1.0</v>
      </c>
      <c r="BB14" s="23"/>
      <c r="BC14" s="23"/>
      <c r="BD14" s="22">
        <v>2.0</v>
      </c>
      <c r="BE14" s="22"/>
      <c r="BF14" s="22"/>
      <c r="BG14" s="22"/>
      <c r="BH14" s="23"/>
      <c r="BI14" s="22"/>
      <c r="BJ14" s="22"/>
      <c r="BK14" s="22"/>
      <c r="BL14" s="22"/>
      <c r="BM14" s="17"/>
      <c r="BN14" s="23">
        <f t="shared" si="3"/>
        <v>118</v>
      </c>
      <c r="BO14" s="23">
        <f t="shared" si="4"/>
        <v>13</v>
      </c>
      <c r="BP14" s="23">
        <f t="shared" si="5"/>
        <v>21</v>
      </c>
      <c r="BQ14" s="23">
        <f t="shared" si="6"/>
        <v>2</v>
      </c>
      <c r="BR14" s="23">
        <f t="shared" si="7"/>
        <v>3</v>
      </c>
      <c r="BS14" s="23">
        <f t="shared" si="8"/>
        <v>2</v>
      </c>
      <c r="BT14" s="24">
        <f t="shared" si="9"/>
        <v>11821020302</v>
      </c>
      <c r="BU14" s="23">
        <f t="shared" si="10"/>
        <v>13</v>
      </c>
    </row>
    <row r="15" ht="16.5" customHeight="1">
      <c r="A15" s="18">
        <v>13.0</v>
      </c>
      <c r="B15" s="79">
        <f t="shared" ref="B15:C15" si="22">BN15</f>
        <v>117</v>
      </c>
      <c r="C15" s="80">
        <f t="shared" si="22"/>
        <v>14</v>
      </c>
      <c r="D15" s="18"/>
      <c r="E15" s="81" t="s">
        <v>67</v>
      </c>
      <c r="F15" s="17">
        <v>8.0</v>
      </c>
      <c r="G15" s="17">
        <v>4.0</v>
      </c>
      <c r="H15" s="17">
        <v>7.0</v>
      </c>
      <c r="I15" s="17">
        <v>6.0</v>
      </c>
      <c r="J15" s="17">
        <v>7.0</v>
      </c>
      <c r="K15" s="17"/>
      <c r="L15" s="17"/>
      <c r="M15" s="17">
        <v>3.0</v>
      </c>
      <c r="N15" s="17">
        <v>10.0</v>
      </c>
      <c r="O15" s="17"/>
      <c r="P15" s="17">
        <v>1.0</v>
      </c>
      <c r="Q15" s="17"/>
      <c r="R15" s="17"/>
      <c r="S15" s="17"/>
      <c r="T15" s="17">
        <v>4.0</v>
      </c>
      <c r="U15" s="17"/>
      <c r="V15" s="17">
        <v>1.0</v>
      </c>
      <c r="W15" s="17">
        <v>1.0</v>
      </c>
      <c r="X15" s="17">
        <v>8.0</v>
      </c>
      <c r="Y15" s="17">
        <v>2.0</v>
      </c>
      <c r="Z15" s="17"/>
      <c r="AA15" s="17"/>
      <c r="AB15" s="17"/>
      <c r="AC15" s="17"/>
      <c r="AD15" s="17"/>
      <c r="AE15" s="17"/>
      <c r="AF15" s="17">
        <v>6.0</v>
      </c>
      <c r="AG15" s="17"/>
      <c r="AH15" s="17">
        <v>5.0</v>
      </c>
      <c r="AI15" s="17"/>
      <c r="AJ15" s="17"/>
      <c r="AK15" s="17">
        <v>12.0</v>
      </c>
      <c r="AL15" s="17"/>
      <c r="AM15" s="17"/>
      <c r="AN15" s="17"/>
      <c r="AO15" s="17">
        <v>6.0</v>
      </c>
      <c r="AP15" s="17"/>
      <c r="AQ15" s="17"/>
      <c r="AR15" s="17">
        <v>5.0</v>
      </c>
      <c r="AS15" s="17"/>
      <c r="AT15" s="17"/>
      <c r="AU15" s="17">
        <v>6.0</v>
      </c>
      <c r="AV15" s="17"/>
      <c r="AW15" s="17"/>
      <c r="AX15" s="17">
        <v>6.0</v>
      </c>
      <c r="AY15" s="17"/>
      <c r="AZ15" s="17"/>
      <c r="BA15" s="17"/>
      <c r="BB15" s="17"/>
      <c r="BC15" s="17">
        <v>2.0</v>
      </c>
      <c r="BD15" s="18"/>
      <c r="BE15" s="17"/>
      <c r="BF15" s="17"/>
      <c r="BG15" s="17"/>
      <c r="BH15" s="17">
        <v>7.0</v>
      </c>
      <c r="BI15" s="17"/>
      <c r="BJ15" s="17"/>
      <c r="BK15" s="17"/>
      <c r="BL15" s="17"/>
      <c r="BM15" s="17"/>
      <c r="BN15" s="18">
        <f t="shared" si="3"/>
        <v>117</v>
      </c>
      <c r="BO15" s="18">
        <f t="shared" si="4"/>
        <v>14</v>
      </c>
      <c r="BP15" s="18">
        <f t="shared" si="5"/>
        <v>22</v>
      </c>
      <c r="BQ15" s="18">
        <f t="shared" si="6"/>
        <v>1</v>
      </c>
      <c r="BR15" s="18">
        <f t="shared" si="7"/>
        <v>1</v>
      </c>
      <c r="BS15" s="18">
        <f t="shared" si="8"/>
        <v>2</v>
      </c>
      <c r="BT15" s="19">
        <f t="shared" si="9"/>
        <v>11722010102</v>
      </c>
      <c r="BU15" s="18">
        <f t="shared" si="10"/>
        <v>14</v>
      </c>
    </row>
    <row r="16" ht="16.5" customHeight="1">
      <c r="A16" s="23">
        <v>16.0</v>
      </c>
      <c r="B16" s="79">
        <f t="shared" ref="B16:C16" si="23">BN16</f>
        <v>113</v>
      </c>
      <c r="C16" s="80">
        <f t="shared" si="23"/>
        <v>15</v>
      </c>
      <c r="D16" s="23"/>
      <c r="E16" s="81" t="s">
        <v>56</v>
      </c>
      <c r="F16" s="22">
        <v>6.0</v>
      </c>
      <c r="G16" s="17"/>
      <c r="H16" s="22"/>
      <c r="I16" s="22"/>
      <c r="J16" s="22"/>
      <c r="K16" s="22"/>
      <c r="L16" s="22">
        <v>3.0</v>
      </c>
      <c r="M16" s="22"/>
      <c r="N16" s="22"/>
      <c r="O16" s="22"/>
      <c r="P16" s="22"/>
      <c r="Q16" s="22"/>
      <c r="R16" s="22">
        <v>5.0</v>
      </c>
      <c r="S16" s="22">
        <v>12.0</v>
      </c>
      <c r="T16" s="22"/>
      <c r="U16" s="22">
        <v>1.0</v>
      </c>
      <c r="V16" s="22">
        <v>7.0</v>
      </c>
      <c r="W16" s="22"/>
      <c r="X16" s="22"/>
      <c r="Y16" s="22"/>
      <c r="Z16" s="22"/>
      <c r="AA16" s="22"/>
      <c r="AB16" s="22"/>
      <c r="AC16" s="22"/>
      <c r="AD16" s="23"/>
      <c r="AE16" s="22"/>
      <c r="AF16" s="22">
        <v>3.0</v>
      </c>
      <c r="AG16" s="22">
        <v>2.0</v>
      </c>
      <c r="AH16" s="22">
        <v>1.0</v>
      </c>
      <c r="AI16" s="22">
        <v>5.0</v>
      </c>
      <c r="AJ16" s="22"/>
      <c r="AK16" s="17">
        <v>4.0</v>
      </c>
      <c r="AL16" s="22">
        <v>1.0</v>
      </c>
      <c r="AM16" s="22"/>
      <c r="AN16" s="23"/>
      <c r="AO16" s="22">
        <v>7.0</v>
      </c>
      <c r="AP16" s="22"/>
      <c r="AQ16" s="22"/>
      <c r="AR16" s="22">
        <v>4.0</v>
      </c>
      <c r="AS16" s="23"/>
      <c r="AT16" s="22">
        <v>6.0</v>
      </c>
      <c r="AU16" s="22">
        <v>8.0</v>
      </c>
      <c r="AV16" s="22"/>
      <c r="AW16" s="23"/>
      <c r="AX16" s="22">
        <v>12.0</v>
      </c>
      <c r="AY16" s="23"/>
      <c r="AZ16" s="23"/>
      <c r="BA16" s="22"/>
      <c r="BB16" s="22">
        <v>7.0</v>
      </c>
      <c r="BC16" s="22"/>
      <c r="BD16" s="22"/>
      <c r="BE16" s="22">
        <v>10.0</v>
      </c>
      <c r="BF16" s="22">
        <v>8.0</v>
      </c>
      <c r="BG16" s="22"/>
      <c r="BH16" s="22">
        <v>1.0</v>
      </c>
      <c r="BI16" s="22"/>
      <c r="BJ16" s="22"/>
      <c r="BK16" s="22"/>
      <c r="BL16" s="22"/>
      <c r="BM16" s="17"/>
      <c r="BN16" s="23">
        <f t="shared" si="3"/>
        <v>113</v>
      </c>
      <c r="BO16" s="23">
        <f t="shared" si="4"/>
        <v>15</v>
      </c>
      <c r="BP16" s="23">
        <f t="shared" si="5"/>
        <v>21</v>
      </c>
      <c r="BQ16" s="23">
        <f t="shared" si="6"/>
        <v>2</v>
      </c>
      <c r="BR16" s="23">
        <f t="shared" si="7"/>
        <v>1</v>
      </c>
      <c r="BS16" s="23">
        <f t="shared" si="8"/>
        <v>2</v>
      </c>
      <c r="BT16" s="24">
        <f t="shared" si="9"/>
        <v>11321020102</v>
      </c>
      <c r="BU16" s="23">
        <f t="shared" si="10"/>
        <v>15</v>
      </c>
    </row>
    <row r="17" ht="16.5" customHeight="1">
      <c r="A17" s="18">
        <v>9.0</v>
      </c>
      <c r="B17" s="79">
        <f t="shared" ref="B17:C17" si="24">BN17</f>
        <v>113</v>
      </c>
      <c r="C17" s="80">
        <f t="shared" si="24"/>
        <v>15</v>
      </c>
      <c r="D17" s="18"/>
      <c r="E17" s="81" t="s">
        <v>60</v>
      </c>
      <c r="F17" s="17"/>
      <c r="G17" s="17"/>
      <c r="H17" s="17"/>
      <c r="I17" s="17"/>
      <c r="J17" s="17"/>
      <c r="K17" s="17"/>
      <c r="L17" s="17"/>
      <c r="M17" s="17"/>
      <c r="N17" s="17">
        <v>6.0</v>
      </c>
      <c r="O17" s="17">
        <v>5.0</v>
      </c>
      <c r="P17" s="17"/>
      <c r="Q17" s="17"/>
      <c r="R17" s="17">
        <v>8.0</v>
      </c>
      <c r="S17" s="17">
        <v>3.0</v>
      </c>
      <c r="T17" s="17"/>
      <c r="U17" s="17">
        <v>6.0</v>
      </c>
      <c r="V17" s="17"/>
      <c r="W17" s="17"/>
      <c r="X17" s="17"/>
      <c r="Y17" s="17"/>
      <c r="Z17" s="17"/>
      <c r="AA17" s="17"/>
      <c r="AB17" s="17"/>
      <c r="AC17" s="17">
        <v>5.0</v>
      </c>
      <c r="AD17" s="17">
        <v>6.0</v>
      </c>
      <c r="AE17" s="17">
        <v>4.0</v>
      </c>
      <c r="AF17" s="17">
        <v>12.0</v>
      </c>
      <c r="AG17" s="17">
        <v>3.0</v>
      </c>
      <c r="AH17" s="17"/>
      <c r="AI17" s="17"/>
      <c r="AJ17" s="17">
        <v>3.0</v>
      </c>
      <c r="AK17" s="17"/>
      <c r="AL17" s="17"/>
      <c r="AM17" s="17"/>
      <c r="AN17" s="17"/>
      <c r="AO17" s="17"/>
      <c r="AP17" s="17">
        <v>8.0</v>
      </c>
      <c r="AQ17" s="17"/>
      <c r="AR17" s="17"/>
      <c r="AS17" s="17">
        <v>7.0</v>
      </c>
      <c r="AT17" s="17">
        <v>5.0</v>
      </c>
      <c r="AU17" s="17"/>
      <c r="AV17" s="17">
        <v>6.0</v>
      </c>
      <c r="AW17" s="17">
        <v>8.0</v>
      </c>
      <c r="AX17" s="17"/>
      <c r="AY17" s="17"/>
      <c r="AZ17" s="17">
        <v>6.0</v>
      </c>
      <c r="BA17" s="17"/>
      <c r="BB17" s="17">
        <v>1.0</v>
      </c>
      <c r="BC17" s="17"/>
      <c r="BD17" s="17"/>
      <c r="BE17" s="17">
        <v>1.0</v>
      </c>
      <c r="BF17" s="17"/>
      <c r="BG17" s="17">
        <v>6.0</v>
      </c>
      <c r="BH17" s="17">
        <v>4.0</v>
      </c>
      <c r="BI17" s="17"/>
      <c r="BJ17" s="17"/>
      <c r="BK17" s="17"/>
      <c r="BL17" s="18"/>
      <c r="BM17" s="17"/>
      <c r="BN17" s="18">
        <f t="shared" si="3"/>
        <v>113</v>
      </c>
      <c r="BO17" s="18">
        <f t="shared" si="4"/>
        <v>15</v>
      </c>
      <c r="BP17" s="18">
        <f t="shared" si="5"/>
        <v>21</v>
      </c>
      <c r="BQ17" s="18">
        <f t="shared" si="6"/>
        <v>1</v>
      </c>
      <c r="BR17" s="18">
        <f t="shared" si="7"/>
        <v>0</v>
      </c>
      <c r="BS17" s="18">
        <f t="shared" si="8"/>
        <v>3</v>
      </c>
      <c r="BT17" s="19">
        <f t="shared" si="9"/>
        <v>11321010003</v>
      </c>
      <c r="BU17" s="18">
        <f t="shared" si="10"/>
        <v>16</v>
      </c>
    </row>
    <row r="18" ht="16.5" customHeight="1">
      <c r="A18" s="18">
        <v>10.0</v>
      </c>
      <c r="B18" s="79">
        <f t="shared" ref="B18:C18" si="25">BN18</f>
        <v>112</v>
      </c>
      <c r="C18" s="80">
        <f t="shared" si="25"/>
        <v>17</v>
      </c>
      <c r="D18" s="18"/>
      <c r="E18" s="81" t="s">
        <v>30</v>
      </c>
      <c r="F18" s="17"/>
      <c r="G18" s="17"/>
      <c r="H18" s="17"/>
      <c r="I18" s="17"/>
      <c r="J18" s="17"/>
      <c r="K18" s="18"/>
      <c r="L18" s="17"/>
      <c r="M18" s="18"/>
      <c r="N18" s="17"/>
      <c r="O18" s="17">
        <v>3.0</v>
      </c>
      <c r="P18" s="18"/>
      <c r="Q18" s="17"/>
      <c r="R18" s="18"/>
      <c r="S18" s="17">
        <v>10.0</v>
      </c>
      <c r="T18" s="18"/>
      <c r="U18" s="18"/>
      <c r="V18" s="18"/>
      <c r="W18" s="18"/>
      <c r="X18" s="17">
        <v>4.0</v>
      </c>
      <c r="Y18" s="17">
        <v>3.0</v>
      </c>
      <c r="Z18" s="17"/>
      <c r="AA18" s="18"/>
      <c r="AB18" s="17">
        <v>7.0</v>
      </c>
      <c r="AC18" s="17">
        <v>4.0</v>
      </c>
      <c r="AD18" s="17">
        <v>5.0</v>
      </c>
      <c r="AE18" s="17">
        <v>12.0</v>
      </c>
      <c r="AF18" s="17">
        <v>8.0</v>
      </c>
      <c r="AG18" s="18"/>
      <c r="AH18" s="18"/>
      <c r="AI18" s="17">
        <v>2.0</v>
      </c>
      <c r="AJ18" s="17">
        <v>5.0</v>
      </c>
      <c r="AK18" s="17">
        <v>1.0</v>
      </c>
      <c r="AL18" s="18"/>
      <c r="AM18" s="17">
        <v>4.0</v>
      </c>
      <c r="AN18" s="17">
        <v>8.0</v>
      </c>
      <c r="AO18" s="17">
        <v>5.0</v>
      </c>
      <c r="AP18" s="17">
        <v>7.0</v>
      </c>
      <c r="AQ18" s="18"/>
      <c r="AR18" s="17"/>
      <c r="AS18" s="17">
        <v>1.0</v>
      </c>
      <c r="AT18" s="18"/>
      <c r="AU18" s="17"/>
      <c r="AV18" s="17">
        <v>5.0</v>
      </c>
      <c r="AW18" s="17">
        <v>6.0</v>
      </c>
      <c r="AX18" s="18"/>
      <c r="AY18" s="17">
        <v>5.0</v>
      </c>
      <c r="AZ18" s="17"/>
      <c r="BA18" s="18"/>
      <c r="BB18" s="17"/>
      <c r="BC18" s="18"/>
      <c r="BD18" s="17">
        <v>5.0</v>
      </c>
      <c r="BE18" s="17">
        <v>2.0</v>
      </c>
      <c r="BF18" s="17"/>
      <c r="BG18" s="17"/>
      <c r="BH18" s="17"/>
      <c r="BI18" s="18"/>
      <c r="BJ18" s="18"/>
      <c r="BK18" s="17"/>
      <c r="BL18" s="17"/>
      <c r="BM18" s="18"/>
      <c r="BN18" s="18">
        <f t="shared" si="3"/>
        <v>112</v>
      </c>
      <c r="BO18" s="18">
        <f t="shared" si="4"/>
        <v>17</v>
      </c>
      <c r="BP18" s="18">
        <f t="shared" si="5"/>
        <v>22</v>
      </c>
      <c r="BQ18" s="18">
        <f t="shared" si="6"/>
        <v>1</v>
      </c>
      <c r="BR18" s="18">
        <f t="shared" si="7"/>
        <v>1</v>
      </c>
      <c r="BS18" s="18">
        <f t="shared" si="8"/>
        <v>2</v>
      </c>
      <c r="BT18" s="19">
        <f t="shared" si="9"/>
        <v>11222010102</v>
      </c>
      <c r="BU18" s="18">
        <f t="shared" si="10"/>
        <v>17</v>
      </c>
    </row>
    <row r="19" ht="16.5" customHeight="1">
      <c r="A19" s="22">
        <v>24.0</v>
      </c>
      <c r="B19" s="79">
        <f t="shared" ref="B19:C19" si="26">BN19</f>
        <v>105</v>
      </c>
      <c r="C19" s="80">
        <f t="shared" si="26"/>
        <v>18</v>
      </c>
      <c r="D19" s="22"/>
      <c r="E19" s="81" t="s">
        <v>13</v>
      </c>
      <c r="F19" s="22"/>
      <c r="G19" s="17">
        <v>12.0</v>
      </c>
      <c r="H19" s="23"/>
      <c r="I19" s="22">
        <v>3.0</v>
      </c>
      <c r="J19" s="22">
        <v>8.0</v>
      </c>
      <c r="K19" s="23"/>
      <c r="L19" s="22">
        <v>2.0</v>
      </c>
      <c r="M19" s="22"/>
      <c r="N19" s="22"/>
      <c r="O19" s="22">
        <v>7.0</v>
      </c>
      <c r="P19" s="23"/>
      <c r="Q19" s="23"/>
      <c r="R19" s="22">
        <v>12.0</v>
      </c>
      <c r="S19" s="22"/>
      <c r="T19" s="23"/>
      <c r="U19" s="22">
        <v>4.0</v>
      </c>
      <c r="V19" s="22"/>
      <c r="W19" s="23"/>
      <c r="X19" s="22">
        <v>1.0</v>
      </c>
      <c r="Y19" s="22"/>
      <c r="Z19" s="23"/>
      <c r="AA19" s="23"/>
      <c r="AB19" s="22">
        <v>4.0</v>
      </c>
      <c r="AC19" s="22">
        <v>7.0</v>
      </c>
      <c r="AD19" s="22">
        <v>10.0</v>
      </c>
      <c r="AE19" s="23"/>
      <c r="AF19" s="22">
        <v>2.0</v>
      </c>
      <c r="AG19" s="23"/>
      <c r="AH19" s="23"/>
      <c r="AI19" s="22"/>
      <c r="AJ19" s="22">
        <v>10.0</v>
      </c>
      <c r="AK19" s="17"/>
      <c r="AL19" s="22">
        <v>2.0</v>
      </c>
      <c r="AM19" s="23"/>
      <c r="AN19" s="22">
        <v>4.0</v>
      </c>
      <c r="AO19" s="23"/>
      <c r="AP19" s="22">
        <v>6.0</v>
      </c>
      <c r="AQ19" s="22"/>
      <c r="AR19" s="22"/>
      <c r="AS19" s="22"/>
      <c r="AT19" s="22">
        <v>1.0</v>
      </c>
      <c r="AU19" s="22"/>
      <c r="AV19" s="22"/>
      <c r="AW19" s="23"/>
      <c r="AX19" s="23"/>
      <c r="AY19" s="23"/>
      <c r="AZ19" s="22"/>
      <c r="BA19" s="22"/>
      <c r="BB19" s="22"/>
      <c r="BC19" s="23"/>
      <c r="BD19" s="22"/>
      <c r="BE19" s="22"/>
      <c r="BF19" s="22"/>
      <c r="BG19" s="22">
        <v>10.0</v>
      </c>
      <c r="BH19" s="22"/>
      <c r="BI19" s="22"/>
      <c r="BJ19" s="22"/>
      <c r="BK19" s="22"/>
      <c r="BL19" s="22"/>
      <c r="BM19" s="18"/>
      <c r="BN19" s="23">
        <f t="shared" si="3"/>
        <v>105</v>
      </c>
      <c r="BO19" s="23">
        <f t="shared" si="4"/>
        <v>18</v>
      </c>
      <c r="BP19" s="23">
        <f t="shared" si="5"/>
        <v>18</v>
      </c>
      <c r="BQ19" s="23">
        <f t="shared" si="6"/>
        <v>2</v>
      </c>
      <c r="BR19" s="23">
        <f t="shared" si="7"/>
        <v>3</v>
      </c>
      <c r="BS19" s="23">
        <f t="shared" si="8"/>
        <v>1</v>
      </c>
      <c r="BT19" s="24">
        <f t="shared" si="9"/>
        <v>10518020301</v>
      </c>
      <c r="BU19" s="23">
        <f t="shared" si="10"/>
        <v>18</v>
      </c>
    </row>
    <row r="20" ht="16.5" customHeight="1">
      <c r="A20" s="23">
        <v>23.0</v>
      </c>
      <c r="B20" s="79">
        <f t="shared" ref="B20:C20" si="27">BN20</f>
        <v>104</v>
      </c>
      <c r="C20" s="80">
        <f t="shared" si="27"/>
        <v>19</v>
      </c>
      <c r="D20" s="23"/>
      <c r="E20" s="81" t="s">
        <v>61</v>
      </c>
      <c r="F20" s="22">
        <v>5.0</v>
      </c>
      <c r="G20" s="18"/>
      <c r="H20" s="22">
        <v>2.0</v>
      </c>
      <c r="I20" s="22">
        <v>10.0</v>
      </c>
      <c r="J20" s="22"/>
      <c r="K20" s="22"/>
      <c r="L20" s="22"/>
      <c r="M20" s="22"/>
      <c r="N20" s="22"/>
      <c r="O20" s="22"/>
      <c r="P20" s="22"/>
      <c r="Q20" s="22"/>
      <c r="R20" s="23"/>
      <c r="S20" s="22"/>
      <c r="T20" s="22">
        <v>10.0</v>
      </c>
      <c r="U20" s="22">
        <v>5.0</v>
      </c>
      <c r="V20" s="22"/>
      <c r="W20" s="22">
        <v>3.0</v>
      </c>
      <c r="X20" s="22"/>
      <c r="Y20" s="22"/>
      <c r="Z20" s="22"/>
      <c r="AA20" s="22"/>
      <c r="AB20" s="22"/>
      <c r="AC20" s="22">
        <v>10.0</v>
      </c>
      <c r="AD20" s="22">
        <v>4.0</v>
      </c>
      <c r="AE20" s="22"/>
      <c r="AF20" s="22"/>
      <c r="AG20" s="22">
        <v>10.0</v>
      </c>
      <c r="AH20" s="22">
        <v>7.0</v>
      </c>
      <c r="AI20" s="22">
        <v>12.0</v>
      </c>
      <c r="AJ20" s="22"/>
      <c r="AK20" s="17">
        <v>6.0</v>
      </c>
      <c r="AL20" s="22"/>
      <c r="AM20" s="22"/>
      <c r="AN20" s="22"/>
      <c r="AO20" s="22"/>
      <c r="AP20" s="22"/>
      <c r="AQ20" s="23"/>
      <c r="AR20" s="22">
        <v>12.0</v>
      </c>
      <c r="AS20" s="22"/>
      <c r="AT20" s="22">
        <v>2.0</v>
      </c>
      <c r="AU20" s="22">
        <v>2.0</v>
      </c>
      <c r="AV20" s="22"/>
      <c r="AW20" s="22"/>
      <c r="AX20" s="22"/>
      <c r="AY20" s="23"/>
      <c r="AZ20" s="23"/>
      <c r="BA20" s="22">
        <v>4.0</v>
      </c>
      <c r="BB20" s="22"/>
      <c r="BC20" s="22"/>
      <c r="BD20" s="22"/>
      <c r="BE20" s="23"/>
      <c r="BF20" s="22"/>
      <c r="BG20" s="23"/>
      <c r="BH20" s="22"/>
      <c r="BI20" s="22"/>
      <c r="BJ20" s="22"/>
      <c r="BK20" s="22"/>
      <c r="BL20" s="23"/>
      <c r="BM20" s="18"/>
      <c r="BN20" s="23">
        <f t="shared" si="3"/>
        <v>104</v>
      </c>
      <c r="BO20" s="23">
        <f t="shared" si="4"/>
        <v>19</v>
      </c>
      <c r="BP20" s="23">
        <f t="shared" si="5"/>
        <v>16</v>
      </c>
      <c r="BQ20" s="23">
        <f t="shared" si="6"/>
        <v>2</v>
      </c>
      <c r="BR20" s="23">
        <f t="shared" si="7"/>
        <v>4</v>
      </c>
      <c r="BS20" s="23">
        <f t="shared" si="8"/>
        <v>0</v>
      </c>
      <c r="BT20" s="24">
        <f t="shared" si="9"/>
        <v>10416020400</v>
      </c>
      <c r="BU20" s="23">
        <f t="shared" si="10"/>
        <v>19</v>
      </c>
    </row>
    <row r="21" ht="16.5" customHeight="1">
      <c r="A21" s="18">
        <v>20.0</v>
      </c>
      <c r="B21" s="79">
        <f t="shared" ref="B21:C21" si="28">BN21</f>
        <v>100</v>
      </c>
      <c r="C21" s="80">
        <f t="shared" si="28"/>
        <v>20</v>
      </c>
      <c r="D21" s="18"/>
      <c r="E21" s="81" t="s">
        <v>73</v>
      </c>
      <c r="F21" s="18"/>
      <c r="G21" s="17">
        <v>10.0</v>
      </c>
      <c r="H21" s="17">
        <v>10.0</v>
      </c>
      <c r="I21" s="17"/>
      <c r="J21" s="17">
        <v>1.0</v>
      </c>
      <c r="K21" s="17"/>
      <c r="L21" s="17"/>
      <c r="M21" s="17"/>
      <c r="N21" s="17"/>
      <c r="O21" s="17">
        <v>8.0</v>
      </c>
      <c r="P21" s="17"/>
      <c r="Q21" s="17"/>
      <c r="R21" s="17">
        <v>4.0</v>
      </c>
      <c r="S21" s="17"/>
      <c r="T21" s="17"/>
      <c r="U21" s="17">
        <v>12.0</v>
      </c>
      <c r="V21" s="17"/>
      <c r="W21" s="17"/>
      <c r="X21" s="17"/>
      <c r="Y21" s="17"/>
      <c r="Z21" s="17">
        <v>2.0</v>
      </c>
      <c r="AA21" s="17"/>
      <c r="AB21" s="17">
        <v>3.0</v>
      </c>
      <c r="AC21" s="17">
        <v>6.0</v>
      </c>
      <c r="AD21" s="17">
        <v>8.0</v>
      </c>
      <c r="AE21" s="17"/>
      <c r="AF21" s="17">
        <v>4.0</v>
      </c>
      <c r="AG21" s="17"/>
      <c r="AH21" s="17"/>
      <c r="AI21" s="17"/>
      <c r="AJ21" s="17"/>
      <c r="AK21" s="17"/>
      <c r="AL21" s="17"/>
      <c r="AM21" s="17"/>
      <c r="AN21" s="17"/>
      <c r="AO21" s="17"/>
      <c r="AP21" s="18"/>
      <c r="AQ21" s="17"/>
      <c r="AR21" s="17"/>
      <c r="AS21" s="17"/>
      <c r="AT21" s="17">
        <v>12.0</v>
      </c>
      <c r="AU21" s="17"/>
      <c r="AV21" s="17">
        <v>10.0</v>
      </c>
      <c r="AW21" s="18"/>
      <c r="AX21" s="17"/>
      <c r="AY21" s="18"/>
      <c r="AZ21" s="17"/>
      <c r="BA21" s="18"/>
      <c r="BB21" s="17"/>
      <c r="BC21" s="17">
        <v>3.0</v>
      </c>
      <c r="BD21" s="17"/>
      <c r="BE21" s="18"/>
      <c r="BF21" s="17"/>
      <c r="BG21" s="17">
        <v>5.0</v>
      </c>
      <c r="BH21" s="17">
        <v>2.0</v>
      </c>
      <c r="BI21" s="18"/>
      <c r="BJ21" s="18"/>
      <c r="BK21" s="17"/>
      <c r="BL21" s="17"/>
      <c r="BM21" s="17"/>
      <c r="BN21" s="18">
        <f t="shared" si="3"/>
        <v>100</v>
      </c>
      <c r="BO21" s="18">
        <f t="shared" si="4"/>
        <v>20</v>
      </c>
      <c r="BP21" s="18">
        <f t="shared" si="5"/>
        <v>16</v>
      </c>
      <c r="BQ21" s="18">
        <f t="shared" si="6"/>
        <v>2</v>
      </c>
      <c r="BR21" s="18">
        <f t="shared" si="7"/>
        <v>3</v>
      </c>
      <c r="BS21" s="18">
        <f t="shared" si="8"/>
        <v>2</v>
      </c>
      <c r="BT21" s="19">
        <f t="shared" si="9"/>
        <v>10016020302</v>
      </c>
      <c r="BU21" s="18">
        <f t="shared" si="10"/>
        <v>20</v>
      </c>
    </row>
    <row r="22" ht="16.5" customHeight="1">
      <c r="A22" s="18">
        <v>19.0</v>
      </c>
      <c r="B22" s="79">
        <f t="shared" ref="B22:C22" si="29">BN22</f>
        <v>98</v>
      </c>
      <c r="C22" s="80">
        <f t="shared" si="29"/>
        <v>21</v>
      </c>
      <c r="D22" s="18"/>
      <c r="E22" s="81" t="s">
        <v>52</v>
      </c>
      <c r="F22" s="17"/>
      <c r="G22" s="17">
        <v>7.0</v>
      </c>
      <c r="H22" s="17"/>
      <c r="I22" s="18"/>
      <c r="J22" s="17">
        <v>3.0</v>
      </c>
      <c r="K22" s="17">
        <v>1.0</v>
      </c>
      <c r="L22" s="17">
        <v>10.0</v>
      </c>
      <c r="M22" s="17">
        <v>2.0</v>
      </c>
      <c r="N22" s="17"/>
      <c r="O22" s="17"/>
      <c r="P22" s="18"/>
      <c r="Q22" s="17"/>
      <c r="R22" s="17"/>
      <c r="S22" s="18"/>
      <c r="T22" s="17">
        <v>1.0</v>
      </c>
      <c r="U22" s="17"/>
      <c r="V22" s="17"/>
      <c r="W22" s="18"/>
      <c r="X22" s="17">
        <v>6.0</v>
      </c>
      <c r="Y22" s="17">
        <v>4.0</v>
      </c>
      <c r="Z22" s="17">
        <v>3.0</v>
      </c>
      <c r="AA22" s="17">
        <v>5.0</v>
      </c>
      <c r="AB22" s="17"/>
      <c r="AC22" s="18"/>
      <c r="AD22" s="17"/>
      <c r="AE22" s="18"/>
      <c r="AF22" s="17"/>
      <c r="AG22" s="17">
        <v>4.0</v>
      </c>
      <c r="AH22" s="18"/>
      <c r="AI22" s="17"/>
      <c r="AJ22" s="17"/>
      <c r="AK22" s="18"/>
      <c r="AL22" s="17">
        <v>4.0</v>
      </c>
      <c r="AM22" s="18"/>
      <c r="AN22" s="17"/>
      <c r="AO22" s="17">
        <v>4.0</v>
      </c>
      <c r="AP22" s="17"/>
      <c r="AQ22" s="17">
        <v>2.0</v>
      </c>
      <c r="AR22" s="18"/>
      <c r="AS22" s="17">
        <v>3.0</v>
      </c>
      <c r="AT22" s="17"/>
      <c r="AU22" s="18"/>
      <c r="AV22" s="18"/>
      <c r="AW22" s="18"/>
      <c r="AX22" s="17">
        <v>2.0</v>
      </c>
      <c r="AY22" s="17">
        <v>12.0</v>
      </c>
      <c r="AZ22" s="17">
        <v>12.0</v>
      </c>
      <c r="BA22" s="17">
        <v>2.0</v>
      </c>
      <c r="BB22" s="17"/>
      <c r="BC22" s="17"/>
      <c r="BD22" s="17">
        <v>3.0</v>
      </c>
      <c r="BE22" s="17"/>
      <c r="BF22" s="17">
        <v>5.0</v>
      </c>
      <c r="BG22" s="17"/>
      <c r="BH22" s="17">
        <v>3.0</v>
      </c>
      <c r="BI22" s="17"/>
      <c r="BJ22" s="18"/>
      <c r="BK22" s="18"/>
      <c r="BL22" s="17"/>
      <c r="BM22" s="17"/>
      <c r="BN22" s="18">
        <f t="shared" si="3"/>
        <v>98</v>
      </c>
      <c r="BO22" s="18">
        <f t="shared" si="4"/>
        <v>21</v>
      </c>
      <c r="BP22" s="18">
        <f t="shared" si="5"/>
        <v>22</v>
      </c>
      <c r="BQ22" s="18">
        <f t="shared" si="6"/>
        <v>2</v>
      </c>
      <c r="BR22" s="18">
        <f t="shared" si="7"/>
        <v>1</v>
      </c>
      <c r="BS22" s="18">
        <f t="shared" si="8"/>
        <v>0</v>
      </c>
      <c r="BT22" s="19">
        <f t="shared" si="9"/>
        <v>9822020100</v>
      </c>
      <c r="BU22" s="18">
        <f t="shared" si="10"/>
        <v>21</v>
      </c>
    </row>
    <row r="23" ht="16.5" customHeight="1">
      <c r="A23" s="23">
        <v>12.0</v>
      </c>
      <c r="B23" s="79">
        <f t="shared" ref="B23:C23" si="30">BN23</f>
        <v>97</v>
      </c>
      <c r="C23" s="80">
        <f t="shared" si="30"/>
        <v>22</v>
      </c>
      <c r="D23" s="23"/>
      <c r="E23" s="81" t="s">
        <v>75</v>
      </c>
      <c r="F23" s="22"/>
      <c r="G23" s="18"/>
      <c r="H23" s="23"/>
      <c r="I23" s="22">
        <v>1.0</v>
      </c>
      <c r="J23" s="23"/>
      <c r="K23" s="22">
        <v>6.0</v>
      </c>
      <c r="L23" s="22">
        <v>5.0</v>
      </c>
      <c r="M23" s="22">
        <v>4.0</v>
      </c>
      <c r="N23" s="23"/>
      <c r="O23" s="22"/>
      <c r="P23" s="22">
        <v>2.0</v>
      </c>
      <c r="Q23" s="22">
        <v>6.0</v>
      </c>
      <c r="R23" s="22"/>
      <c r="S23" s="22"/>
      <c r="T23" s="22"/>
      <c r="U23" s="22"/>
      <c r="V23" s="22"/>
      <c r="W23" s="23"/>
      <c r="X23" s="22">
        <v>10.0</v>
      </c>
      <c r="Y23" s="23"/>
      <c r="Z23" s="22">
        <v>4.0</v>
      </c>
      <c r="AA23" s="22">
        <v>4.0</v>
      </c>
      <c r="AB23" s="22"/>
      <c r="AC23" s="23"/>
      <c r="AD23" s="22"/>
      <c r="AE23" s="22">
        <v>2.0</v>
      </c>
      <c r="AF23" s="22"/>
      <c r="AG23" s="22"/>
      <c r="AH23" s="23"/>
      <c r="AI23" s="22">
        <v>6.0</v>
      </c>
      <c r="AJ23" s="22"/>
      <c r="AK23" s="18"/>
      <c r="AL23" s="23"/>
      <c r="AM23" s="23"/>
      <c r="AN23" s="23"/>
      <c r="AO23" s="22"/>
      <c r="AP23" s="22">
        <v>4.0</v>
      </c>
      <c r="AQ23" s="22">
        <v>8.0</v>
      </c>
      <c r="AR23" s="22"/>
      <c r="AS23" s="22"/>
      <c r="AT23" s="22"/>
      <c r="AU23" s="22"/>
      <c r="AV23" s="22">
        <v>2.0</v>
      </c>
      <c r="AW23" s="22"/>
      <c r="AX23" s="22"/>
      <c r="AY23" s="22">
        <v>7.0</v>
      </c>
      <c r="AZ23" s="22"/>
      <c r="BA23" s="22">
        <v>10.0</v>
      </c>
      <c r="BB23" s="23"/>
      <c r="BC23" s="22">
        <v>10.0</v>
      </c>
      <c r="BD23" s="22">
        <v>6.0</v>
      </c>
      <c r="BE23" s="22"/>
      <c r="BF23" s="23"/>
      <c r="BG23" s="23"/>
      <c r="BH23" s="22"/>
      <c r="BI23" s="23"/>
      <c r="BJ23" s="23"/>
      <c r="BK23" s="23"/>
      <c r="BL23" s="22"/>
      <c r="BM23" s="17"/>
      <c r="BN23" s="23">
        <f t="shared" si="3"/>
        <v>97</v>
      </c>
      <c r="BO23" s="23">
        <f t="shared" si="4"/>
        <v>22</v>
      </c>
      <c r="BP23" s="23">
        <f t="shared" si="5"/>
        <v>18</v>
      </c>
      <c r="BQ23" s="23">
        <f t="shared" si="6"/>
        <v>0</v>
      </c>
      <c r="BR23" s="23">
        <f t="shared" si="7"/>
        <v>3</v>
      </c>
      <c r="BS23" s="23">
        <f t="shared" si="8"/>
        <v>1</v>
      </c>
      <c r="BT23" s="24">
        <f t="shared" si="9"/>
        <v>9718000301</v>
      </c>
      <c r="BU23" s="23">
        <f t="shared" si="10"/>
        <v>22</v>
      </c>
    </row>
    <row r="24" ht="16.5" customHeight="1">
      <c r="A24" s="23">
        <v>17.0</v>
      </c>
      <c r="B24" s="79">
        <f t="shared" ref="B24:C24" si="31">BN24</f>
        <v>96</v>
      </c>
      <c r="C24" s="80">
        <f t="shared" si="31"/>
        <v>23</v>
      </c>
      <c r="D24" s="23"/>
      <c r="E24" s="81" t="s">
        <v>74</v>
      </c>
      <c r="F24" s="22"/>
      <c r="G24" s="18"/>
      <c r="H24" s="22"/>
      <c r="I24" s="23"/>
      <c r="J24" s="22"/>
      <c r="K24" s="22"/>
      <c r="L24" s="22">
        <v>6.0</v>
      </c>
      <c r="M24" s="22"/>
      <c r="N24" s="23"/>
      <c r="O24" s="22">
        <v>10.0</v>
      </c>
      <c r="P24" s="22"/>
      <c r="Q24" s="22"/>
      <c r="R24" s="22">
        <v>6.0</v>
      </c>
      <c r="S24" s="22"/>
      <c r="T24" s="22"/>
      <c r="U24" s="22"/>
      <c r="V24" s="22"/>
      <c r="W24" s="23"/>
      <c r="X24" s="22"/>
      <c r="Y24" s="23"/>
      <c r="Z24" s="22"/>
      <c r="AA24" s="22">
        <v>8.0</v>
      </c>
      <c r="AB24" s="22"/>
      <c r="AC24" s="22">
        <v>8.0</v>
      </c>
      <c r="AD24" s="22"/>
      <c r="AE24" s="22">
        <v>5.0</v>
      </c>
      <c r="AF24" s="22">
        <v>10.0</v>
      </c>
      <c r="AG24" s="22"/>
      <c r="AH24" s="22"/>
      <c r="AI24" s="22"/>
      <c r="AJ24" s="22">
        <v>8.0</v>
      </c>
      <c r="AK24" s="17"/>
      <c r="AL24" s="23"/>
      <c r="AM24" s="22">
        <v>1.0</v>
      </c>
      <c r="AN24" s="22">
        <v>2.0</v>
      </c>
      <c r="AO24" s="22"/>
      <c r="AP24" s="23"/>
      <c r="AQ24" s="22">
        <v>1.0</v>
      </c>
      <c r="AR24" s="22"/>
      <c r="AS24" s="22"/>
      <c r="AT24" s="22">
        <v>3.0</v>
      </c>
      <c r="AU24" s="22"/>
      <c r="AV24" s="22">
        <v>8.0</v>
      </c>
      <c r="AW24" s="22">
        <v>4.0</v>
      </c>
      <c r="AX24" s="22"/>
      <c r="AY24" s="22">
        <v>1.0</v>
      </c>
      <c r="AZ24" s="22">
        <v>5.0</v>
      </c>
      <c r="BA24" s="22"/>
      <c r="BB24" s="22">
        <v>8.0</v>
      </c>
      <c r="BC24" s="22"/>
      <c r="BD24" s="22"/>
      <c r="BE24" s="22"/>
      <c r="BF24" s="22"/>
      <c r="BG24" s="22">
        <v>2.0</v>
      </c>
      <c r="BH24" s="23"/>
      <c r="BI24" s="22"/>
      <c r="BJ24" s="22"/>
      <c r="BK24" s="22"/>
      <c r="BL24" s="22"/>
      <c r="BM24" s="17"/>
      <c r="BN24" s="23">
        <f t="shared" si="3"/>
        <v>96</v>
      </c>
      <c r="BO24" s="23">
        <f t="shared" si="4"/>
        <v>23</v>
      </c>
      <c r="BP24" s="23">
        <f t="shared" si="5"/>
        <v>18</v>
      </c>
      <c r="BQ24" s="23">
        <f t="shared" si="6"/>
        <v>0</v>
      </c>
      <c r="BR24" s="23">
        <f t="shared" si="7"/>
        <v>2</v>
      </c>
      <c r="BS24" s="23">
        <f t="shared" si="8"/>
        <v>5</v>
      </c>
      <c r="BT24" s="24">
        <f t="shared" si="9"/>
        <v>9618000205</v>
      </c>
      <c r="BU24" s="23">
        <f t="shared" si="10"/>
        <v>23</v>
      </c>
    </row>
    <row r="25" ht="16.5" customHeight="1">
      <c r="A25" s="17">
        <v>28.0</v>
      </c>
      <c r="B25" s="82">
        <f t="shared" ref="B25:C25" si="32">BN25</f>
        <v>81</v>
      </c>
      <c r="C25" s="83">
        <f t="shared" si="32"/>
        <v>24</v>
      </c>
      <c r="D25" s="17"/>
      <c r="E25" s="81" t="s">
        <v>54</v>
      </c>
      <c r="F25" s="17">
        <v>2.0</v>
      </c>
      <c r="G25" s="17">
        <v>1.0</v>
      </c>
      <c r="H25" s="17"/>
      <c r="I25" s="17">
        <v>2.0</v>
      </c>
      <c r="J25" s="17"/>
      <c r="K25" s="17">
        <v>7.0</v>
      </c>
      <c r="L25" s="17"/>
      <c r="M25" s="18"/>
      <c r="N25" s="17"/>
      <c r="O25" s="17"/>
      <c r="P25" s="17">
        <v>12.0</v>
      </c>
      <c r="Q25" s="17">
        <v>4.0</v>
      </c>
      <c r="R25" s="17"/>
      <c r="S25" s="17"/>
      <c r="T25" s="17"/>
      <c r="U25" s="17"/>
      <c r="V25" s="17">
        <v>3.0</v>
      </c>
      <c r="W25" s="18"/>
      <c r="X25" s="17"/>
      <c r="Y25" s="17"/>
      <c r="Z25" s="17">
        <v>6.0</v>
      </c>
      <c r="AA25" s="17"/>
      <c r="AB25" s="17">
        <v>1.0</v>
      </c>
      <c r="AC25" s="17"/>
      <c r="AD25" s="17">
        <v>2.0</v>
      </c>
      <c r="AE25" s="18"/>
      <c r="AF25" s="17"/>
      <c r="AG25" s="18"/>
      <c r="AH25" s="18"/>
      <c r="AI25" s="18"/>
      <c r="AJ25" s="17"/>
      <c r="AK25" s="17">
        <v>5.0</v>
      </c>
      <c r="AL25" s="17"/>
      <c r="AM25" s="17"/>
      <c r="AN25" s="17">
        <v>6.0</v>
      </c>
      <c r="AO25" s="18"/>
      <c r="AP25" s="17"/>
      <c r="AQ25" s="17">
        <v>3.0</v>
      </c>
      <c r="AR25" s="17">
        <v>1.0</v>
      </c>
      <c r="AS25" s="17">
        <v>8.0</v>
      </c>
      <c r="AT25" s="18"/>
      <c r="AU25" s="18"/>
      <c r="AV25" s="17"/>
      <c r="AW25" s="17">
        <v>1.0</v>
      </c>
      <c r="AX25" s="18"/>
      <c r="AY25" s="17">
        <v>10.0</v>
      </c>
      <c r="AZ25" s="17"/>
      <c r="BA25" s="18"/>
      <c r="BB25" s="18"/>
      <c r="BC25" s="18"/>
      <c r="BD25" s="17">
        <v>7.0</v>
      </c>
      <c r="BE25" s="18"/>
      <c r="BF25" s="17"/>
      <c r="BG25" s="18"/>
      <c r="BH25" s="17"/>
      <c r="BI25" s="18"/>
      <c r="BJ25" s="18"/>
      <c r="BK25" s="18"/>
      <c r="BL25" s="17"/>
      <c r="BM25" s="17"/>
      <c r="BN25" s="18">
        <f t="shared" si="3"/>
        <v>81</v>
      </c>
      <c r="BO25" s="18">
        <f t="shared" si="4"/>
        <v>24</v>
      </c>
      <c r="BP25" s="18">
        <f t="shared" si="5"/>
        <v>18</v>
      </c>
      <c r="BQ25" s="18">
        <f t="shared" si="6"/>
        <v>1</v>
      </c>
      <c r="BR25" s="18">
        <f t="shared" si="7"/>
        <v>1</v>
      </c>
      <c r="BS25" s="18">
        <f t="shared" si="8"/>
        <v>1</v>
      </c>
      <c r="BT25" s="19">
        <f t="shared" si="9"/>
        <v>8118010101</v>
      </c>
      <c r="BU25" s="18">
        <f t="shared" si="10"/>
        <v>24</v>
      </c>
    </row>
    <row r="26" ht="16.5" customHeight="1">
      <c r="A26" s="23">
        <v>4.0</v>
      </c>
      <c r="B26" s="79">
        <f t="shared" ref="B26:C26" si="33">BN26</f>
        <v>78</v>
      </c>
      <c r="C26" s="80">
        <f t="shared" si="33"/>
        <v>25</v>
      </c>
      <c r="D26" s="23"/>
      <c r="E26" s="81" t="s">
        <v>28</v>
      </c>
      <c r="F26" s="22"/>
      <c r="G26" s="17"/>
      <c r="H26" s="22"/>
      <c r="I26" s="22">
        <v>5.0</v>
      </c>
      <c r="J26" s="22"/>
      <c r="K26" s="22"/>
      <c r="L26" s="22">
        <v>4.0</v>
      </c>
      <c r="M26" s="22">
        <v>7.0</v>
      </c>
      <c r="N26" s="22"/>
      <c r="O26" s="22"/>
      <c r="P26" s="22"/>
      <c r="Q26" s="22"/>
      <c r="R26" s="22">
        <v>7.0</v>
      </c>
      <c r="S26" s="22"/>
      <c r="T26" s="22"/>
      <c r="U26" s="22"/>
      <c r="V26" s="22"/>
      <c r="W26" s="22"/>
      <c r="X26" s="22"/>
      <c r="Y26" s="22">
        <v>6.0</v>
      </c>
      <c r="Z26" s="22">
        <v>5.0</v>
      </c>
      <c r="AA26" s="22">
        <v>7.0</v>
      </c>
      <c r="AB26" s="22">
        <v>2.0</v>
      </c>
      <c r="AC26" s="22"/>
      <c r="AD26" s="22"/>
      <c r="AE26" s="23"/>
      <c r="AF26" s="22">
        <v>1.0</v>
      </c>
      <c r="AG26" s="22"/>
      <c r="AH26" s="22"/>
      <c r="AI26" s="23"/>
      <c r="AJ26" s="22"/>
      <c r="AK26" s="17">
        <v>3.0</v>
      </c>
      <c r="AL26" s="22"/>
      <c r="AM26" s="23"/>
      <c r="AN26" s="22"/>
      <c r="AO26" s="22"/>
      <c r="AP26" s="22"/>
      <c r="AQ26" s="22">
        <v>7.0</v>
      </c>
      <c r="AR26" s="22"/>
      <c r="AS26" s="22"/>
      <c r="AT26" s="22"/>
      <c r="AU26" s="22"/>
      <c r="AV26" s="22"/>
      <c r="AW26" s="22">
        <v>7.0</v>
      </c>
      <c r="AX26" s="22"/>
      <c r="AY26" s="22"/>
      <c r="AZ26" s="23"/>
      <c r="BA26" s="22"/>
      <c r="BB26" s="22"/>
      <c r="BC26" s="22">
        <v>1.0</v>
      </c>
      <c r="BD26" s="23"/>
      <c r="BE26" s="22">
        <v>8.0</v>
      </c>
      <c r="BF26" s="22">
        <v>3.0</v>
      </c>
      <c r="BG26" s="22"/>
      <c r="BH26" s="22">
        <v>5.0</v>
      </c>
      <c r="BI26" s="23"/>
      <c r="BJ26" s="22"/>
      <c r="BK26" s="23"/>
      <c r="BL26" s="22"/>
      <c r="BM26" s="17"/>
      <c r="BN26" s="23">
        <f t="shared" si="3"/>
        <v>78</v>
      </c>
      <c r="BO26" s="23">
        <f t="shared" si="4"/>
        <v>25</v>
      </c>
      <c r="BP26" s="23">
        <f t="shared" si="5"/>
        <v>16</v>
      </c>
      <c r="BQ26" s="23">
        <f t="shared" si="6"/>
        <v>0</v>
      </c>
      <c r="BR26" s="23">
        <f t="shared" si="7"/>
        <v>0</v>
      </c>
      <c r="BS26" s="23">
        <f t="shared" si="8"/>
        <v>1</v>
      </c>
      <c r="BT26" s="24">
        <f t="shared" si="9"/>
        <v>7816000001</v>
      </c>
      <c r="BU26" s="23">
        <f t="shared" si="10"/>
        <v>25</v>
      </c>
    </row>
    <row r="27" ht="16.5" customHeight="1">
      <c r="A27" s="18">
        <v>7.0</v>
      </c>
      <c r="B27" s="79">
        <f t="shared" ref="B27:C27" si="34">BN27</f>
        <v>69</v>
      </c>
      <c r="C27" s="80">
        <f t="shared" si="34"/>
        <v>26</v>
      </c>
      <c r="D27" s="18"/>
      <c r="E27" s="81" t="s">
        <v>9</v>
      </c>
      <c r="F27" s="17"/>
      <c r="G27" s="17"/>
      <c r="H27" s="17"/>
      <c r="I27" s="17"/>
      <c r="J27" s="17"/>
      <c r="K27" s="17"/>
      <c r="L27" s="17"/>
      <c r="M27" s="17"/>
      <c r="N27" s="17"/>
      <c r="O27" s="17">
        <v>2.0</v>
      </c>
      <c r="P27" s="17">
        <v>3.0</v>
      </c>
      <c r="Q27" s="17">
        <v>2.0</v>
      </c>
      <c r="R27" s="17"/>
      <c r="S27" s="18"/>
      <c r="T27" s="17"/>
      <c r="U27" s="17"/>
      <c r="V27" s="17"/>
      <c r="W27" s="17"/>
      <c r="X27" s="17"/>
      <c r="Y27" s="17">
        <v>8.0</v>
      </c>
      <c r="Z27" s="17"/>
      <c r="AA27" s="17">
        <v>2.0</v>
      </c>
      <c r="AB27" s="17">
        <v>8.0</v>
      </c>
      <c r="AC27" s="17"/>
      <c r="AD27" s="17">
        <v>1.0</v>
      </c>
      <c r="AE27" s="17"/>
      <c r="AF27" s="17"/>
      <c r="AG27" s="17">
        <v>1.0</v>
      </c>
      <c r="AH27" s="17">
        <v>12.0</v>
      </c>
      <c r="AI27" s="17"/>
      <c r="AJ27" s="17"/>
      <c r="AK27" s="17"/>
      <c r="AL27" s="17"/>
      <c r="AM27" s="17">
        <v>5.0</v>
      </c>
      <c r="AN27" s="17"/>
      <c r="AO27" s="17"/>
      <c r="AP27" s="18"/>
      <c r="AQ27" s="17"/>
      <c r="AR27" s="18"/>
      <c r="AS27" s="17"/>
      <c r="AT27" s="18"/>
      <c r="AU27" s="17"/>
      <c r="AV27" s="17">
        <v>3.0</v>
      </c>
      <c r="AW27" s="18"/>
      <c r="AX27" s="17">
        <v>5.0</v>
      </c>
      <c r="AY27" s="17"/>
      <c r="AZ27" s="17">
        <v>7.0</v>
      </c>
      <c r="BA27" s="17"/>
      <c r="BB27" s="17"/>
      <c r="BC27" s="17"/>
      <c r="BD27" s="17"/>
      <c r="BE27" s="17"/>
      <c r="BF27" s="17">
        <v>2.0</v>
      </c>
      <c r="BG27" s="17">
        <v>8.0</v>
      </c>
      <c r="BH27" s="17"/>
      <c r="BI27" s="17"/>
      <c r="BJ27" s="17"/>
      <c r="BK27" s="17"/>
      <c r="BL27" s="17"/>
      <c r="BM27" s="17"/>
      <c r="BN27" s="18">
        <f t="shared" si="3"/>
        <v>69</v>
      </c>
      <c r="BO27" s="18">
        <f t="shared" si="4"/>
        <v>26</v>
      </c>
      <c r="BP27" s="18">
        <f t="shared" si="5"/>
        <v>15</v>
      </c>
      <c r="BQ27" s="18">
        <f t="shared" si="6"/>
        <v>1</v>
      </c>
      <c r="BR27" s="18">
        <f t="shared" si="7"/>
        <v>0</v>
      </c>
      <c r="BS27" s="18">
        <f t="shared" si="8"/>
        <v>3</v>
      </c>
      <c r="BT27" s="19">
        <f t="shared" si="9"/>
        <v>6915010003</v>
      </c>
      <c r="BU27" s="18">
        <f t="shared" si="10"/>
        <v>26</v>
      </c>
    </row>
    <row r="28" ht="16.5" customHeight="1">
      <c r="A28" s="23">
        <v>8.0</v>
      </c>
      <c r="B28" s="79">
        <f t="shared" ref="B28:C28" si="35">BN28</f>
        <v>63</v>
      </c>
      <c r="C28" s="80">
        <f t="shared" si="35"/>
        <v>27</v>
      </c>
      <c r="D28" s="23"/>
      <c r="E28" s="81" t="s">
        <v>17</v>
      </c>
      <c r="F28" s="22"/>
      <c r="G28" s="17"/>
      <c r="H28" s="22"/>
      <c r="I28" s="23"/>
      <c r="J28" s="23"/>
      <c r="K28" s="22"/>
      <c r="L28" s="22"/>
      <c r="M28" s="23"/>
      <c r="N28" s="22"/>
      <c r="O28" s="22"/>
      <c r="P28" s="23"/>
      <c r="Q28" s="22"/>
      <c r="R28" s="23"/>
      <c r="S28" s="22"/>
      <c r="T28" s="22">
        <v>2.0</v>
      </c>
      <c r="U28" s="22"/>
      <c r="V28" s="22">
        <v>2.0</v>
      </c>
      <c r="W28" s="23"/>
      <c r="X28" s="23"/>
      <c r="Y28" s="22"/>
      <c r="Z28" s="22">
        <v>7.0</v>
      </c>
      <c r="AA28" s="23"/>
      <c r="AB28" s="23"/>
      <c r="AC28" s="22">
        <v>2.0</v>
      </c>
      <c r="AD28" s="23"/>
      <c r="AE28" s="23"/>
      <c r="AF28" s="23"/>
      <c r="AG28" s="22">
        <v>7.0</v>
      </c>
      <c r="AH28" s="22"/>
      <c r="AI28" s="22"/>
      <c r="AJ28" s="22">
        <v>7.0</v>
      </c>
      <c r="AK28" s="18"/>
      <c r="AL28" s="22">
        <v>3.0</v>
      </c>
      <c r="AM28" s="22"/>
      <c r="AN28" s="22">
        <v>12.0</v>
      </c>
      <c r="AO28" s="22">
        <v>8.0</v>
      </c>
      <c r="AP28" s="23"/>
      <c r="AQ28" s="22"/>
      <c r="AR28" s="22">
        <v>10.0</v>
      </c>
      <c r="AS28" s="23"/>
      <c r="AT28" s="22"/>
      <c r="AU28" s="22"/>
      <c r="AV28" s="23"/>
      <c r="AW28" s="22">
        <v>3.0</v>
      </c>
      <c r="AX28" s="22"/>
      <c r="AY28" s="22"/>
      <c r="AZ28" s="22"/>
      <c r="BA28" s="22"/>
      <c r="BB28" s="22"/>
      <c r="BC28" s="22"/>
      <c r="BD28" s="22"/>
      <c r="BE28" s="22"/>
      <c r="BF28" s="22"/>
      <c r="BG28" s="23"/>
      <c r="BH28" s="22"/>
      <c r="BI28" s="23"/>
      <c r="BJ28" s="23"/>
      <c r="BK28" s="22"/>
      <c r="BL28" s="22"/>
      <c r="BM28" s="17"/>
      <c r="BN28" s="23">
        <f t="shared" si="3"/>
        <v>63</v>
      </c>
      <c r="BO28" s="23">
        <f t="shared" si="4"/>
        <v>27</v>
      </c>
      <c r="BP28" s="23">
        <f t="shared" si="5"/>
        <v>11</v>
      </c>
      <c r="BQ28" s="23">
        <f t="shared" si="6"/>
        <v>1</v>
      </c>
      <c r="BR28" s="23">
        <f t="shared" si="7"/>
        <v>1</v>
      </c>
      <c r="BS28" s="23">
        <f t="shared" si="8"/>
        <v>1</v>
      </c>
      <c r="BT28" s="24">
        <f t="shared" si="9"/>
        <v>6311010101</v>
      </c>
      <c r="BU28" s="23">
        <f t="shared" si="10"/>
        <v>27</v>
      </c>
    </row>
    <row r="29" ht="16.5" customHeight="1">
      <c r="A29" s="22">
        <v>26.0</v>
      </c>
      <c r="B29" s="79">
        <f t="shared" ref="B29:C29" si="36">BN29</f>
        <v>38</v>
      </c>
      <c r="C29" s="80">
        <f t="shared" si="36"/>
        <v>28</v>
      </c>
      <c r="D29" s="22"/>
      <c r="E29" s="81" t="s">
        <v>29</v>
      </c>
      <c r="F29" s="22"/>
      <c r="G29" s="17"/>
      <c r="H29" s="23"/>
      <c r="I29" s="23"/>
      <c r="J29" s="23"/>
      <c r="K29" s="23"/>
      <c r="L29" s="22"/>
      <c r="M29" s="22"/>
      <c r="N29" s="23"/>
      <c r="O29" s="23"/>
      <c r="P29" s="23"/>
      <c r="Q29" s="22"/>
      <c r="R29" s="22"/>
      <c r="S29" s="22"/>
      <c r="T29" s="23"/>
      <c r="U29" s="23"/>
      <c r="V29" s="22"/>
      <c r="W29" s="22"/>
      <c r="X29" s="22"/>
      <c r="Y29" s="22"/>
      <c r="Z29" s="22"/>
      <c r="AA29" s="22"/>
      <c r="AB29" s="22"/>
      <c r="AC29" s="22">
        <v>3.0</v>
      </c>
      <c r="AD29" s="22"/>
      <c r="AE29" s="22"/>
      <c r="AF29" s="23"/>
      <c r="AG29" s="23"/>
      <c r="AH29" s="22">
        <v>10.0</v>
      </c>
      <c r="AI29" s="22"/>
      <c r="AJ29" s="22">
        <v>2.0</v>
      </c>
      <c r="AK29" s="17"/>
      <c r="AL29" s="23"/>
      <c r="AM29" s="22"/>
      <c r="AN29" s="22"/>
      <c r="AO29" s="23"/>
      <c r="AP29" s="22"/>
      <c r="AQ29" s="23"/>
      <c r="AR29" s="22"/>
      <c r="AS29" s="22">
        <v>4.0</v>
      </c>
      <c r="AT29" s="22"/>
      <c r="AU29" s="22"/>
      <c r="AV29" s="22"/>
      <c r="AW29" s="22"/>
      <c r="AX29" s="23"/>
      <c r="AY29" s="22">
        <v>6.0</v>
      </c>
      <c r="AZ29" s="22"/>
      <c r="BA29" s="22"/>
      <c r="BB29" s="22"/>
      <c r="BC29" s="23"/>
      <c r="BD29" s="22">
        <v>1.0</v>
      </c>
      <c r="BE29" s="22"/>
      <c r="BF29" s="23"/>
      <c r="BG29" s="22">
        <v>12.0</v>
      </c>
      <c r="BH29" s="22"/>
      <c r="BI29" s="22"/>
      <c r="BJ29" s="22"/>
      <c r="BK29" s="22"/>
      <c r="BL29" s="23"/>
      <c r="BM29" s="17"/>
      <c r="BN29" s="23">
        <f t="shared" si="3"/>
        <v>38</v>
      </c>
      <c r="BO29" s="23">
        <f t="shared" si="4"/>
        <v>28</v>
      </c>
      <c r="BP29" s="23">
        <f t="shared" si="5"/>
        <v>7</v>
      </c>
      <c r="BQ29" s="23">
        <f t="shared" si="6"/>
        <v>1</v>
      </c>
      <c r="BR29" s="23">
        <f t="shared" si="7"/>
        <v>1</v>
      </c>
      <c r="BS29" s="23">
        <f t="shared" si="8"/>
        <v>0</v>
      </c>
      <c r="BT29" s="24">
        <f t="shared" si="9"/>
        <v>3807010100</v>
      </c>
      <c r="BU29" s="23">
        <f t="shared" si="10"/>
        <v>28</v>
      </c>
    </row>
    <row r="30">
      <c r="B30" s="84"/>
      <c r="E30" s="84"/>
    </row>
    <row r="31">
      <c r="B31" s="85"/>
      <c r="C31" s="29"/>
      <c r="D31" s="29"/>
      <c r="E31" s="85" t="s">
        <v>40</v>
      </c>
      <c r="F31" s="30">
        <f t="shared" ref="F31:BM31" si="37">SUM(F2:F29)</f>
        <v>58</v>
      </c>
      <c r="G31" s="30">
        <f t="shared" si="37"/>
        <v>58</v>
      </c>
      <c r="H31" s="30">
        <f t="shared" si="37"/>
        <v>58</v>
      </c>
      <c r="I31" s="30">
        <f t="shared" si="37"/>
        <v>58</v>
      </c>
      <c r="J31" s="30">
        <f t="shared" si="37"/>
        <v>58</v>
      </c>
      <c r="K31" s="30">
        <f t="shared" si="37"/>
        <v>58</v>
      </c>
      <c r="L31" s="30">
        <f t="shared" si="37"/>
        <v>58</v>
      </c>
      <c r="M31" s="30">
        <f t="shared" si="37"/>
        <v>58</v>
      </c>
      <c r="N31" s="30">
        <f t="shared" si="37"/>
        <v>58</v>
      </c>
      <c r="O31" s="30">
        <f t="shared" si="37"/>
        <v>58</v>
      </c>
      <c r="P31" s="30">
        <f t="shared" si="37"/>
        <v>58</v>
      </c>
      <c r="Q31" s="30">
        <f t="shared" si="37"/>
        <v>58</v>
      </c>
      <c r="R31" s="30">
        <f t="shared" si="37"/>
        <v>58</v>
      </c>
      <c r="S31" s="30">
        <f t="shared" si="37"/>
        <v>58</v>
      </c>
      <c r="T31" s="30">
        <f t="shared" si="37"/>
        <v>58</v>
      </c>
      <c r="U31" s="30">
        <f t="shared" si="37"/>
        <v>58</v>
      </c>
      <c r="V31" s="30">
        <f t="shared" si="37"/>
        <v>58</v>
      </c>
      <c r="W31" s="30">
        <f t="shared" si="37"/>
        <v>58</v>
      </c>
      <c r="X31" s="30">
        <f t="shared" si="37"/>
        <v>58</v>
      </c>
      <c r="Y31" s="30">
        <f t="shared" si="37"/>
        <v>58</v>
      </c>
      <c r="Z31" s="30">
        <f t="shared" si="37"/>
        <v>58</v>
      </c>
      <c r="AA31" s="30">
        <f t="shared" si="37"/>
        <v>58</v>
      </c>
      <c r="AB31" s="30">
        <f t="shared" si="37"/>
        <v>58</v>
      </c>
      <c r="AC31" s="30">
        <f t="shared" si="37"/>
        <v>58</v>
      </c>
      <c r="AD31" s="30">
        <f t="shared" si="37"/>
        <v>58</v>
      </c>
      <c r="AE31" s="30">
        <f t="shared" si="37"/>
        <v>58</v>
      </c>
      <c r="AF31" s="30">
        <f t="shared" si="37"/>
        <v>58</v>
      </c>
      <c r="AG31" s="30">
        <f t="shared" si="37"/>
        <v>58</v>
      </c>
      <c r="AH31" s="30">
        <f t="shared" si="37"/>
        <v>58</v>
      </c>
      <c r="AI31" s="30">
        <f t="shared" si="37"/>
        <v>58</v>
      </c>
      <c r="AJ31" s="30">
        <f t="shared" si="37"/>
        <v>58</v>
      </c>
      <c r="AK31" s="30">
        <f t="shared" si="37"/>
        <v>58</v>
      </c>
      <c r="AL31" s="30">
        <f t="shared" si="37"/>
        <v>58</v>
      </c>
      <c r="AM31" s="30">
        <f t="shared" si="37"/>
        <v>58</v>
      </c>
      <c r="AN31" s="30">
        <f t="shared" si="37"/>
        <v>58</v>
      </c>
      <c r="AO31" s="30">
        <f t="shared" si="37"/>
        <v>58</v>
      </c>
      <c r="AP31" s="30">
        <f t="shared" si="37"/>
        <v>58</v>
      </c>
      <c r="AQ31" s="30">
        <f t="shared" si="37"/>
        <v>58</v>
      </c>
      <c r="AR31" s="30">
        <f t="shared" si="37"/>
        <v>58</v>
      </c>
      <c r="AS31" s="30">
        <f t="shared" si="37"/>
        <v>58</v>
      </c>
      <c r="AT31" s="30">
        <f t="shared" si="37"/>
        <v>58</v>
      </c>
      <c r="AU31" s="30">
        <f t="shared" si="37"/>
        <v>58</v>
      </c>
      <c r="AV31" s="30">
        <f t="shared" si="37"/>
        <v>58</v>
      </c>
      <c r="AW31" s="30">
        <f t="shared" si="37"/>
        <v>58</v>
      </c>
      <c r="AX31" s="30">
        <f t="shared" si="37"/>
        <v>58</v>
      </c>
      <c r="AY31" s="30">
        <f t="shared" si="37"/>
        <v>58</v>
      </c>
      <c r="AZ31" s="30">
        <f t="shared" si="37"/>
        <v>58</v>
      </c>
      <c r="BA31" s="30">
        <f t="shared" si="37"/>
        <v>58</v>
      </c>
      <c r="BB31" s="30">
        <f t="shared" si="37"/>
        <v>58</v>
      </c>
      <c r="BC31" s="30">
        <f t="shared" si="37"/>
        <v>58</v>
      </c>
      <c r="BD31" s="30">
        <f t="shared" si="37"/>
        <v>58</v>
      </c>
      <c r="BE31" s="30">
        <f t="shared" si="37"/>
        <v>58</v>
      </c>
      <c r="BF31" s="30">
        <f t="shared" si="37"/>
        <v>58</v>
      </c>
      <c r="BG31" s="30">
        <f t="shared" si="37"/>
        <v>58</v>
      </c>
      <c r="BH31" s="30">
        <f t="shared" si="37"/>
        <v>58</v>
      </c>
      <c r="BI31" s="30">
        <f t="shared" si="37"/>
        <v>0</v>
      </c>
      <c r="BJ31" s="30">
        <f t="shared" si="37"/>
        <v>0</v>
      </c>
      <c r="BK31" s="30">
        <f t="shared" si="37"/>
        <v>0</v>
      </c>
      <c r="BL31" s="30">
        <f t="shared" si="37"/>
        <v>0</v>
      </c>
      <c r="BM31" s="30">
        <f t="shared" si="37"/>
        <v>0</v>
      </c>
    </row>
    <row r="32">
      <c r="B32" s="85"/>
      <c r="C32" s="29"/>
      <c r="D32" s="29"/>
      <c r="E32" s="85" t="s">
        <v>42</v>
      </c>
      <c r="F32" s="30" t="b">
        <f>IFERROR(__xludf.DUMMYFUNCTION("AND(COUNTIF(F2:F29, 1) = 1, 
    COUNTIF(F2:F29, 2) = 1, 
    COUNTIF(F2:F29, 3) = 1, 
    COUNTIF(F2:F29, 4) = 1, 
    COUNTIF(F2:F29, 5) = 1, 
    COUNTIF(F2:F29, 6) = 1, 
    COUNTIF(F2:F29, 7) = 1, 
    COUNTIF(F2:F29, 8) = 1, 
    COUNTIF(F2:F29, 10)"&amp;" = 1, 
    COUNTIF(F2:F29, 12) = 1, 
    COUNTUNIQUE(F2:F29) = 10)"),TRUE)</f>
        <v>1</v>
      </c>
      <c r="G32" s="30" t="b">
        <f>IFERROR(__xludf.DUMMYFUNCTION("AND(COUNTIF(G2:G29, 1) = 1, 
    COUNTIF(G2:G29, 2) = 1, 
    COUNTIF(G2:G29, 3) = 1, 
    COUNTIF(G2:G29, 4) = 1, 
    COUNTIF(G2:G29, 5) = 1, 
    COUNTIF(G2:G29, 6) = 1, 
    COUNTIF(G2:G29, 7) = 1, 
    COUNTIF(G2:G29, 8) = 1, 
    COUNTIF(G2:G29, 10)"&amp;" = 1, 
    COUNTIF(G2:G29, 12) = 1, 
    COUNTUNIQUE(G2:G29) = 10)"),TRUE)</f>
        <v>1</v>
      </c>
      <c r="H32" s="30" t="b">
        <f>IFERROR(__xludf.DUMMYFUNCTION("AND(COUNTIF(H2:H29, 1) = 1, 
    COUNTIF(H2:H29, 2) = 1, 
    COUNTIF(H2:H29, 3) = 1, 
    COUNTIF(H2:H29, 4) = 1, 
    COUNTIF(H2:H29, 5) = 1, 
    COUNTIF(H2:H29, 6) = 1, 
    COUNTIF(H2:H29, 7) = 1, 
    COUNTIF(H2:H29, 8) = 1, 
    COUNTIF(H2:H29, 10)"&amp;" = 1, 
    COUNTIF(H2:H29, 12) = 1, 
    COUNTUNIQUE(H2:H29) = 10)"),TRUE)</f>
        <v>1</v>
      </c>
      <c r="I32" s="30" t="b">
        <f>IFERROR(__xludf.DUMMYFUNCTION("AND(COUNTIF(I2:I29, 1) = 1, 
    COUNTIF(I2:I29, 2) = 1, 
    COUNTIF(I2:I29, 3) = 1, 
    COUNTIF(I2:I29, 4) = 1, 
    COUNTIF(I2:I29, 5) = 1, 
    COUNTIF(I2:I29, 6) = 1, 
    COUNTIF(I2:I29, 7) = 1, 
    COUNTIF(I2:I29, 8) = 1, 
    COUNTIF(I2:I29, 10)"&amp;" = 1, 
    COUNTIF(I2:I29, 12) = 1, 
    COUNTUNIQUE(I2:I29) = 10)"),TRUE)</f>
        <v>1</v>
      </c>
      <c r="J32" s="30" t="b">
        <f>IFERROR(__xludf.DUMMYFUNCTION("AND(COUNTIF(J2:J29, 1) = 1, 
    COUNTIF(J2:J29, 2) = 1, 
    COUNTIF(J2:J29, 3) = 1, 
    COUNTIF(J2:J29, 4) = 1, 
    COUNTIF(J2:J29, 5) = 1, 
    COUNTIF(J2:J29, 6) = 1, 
    COUNTIF(J2:J29, 7) = 1, 
    COUNTIF(J2:J29, 8) = 1, 
    COUNTIF(J2:J29, 10)"&amp;" = 1, 
    COUNTIF(J2:J29, 12) = 1, 
    COUNTUNIQUE(J2:J29) = 10)"),TRUE)</f>
        <v>1</v>
      </c>
      <c r="K32" s="30" t="b">
        <f>IFERROR(__xludf.DUMMYFUNCTION("AND(COUNTIF(K2:K29, 1) = 1, 
    COUNTIF(K2:K29, 2) = 1, 
    COUNTIF(K2:K29, 3) = 1, 
    COUNTIF(K2:K29, 4) = 1, 
    COUNTIF(K2:K29, 5) = 1, 
    COUNTIF(K2:K29, 6) = 1, 
    COUNTIF(K2:K29, 7) = 1, 
    COUNTIF(K2:K29, 8) = 1, 
    COUNTIF(K2:K29, 10)"&amp;" = 1, 
    COUNTIF(K2:K29, 12) = 1, 
    COUNTUNIQUE(K2:K29) = 10)"),TRUE)</f>
        <v>1</v>
      </c>
      <c r="L32" s="30" t="b">
        <f>IFERROR(__xludf.DUMMYFUNCTION("AND(COUNTIF(L2:L29, 1) = 1, 
    COUNTIF(L2:L29, 2) = 1, 
    COUNTIF(L2:L29, 3) = 1, 
    COUNTIF(L2:L29, 4) = 1, 
    COUNTIF(L2:L29, 5) = 1, 
    COUNTIF(L2:L29, 6) = 1, 
    COUNTIF(L2:L29, 7) = 1, 
    COUNTIF(L2:L29, 8) = 1, 
    COUNTIF(L2:L29, 10)"&amp;" = 1, 
    COUNTIF(L2:L29, 12) = 1, 
    COUNTUNIQUE(L2:L29) = 10)"),TRUE)</f>
        <v>1</v>
      </c>
      <c r="M32" s="30" t="b">
        <f>IFERROR(__xludf.DUMMYFUNCTION("AND(COUNTIF(M2:M29, 1) = 1, 
    COUNTIF(M2:M29, 2) = 1, 
    COUNTIF(M2:M29, 3) = 1, 
    COUNTIF(M2:M29, 4) = 1, 
    COUNTIF(M2:M29, 5) = 1, 
    COUNTIF(M2:M29, 6) = 1, 
    COUNTIF(M2:M29, 7) = 1, 
    COUNTIF(M2:M29, 8) = 1, 
    COUNTIF(M2:M29, 10)"&amp;" = 1, 
    COUNTIF(M2:M29, 12) = 1, 
    COUNTUNIQUE(M2:M29) = 10)"),TRUE)</f>
        <v>1</v>
      </c>
      <c r="N32" s="30" t="b">
        <f>IFERROR(__xludf.DUMMYFUNCTION("AND(COUNTIF(N2:N29, 1) = 1, 
    COUNTIF(N2:N29, 2) = 1, 
    COUNTIF(N2:N29, 3) = 1, 
    COUNTIF(N2:N29, 4) = 1, 
    COUNTIF(N2:N29, 5) = 1, 
    COUNTIF(N2:N29, 6) = 1, 
    COUNTIF(N2:N29, 7) = 1, 
    COUNTIF(N2:N29, 8) = 1, 
    COUNTIF(N2:N29, 10)"&amp;" = 1, 
    COUNTIF(N2:N29, 12) = 1, 
    COUNTUNIQUE(N2:N29) = 10)"),TRUE)</f>
        <v>1</v>
      </c>
      <c r="O32" s="30" t="b">
        <f>IFERROR(__xludf.DUMMYFUNCTION("AND(COUNTIF(O2:O29, 1) = 1, 
    COUNTIF(O2:O29, 2) = 1, 
    COUNTIF(O2:O29, 3) = 1, 
    COUNTIF(O2:O29, 4) = 1, 
    COUNTIF(O2:O29, 5) = 1, 
    COUNTIF(O2:O29, 6) = 1, 
    COUNTIF(O2:O29, 7) = 1, 
    COUNTIF(O2:O29, 8) = 1, 
    COUNTIF(O2:O29, 10)"&amp;" = 1, 
    COUNTIF(O2:O29, 12) = 1, 
    COUNTUNIQUE(O2:O29) = 10)"),TRUE)</f>
        <v>1</v>
      </c>
      <c r="P32" s="30" t="b">
        <f>IFERROR(__xludf.DUMMYFUNCTION("AND(COUNTIF(P2:P29, 1) = 1, 
    COUNTIF(P2:P29, 2) = 1, 
    COUNTIF(P2:P29, 3) = 1, 
    COUNTIF(P2:P29, 4) = 1, 
    COUNTIF(P2:P29, 5) = 1, 
    COUNTIF(P2:P29, 6) = 1, 
    COUNTIF(P2:P29, 7) = 1, 
    COUNTIF(P2:P29, 8) = 1, 
    COUNTIF(P2:P29, 10)"&amp;" = 1, 
    COUNTIF(P2:P29, 12) = 1, 
    COUNTUNIQUE(P2:P29) = 10)"),TRUE)</f>
        <v>1</v>
      </c>
      <c r="Q32" s="30" t="b">
        <f>IFERROR(__xludf.DUMMYFUNCTION("AND(COUNTIF(Q2:Q29, 1) = 1, 
    COUNTIF(Q2:Q29, 2) = 1, 
    COUNTIF(Q2:Q29, 3) = 1, 
    COUNTIF(Q2:Q29, 4) = 1, 
    COUNTIF(Q2:Q29, 5) = 1, 
    COUNTIF(Q2:Q29, 6) = 1, 
    COUNTIF(Q2:Q29, 7) = 1, 
    COUNTIF(Q2:Q29, 8) = 1, 
    COUNTIF(Q2:Q29, 10)"&amp;" = 1, 
    COUNTIF(Q2:Q29, 12) = 1, 
    COUNTUNIQUE(Q2:Q29) = 10)"),TRUE)</f>
        <v>1</v>
      </c>
      <c r="R32" s="30" t="b">
        <f>IFERROR(__xludf.DUMMYFUNCTION("AND(COUNTIF(R2:R29, 1) = 1, 
    COUNTIF(R2:R29, 2) = 1, 
    COUNTIF(R2:R29, 3) = 1, 
    COUNTIF(R2:R29, 4) = 1, 
    COUNTIF(R2:R29, 5) = 1, 
    COUNTIF(R2:R29, 6) = 1, 
    COUNTIF(R2:R29, 7) = 1, 
    COUNTIF(R2:R29, 8) = 1, 
    COUNTIF(R2:R29, 10)"&amp;" = 1, 
    COUNTIF(R2:R29, 12) = 1, 
    COUNTUNIQUE(R2:R29) = 10)"),TRUE)</f>
        <v>1</v>
      </c>
      <c r="S32" s="30" t="b">
        <f>IFERROR(__xludf.DUMMYFUNCTION("AND(COUNTIF(S2:S29, 1) = 1, 
    COUNTIF(S2:S29, 2) = 1, 
    COUNTIF(S2:S29, 3) = 1, 
    COUNTIF(S2:S29, 4) = 1, 
    COUNTIF(S2:S29, 5) = 1, 
    COUNTIF(S2:S29, 6) = 1, 
    COUNTIF(S2:S29, 7) = 1, 
    COUNTIF(S2:S29, 8) = 1, 
    COUNTIF(S2:S29, 10)"&amp;" = 1, 
    COUNTIF(S2:S29, 12) = 1, 
    COUNTUNIQUE(S2:S29) = 10)"),TRUE)</f>
        <v>1</v>
      </c>
      <c r="T32" s="30" t="b">
        <f>IFERROR(__xludf.DUMMYFUNCTION("AND(COUNTIF(T2:T29, 1) = 1, 
    COUNTIF(T2:T29, 2) = 1, 
    COUNTIF(T2:T29, 3) = 1, 
    COUNTIF(T2:T29, 4) = 1, 
    COUNTIF(T2:T29, 5) = 1, 
    COUNTIF(T2:T29, 6) = 1, 
    COUNTIF(T2:T29, 7) = 1, 
    COUNTIF(T2:T29, 8) = 1, 
    COUNTIF(T2:T29, 10)"&amp;" = 1, 
    COUNTIF(T2:T29, 12) = 1, 
    COUNTUNIQUE(T2:T29) = 10)"),TRUE)</f>
        <v>1</v>
      </c>
      <c r="U32" s="30" t="b">
        <f>IFERROR(__xludf.DUMMYFUNCTION("AND(COUNTIF(U2:U29, 1) = 1, 
    COUNTIF(U2:U29, 2) = 1, 
    COUNTIF(U2:U29, 3) = 1, 
    COUNTIF(U2:U29, 4) = 1, 
    COUNTIF(U2:U29, 5) = 1, 
    COUNTIF(U2:U29, 6) = 1, 
    COUNTIF(U2:U29, 7) = 1, 
    COUNTIF(U2:U29, 8) = 1, 
    COUNTIF(U2:U29, 10)"&amp;" = 1, 
    COUNTIF(U2:U29, 12) = 1, 
    COUNTUNIQUE(U2:U29) = 10)"),TRUE)</f>
        <v>1</v>
      </c>
      <c r="V32" s="30" t="b">
        <f>IFERROR(__xludf.DUMMYFUNCTION("AND(COUNTIF(V2:V29, 1) = 1, 
    COUNTIF(V2:V29, 2) = 1, 
    COUNTIF(V2:V29, 3) = 1, 
    COUNTIF(V2:V29, 4) = 1, 
    COUNTIF(V2:V29, 5) = 1, 
    COUNTIF(V2:V29, 6) = 1, 
    COUNTIF(V2:V29, 7) = 1, 
    COUNTIF(V2:V29, 8) = 1, 
    COUNTIF(V2:V29, 10)"&amp;" = 1, 
    COUNTIF(V2:V29, 12) = 1, 
    COUNTUNIQUE(V2:V29) = 10)"),TRUE)</f>
        <v>1</v>
      </c>
      <c r="W32" s="30" t="b">
        <f>IFERROR(__xludf.DUMMYFUNCTION("AND(COUNTIF(W2:W29, 1) = 1, 
    COUNTIF(W2:W29, 2) = 1, 
    COUNTIF(W2:W29, 3) = 1, 
    COUNTIF(W2:W29, 4) = 1, 
    COUNTIF(W2:W29, 5) = 1, 
    COUNTIF(W2:W29, 6) = 1, 
    COUNTIF(W2:W29, 7) = 1, 
    COUNTIF(W2:W29, 8) = 1, 
    COUNTIF(W2:W29, 10)"&amp;" = 1, 
    COUNTIF(W2:W29, 12) = 1, 
    COUNTUNIQUE(W2:W29) = 10)"),TRUE)</f>
        <v>1</v>
      </c>
      <c r="X32" s="30" t="b">
        <f>IFERROR(__xludf.DUMMYFUNCTION("AND(COUNTIF(X2:X29, 1) = 1, 
    COUNTIF(X2:X29, 2) = 1, 
    COUNTIF(X2:X29, 3) = 1, 
    COUNTIF(X2:X29, 4) = 1, 
    COUNTIF(X2:X29, 5) = 1, 
    COUNTIF(X2:X29, 6) = 1, 
    COUNTIF(X2:X29, 7) = 1, 
    COUNTIF(X2:X29, 8) = 1, 
    COUNTIF(X2:X29, 10)"&amp;" = 1, 
    COUNTIF(X2:X29, 12) = 1, 
    COUNTUNIQUE(X2:X29) = 10)"),TRUE)</f>
        <v>1</v>
      </c>
      <c r="Y32" s="30" t="b">
        <f>IFERROR(__xludf.DUMMYFUNCTION("AND(COUNTIF(Y2:Y29, 1) = 1, 
    COUNTIF(Y2:Y29, 2) = 1, 
    COUNTIF(Y2:Y29, 3) = 1, 
    COUNTIF(Y2:Y29, 4) = 1, 
    COUNTIF(Y2:Y29, 5) = 1, 
    COUNTIF(Y2:Y29, 6) = 1, 
    COUNTIF(Y2:Y29, 7) = 1, 
    COUNTIF(Y2:Y29, 8) = 1, 
    COUNTIF(Y2:Y29, 10)"&amp;" = 1, 
    COUNTIF(Y2:Y29, 12) = 1, 
    COUNTUNIQUE(Y2:Y29) = 10)"),TRUE)</f>
        <v>1</v>
      </c>
      <c r="Z32" s="30" t="b">
        <f>IFERROR(__xludf.DUMMYFUNCTION("AND(COUNTIF(Z2:Z29, 1) = 1, 
    COUNTIF(Z2:Z29, 2) = 1, 
    COUNTIF(Z2:Z29, 3) = 1, 
    COUNTIF(Z2:Z29, 4) = 1, 
    COUNTIF(Z2:Z29, 5) = 1, 
    COUNTIF(Z2:Z29, 6) = 1, 
    COUNTIF(Z2:Z29, 7) = 1, 
    COUNTIF(Z2:Z29, 8) = 1, 
    COUNTIF(Z2:Z29, 10)"&amp;" = 1, 
    COUNTIF(Z2:Z29, 12) = 1, 
    COUNTUNIQUE(Z2:Z29) = 10)"),TRUE)</f>
        <v>1</v>
      </c>
      <c r="AA32" s="30" t="b">
        <f>IFERROR(__xludf.DUMMYFUNCTION("AND(COUNTIF(AA2:AA29, 1) = 1, 
    COUNTIF(AA2:AA29, 2) = 1, 
    COUNTIF(AA2:AA29, 3) = 1, 
    COUNTIF(AA2:AA29, 4) = 1, 
    COUNTIF(AA2:AA29, 5) = 1, 
    COUNTIF(AA2:AA29, 6) = 1, 
    COUNTIF(AA2:AA29, 7) = 1, 
    COUNTIF(AA2:AA29, 8) = 1, 
    COU"&amp;"NTIF(AA2:AA29, 10) = 1, 
    COUNTIF(AA2:AA29, 12) = 1, 
    COUNTUNIQUE(AA2:AA29) = 10)"),TRUE)</f>
        <v>1</v>
      </c>
      <c r="AB32" s="30" t="b">
        <f>IFERROR(__xludf.DUMMYFUNCTION("AND(COUNTIF(AB2:AB29, 1) = 1, 
    COUNTIF(AB2:AB29, 2) = 1, 
    COUNTIF(AB2:AB29, 3) = 1, 
    COUNTIF(AB2:AB29, 4) = 1, 
    COUNTIF(AB2:AB29, 5) = 1, 
    COUNTIF(AB2:AB29, 6) = 1, 
    COUNTIF(AB2:AB29, 7) = 1, 
    COUNTIF(AB2:AB29, 8) = 1, 
    COU"&amp;"NTIF(AB2:AB29, 10) = 1, 
    COUNTIF(AB2:AB29, 12) = 1, 
    COUNTUNIQUE(AB2:AB29) = 10)"),TRUE)</f>
        <v>1</v>
      </c>
      <c r="AC32" s="30" t="b">
        <f>IFERROR(__xludf.DUMMYFUNCTION("AND(COUNTIF(AC2:AC29, 1) = 1, 
    COUNTIF(AC2:AC29, 2) = 1, 
    COUNTIF(AC2:AC29, 3) = 1, 
    COUNTIF(AC2:AC29, 4) = 1, 
    COUNTIF(AC2:AC29, 5) = 1, 
    COUNTIF(AC2:AC29, 6) = 1, 
    COUNTIF(AC2:AC29, 7) = 1, 
    COUNTIF(AC2:AC29, 8) = 1, 
    COU"&amp;"NTIF(AC2:AC29, 10) = 1, 
    COUNTIF(AC2:AC29, 12) = 1, 
    COUNTUNIQUE(AC2:AC29) = 10)"),TRUE)</f>
        <v>1</v>
      </c>
      <c r="AD32" s="30" t="b">
        <f>IFERROR(__xludf.DUMMYFUNCTION("AND(COUNTIF(AD2:AD29, 1) = 1, 
    COUNTIF(AD2:AD29, 2) = 1, 
    COUNTIF(AD2:AD29, 3) = 1, 
    COUNTIF(AD2:AD29, 4) = 1, 
    COUNTIF(AD2:AD29, 5) = 1, 
    COUNTIF(AD2:AD29, 6) = 1, 
    COUNTIF(AD2:AD29, 7) = 1, 
    COUNTIF(AD2:AD29, 8) = 1, 
    COU"&amp;"NTIF(AD2:AD29, 10) = 1, 
    COUNTIF(AD2:AD29, 12) = 1, 
    COUNTUNIQUE(AD2:AD29) = 10)"),TRUE)</f>
        <v>1</v>
      </c>
      <c r="AE32" s="30" t="b">
        <f>IFERROR(__xludf.DUMMYFUNCTION("AND(COUNTIF(AE2:AE29, 1) = 1, 
    COUNTIF(AE2:AE29, 2) = 1, 
    COUNTIF(AE2:AE29, 3) = 1, 
    COUNTIF(AE2:AE29, 4) = 1, 
    COUNTIF(AE2:AE29, 5) = 1, 
    COUNTIF(AE2:AE29, 6) = 1, 
    COUNTIF(AE2:AE29, 7) = 1, 
    COUNTIF(AE2:AE29, 8) = 1, 
    COU"&amp;"NTIF(AE2:AE29, 10) = 1, 
    COUNTIF(AE2:AE29, 12) = 1, 
    COUNTUNIQUE(AE2:AE29) = 10)"),TRUE)</f>
        <v>1</v>
      </c>
      <c r="AF32" s="30" t="b">
        <f>IFERROR(__xludf.DUMMYFUNCTION("AND(COUNTIF(AF2:AF29, 1) = 1, 
    COUNTIF(AF2:AF29, 2) = 1, 
    COUNTIF(AF2:AF29, 3) = 1, 
    COUNTIF(AF2:AF29, 4) = 1, 
    COUNTIF(AF2:AF29, 5) = 1, 
    COUNTIF(AF2:AF29, 6) = 1, 
    COUNTIF(AF2:AF29, 7) = 1, 
    COUNTIF(AF2:AF29, 8) = 1, 
    COU"&amp;"NTIF(AF2:AF29, 10) = 1, 
    COUNTIF(AF2:AF29, 12) = 1, 
    COUNTUNIQUE(AF2:AF29) = 10)"),TRUE)</f>
        <v>1</v>
      </c>
      <c r="AG32" s="30" t="b">
        <f>IFERROR(__xludf.DUMMYFUNCTION("AND(COUNTIF(AG2:AG29, 1) = 1, 
    COUNTIF(AG2:AG29, 2) = 1, 
    COUNTIF(AG2:AG29, 3) = 1, 
    COUNTIF(AG2:AG29, 4) = 1, 
    COUNTIF(AG2:AG29, 5) = 1, 
    COUNTIF(AG2:AG29, 6) = 1, 
    COUNTIF(AG2:AG29, 7) = 1, 
    COUNTIF(AG2:AG29, 8) = 1, 
    COU"&amp;"NTIF(AG2:AG29, 10) = 1, 
    COUNTIF(AG2:AG29, 12) = 1, 
    COUNTUNIQUE(AG2:AG29) = 10)"),TRUE)</f>
        <v>1</v>
      </c>
      <c r="AH32" s="30" t="b">
        <f>IFERROR(__xludf.DUMMYFUNCTION("AND(COUNTIF(AH2:AH29, 1) = 1, 
    COUNTIF(AH2:AH29, 2) = 1, 
    COUNTIF(AH2:AH29, 3) = 1, 
    COUNTIF(AH2:AH29, 4) = 1, 
    COUNTIF(AH2:AH29, 5) = 1, 
    COUNTIF(AH2:AH29, 6) = 1, 
    COUNTIF(AH2:AH29, 7) = 1, 
    COUNTIF(AH2:AH29, 8) = 1, 
    COU"&amp;"NTIF(AH2:AH29, 10) = 1, 
    COUNTIF(AH2:AH29, 12) = 1, 
    COUNTUNIQUE(AH2:AH29) = 10)"),TRUE)</f>
        <v>1</v>
      </c>
      <c r="AI32" s="30" t="b">
        <f>IFERROR(__xludf.DUMMYFUNCTION("AND(COUNTIF(AI2:AI29, 1) = 1, 
    COUNTIF(AI2:AI29, 2) = 1, 
    COUNTIF(AI2:AI29, 3) = 1, 
    COUNTIF(AI2:AI29, 4) = 1, 
    COUNTIF(AI2:AI29, 5) = 1, 
    COUNTIF(AI2:AI29, 6) = 1, 
    COUNTIF(AI2:AI29, 7) = 1, 
    COUNTIF(AI2:AI29, 8) = 1, 
    COU"&amp;"NTIF(AI2:AI29, 10) = 1, 
    COUNTIF(AI2:AI29, 12) = 1, 
    COUNTUNIQUE(AI2:AI29) = 10)"),TRUE)</f>
        <v>1</v>
      </c>
      <c r="AJ32" s="30" t="b">
        <f>IFERROR(__xludf.DUMMYFUNCTION("AND(COUNTIF(AJ2:AJ29, 1) = 1, 
    COUNTIF(AJ2:AJ29, 2) = 1, 
    COUNTIF(AJ2:AJ29, 3) = 1, 
    COUNTIF(AJ2:AJ29, 4) = 1, 
    COUNTIF(AJ2:AJ29, 5) = 1, 
    COUNTIF(AJ2:AJ29, 6) = 1, 
    COUNTIF(AJ2:AJ29, 7) = 1, 
    COUNTIF(AJ2:AJ29, 8) = 1, 
    COU"&amp;"NTIF(AJ2:AJ29, 10) = 1, 
    COUNTIF(AJ2:AJ29, 12) = 1, 
    COUNTUNIQUE(AJ2:AJ29) = 10)"),TRUE)</f>
        <v>1</v>
      </c>
      <c r="AK32" s="30" t="b">
        <f>IFERROR(__xludf.DUMMYFUNCTION("AND(COUNTIF(AK2:AK29, 1) = 1, 
    COUNTIF(AK2:AK29, 2) = 1, 
    COUNTIF(AK2:AK29, 3) = 1, 
    COUNTIF(AK2:AK29, 4) = 1, 
    COUNTIF(AK2:AK29, 5) = 1, 
    COUNTIF(AK2:AK29, 6) = 1, 
    COUNTIF(AK2:AK29, 7) = 1, 
    COUNTIF(AK2:AK29, 8) = 1, 
    COU"&amp;"NTIF(AK2:AK29, 10) = 1, 
    COUNTIF(AK2:AK29, 12) = 1, 
    COUNTUNIQUE(AK2:AK29) = 10)"),TRUE)</f>
        <v>1</v>
      </c>
      <c r="AL32" s="30" t="b">
        <f>IFERROR(__xludf.DUMMYFUNCTION("AND(COUNTIF(AL2:AL29, 1) = 1, 
    COUNTIF(AL2:AL29, 2) = 1, 
    COUNTIF(AL2:AL29, 3) = 1, 
    COUNTIF(AL2:AL29, 4) = 1, 
    COUNTIF(AL2:AL29, 5) = 1, 
    COUNTIF(AL2:AL29, 6) = 1, 
    COUNTIF(AL2:AL29, 7) = 1, 
    COUNTIF(AL2:AL29, 8) = 1, 
    COU"&amp;"NTIF(AL2:AL29, 10) = 1, 
    COUNTIF(AL2:AL29, 12) = 1, 
    COUNTUNIQUE(AL2:AL29) = 10)"),TRUE)</f>
        <v>1</v>
      </c>
      <c r="AM32" s="30" t="b">
        <f>IFERROR(__xludf.DUMMYFUNCTION("AND(COUNTIF(AM2:AM29, 1) = 1, 
    COUNTIF(AM2:AM29, 2) = 1, 
    COUNTIF(AM2:AM29, 3) = 1, 
    COUNTIF(AM2:AM29, 4) = 1, 
    COUNTIF(AM2:AM29, 5) = 1, 
    COUNTIF(AM2:AM29, 6) = 1, 
    COUNTIF(AM2:AM29, 7) = 1, 
    COUNTIF(AM2:AM29, 8) = 1, 
    COU"&amp;"NTIF(AM2:AM29, 10) = 1, 
    COUNTIF(AM2:AM29, 12) = 1, 
    COUNTUNIQUE(AM2:AM29) = 10)"),TRUE)</f>
        <v>1</v>
      </c>
      <c r="AN32" s="30" t="b">
        <f>IFERROR(__xludf.DUMMYFUNCTION("AND(COUNTIF(AN2:AN29, 1) = 1, 
    COUNTIF(AN2:AN29, 2) = 1, 
    COUNTIF(AN2:AN29, 3) = 1, 
    COUNTIF(AN2:AN29, 4) = 1, 
    COUNTIF(AN2:AN29, 5) = 1, 
    COUNTIF(AN2:AN29, 6) = 1, 
    COUNTIF(AN2:AN29, 7) = 1, 
    COUNTIF(AN2:AN29, 8) = 1, 
    COU"&amp;"NTIF(AN2:AN29, 10) = 1, 
    COUNTIF(AN2:AN29, 12) = 1, 
    COUNTUNIQUE(AN2:AN29) = 10)"),TRUE)</f>
        <v>1</v>
      </c>
      <c r="AO32" s="30" t="b">
        <f>IFERROR(__xludf.DUMMYFUNCTION("AND(COUNTIF(AO2:AO29, 1) = 1, 
    COUNTIF(AO2:AO29, 2) = 1, 
    COUNTIF(AO2:AO29, 3) = 1, 
    COUNTIF(AO2:AO29, 4) = 1, 
    COUNTIF(AO2:AO29, 5) = 1, 
    COUNTIF(AO2:AO29, 6) = 1, 
    COUNTIF(AO2:AO29, 7) = 1, 
    COUNTIF(AO2:AO29, 8) = 1, 
    COU"&amp;"NTIF(AO2:AO29, 10) = 1, 
    COUNTIF(AO2:AO29, 12) = 1, 
    COUNTUNIQUE(AO2:AO29) = 10)"),TRUE)</f>
        <v>1</v>
      </c>
      <c r="AP32" s="30" t="b">
        <f>IFERROR(__xludf.DUMMYFUNCTION("AND(COUNTIF(AP2:AP29, 1) = 1, 
    COUNTIF(AP2:AP29, 2) = 1, 
    COUNTIF(AP2:AP29, 3) = 1, 
    COUNTIF(AP2:AP29, 4) = 1, 
    COUNTIF(AP2:AP29, 5) = 1, 
    COUNTIF(AP2:AP29, 6) = 1, 
    COUNTIF(AP2:AP29, 7) = 1, 
    COUNTIF(AP2:AP29, 8) = 1, 
    COU"&amp;"NTIF(AP2:AP29, 10) = 1, 
    COUNTIF(AP2:AP29, 12) = 1, 
    COUNTUNIQUE(AP2:AP29) = 10)"),TRUE)</f>
        <v>1</v>
      </c>
      <c r="AQ32" s="30" t="b">
        <f>IFERROR(__xludf.DUMMYFUNCTION("AND(COUNTIF(AQ2:AQ29, 1) = 1, 
    COUNTIF(AQ2:AQ29, 2) = 1, 
    COUNTIF(AQ2:AQ29, 3) = 1, 
    COUNTIF(AQ2:AQ29, 4) = 1, 
    COUNTIF(AQ2:AQ29, 5) = 1, 
    COUNTIF(AQ2:AQ29, 6) = 1, 
    COUNTIF(AQ2:AQ29, 7) = 1, 
    COUNTIF(AQ2:AQ29, 8) = 1, 
    COU"&amp;"NTIF(AQ2:AQ29, 10) = 1, 
    COUNTIF(AQ2:AQ29, 12) = 1, 
    COUNTUNIQUE(AQ2:AQ29) = 10)"),TRUE)</f>
        <v>1</v>
      </c>
      <c r="AR32" s="30" t="b">
        <f>IFERROR(__xludf.DUMMYFUNCTION("AND(COUNTIF(AR2:AR29, 1) = 1, 
    COUNTIF(AR2:AR29, 2) = 1, 
    COUNTIF(AR2:AR29, 3) = 1, 
    COUNTIF(AR2:AR29, 4) = 1, 
    COUNTIF(AR2:AR29, 5) = 1, 
    COUNTIF(AR2:AR29, 6) = 1, 
    COUNTIF(AR2:AR29, 7) = 1, 
    COUNTIF(AR2:AR29, 8) = 1, 
    COU"&amp;"NTIF(AR2:AR29, 10) = 1, 
    COUNTIF(AR2:AR29, 12) = 1, 
    COUNTUNIQUE(AR2:AR29) = 10)"),TRUE)</f>
        <v>1</v>
      </c>
      <c r="AS32" s="30" t="b">
        <f>IFERROR(__xludf.DUMMYFUNCTION("AND(COUNTIF(AS2:AS29, 1) = 1, 
    COUNTIF(AS2:AS29, 2) = 1, 
    COUNTIF(AS2:AS29, 3) = 1, 
    COUNTIF(AS2:AS29, 4) = 1, 
    COUNTIF(AS2:AS29, 5) = 1, 
    COUNTIF(AS2:AS29, 6) = 1, 
    COUNTIF(AS2:AS29, 7) = 1, 
    COUNTIF(AS2:AS29, 8) = 1, 
    COU"&amp;"NTIF(AS2:AS29, 10) = 1, 
    COUNTIF(AS2:AS29, 12) = 1, 
    COUNTUNIQUE(AS2:AS29) = 10)"),TRUE)</f>
        <v>1</v>
      </c>
      <c r="AT32" s="30" t="b">
        <f>IFERROR(__xludf.DUMMYFUNCTION("AND(COUNTIF(AT2:AT29, 1) = 1, 
    COUNTIF(AT2:AT29, 2) = 1, 
    COUNTIF(AT2:AT29, 3) = 1, 
    COUNTIF(AT2:AT29, 4) = 1, 
    COUNTIF(AT2:AT29, 5) = 1, 
    COUNTIF(AT2:AT29, 6) = 1, 
    COUNTIF(AT2:AT29, 7) = 1, 
    COUNTIF(AT2:AT29, 8) = 1, 
    COU"&amp;"NTIF(AT2:AT29, 10) = 1, 
    COUNTIF(AT2:AT29, 12) = 1, 
    COUNTUNIQUE(AT2:AT29) = 10)"),TRUE)</f>
        <v>1</v>
      </c>
      <c r="AU32" s="30" t="b">
        <f>IFERROR(__xludf.DUMMYFUNCTION("AND(COUNTIF(AU2:AU29, 1) = 1, 
    COUNTIF(AU2:AU29, 2) = 1, 
    COUNTIF(AU2:AU29, 3) = 1, 
    COUNTIF(AU2:AU29, 4) = 1, 
    COUNTIF(AU2:AU29, 5) = 1, 
    COUNTIF(AU2:AU29, 6) = 1, 
    COUNTIF(AU2:AU29, 7) = 1, 
    COUNTIF(AU2:AU29, 8) = 1, 
    COU"&amp;"NTIF(AU2:AU29, 10) = 1, 
    COUNTIF(AU2:AU29, 12) = 1, 
    COUNTUNIQUE(AU2:AU29) = 10)"),TRUE)</f>
        <v>1</v>
      </c>
      <c r="AV32" s="30" t="b">
        <f>IFERROR(__xludf.DUMMYFUNCTION("AND(COUNTIF(AV2:AV29, 1) = 1, 
    COUNTIF(AV2:AV29, 2) = 1, 
    COUNTIF(AV2:AV29, 3) = 1, 
    COUNTIF(AV2:AV29, 4) = 1, 
    COUNTIF(AV2:AV29, 5) = 1, 
    COUNTIF(AV2:AV29, 6) = 1, 
    COUNTIF(AV2:AV29, 7) = 1, 
    COUNTIF(AV2:AV29, 8) = 1, 
    COU"&amp;"NTIF(AV2:AV29, 10) = 1, 
    COUNTIF(AV2:AV29, 12) = 1, 
    COUNTUNIQUE(AV2:AV29) = 10)"),TRUE)</f>
        <v>1</v>
      </c>
      <c r="AW32" s="30" t="b">
        <f>IFERROR(__xludf.DUMMYFUNCTION("AND(COUNTIF(AW2:AW29, 1) = 1, 
    COUNTIF(AW2:AW29, 2) = 1, 
    COUNTIF(AW2:AW29, 3) = 1, 
    COUNTIF(AW2:AW29, 4) = 1, 
    COUNTIF(AW2:AW29, 5) = 1, 
    COUNTIF(AW2:AW29, 6) = 1, 
    COUNTIF(AW2:AW29, 7) = 1, 
    COUNTIF(AW2:AW29, 8) = 1, 
    COU"&amp;"NTIF(AW2:AW29, 10) = 1, 
    COUNTIF(AW2:AW29, 12) = 1, 
    COUNTUNIQUE(AW2:AW29) = 10)"),TRUE)</f>
        <v>1</v>
      </c>
      <c r="AX32" s="30" t="b">
        <f>IFERROR(__xludf.DUMMYFUNCTION("AND(COUNTIF(AX2:AX29, 1) = 1, 
    COUNTIF(AX2:AX29, 2) = 1, 
    COUNTIF(AX2:AX29, 3) = 1, 
    COUNTIF(AX2:AX29, 4) = 1, 
    COUNTIF(AX2:AX29, 5) = 1, 
    COUNTIF(AX2:AX29, 6) = 1, 
    COUNTIF(AX2:AX29, 7) = 1, 
    COUNTIF(AX2:AX29, 8) = 1, 
    COU"&amp;"NTIF(AX2:AX29, 10) = 1, 
    COUNTIF(AX2:AX29, 12) = 1, 
    COUNTUNIQUE(AX2:AX29) = 10)"),TRUE)</f>
        <v>1</v>
      </c>
      <c r="AY32" s="30" t="b">
        <f>IFERROR(__xludf.DUMMYFUNCTION("AND(COUNTIF(AY2:AY29, 1) = 1, 
    COUNTIF(AY2:AY29, 2) = 1, 
    COUNTIF(AY2:AY29, 3) = 1, 
    COUNTIF(AY2:AY29, 4) = 1, 
    COUNTIF(AY2:AY29, 5) = 1, 
    COUNTIF(AY2:AY29, 6) = 1, 
    COUNTIF(AY2:AY29, 7) = 1, 
    COUNTIF(AY2:AY29, 8) = 1, 
    COU"&amp;"NTIF(AY2:AY29, 10) = 1, 
    COUNTIF(AY2:AY29, 12) = 1, 
    COUNTUNIQUE(AY2:AY29) = 10)"),TRUE)</f>
        <v>1</v>
      </c>
      <c r="AZ32" s="30" t="b">
        <f>IFERROR(__xludf.DUMMYFUNCTION("AND(COUNTIF(AZ2:AZ29, 1) = 1, 
    COUNTIF(AZ2:AZ29, 2) = 1, 
    COUNTIF(AZ2:AZ29, 3) = 1, 
    COUNTIF(AZ2:AZ29, 4) = 1, 
    COUNTIF(AZ2:AZ29, 5) = 1, 
    COUNTIF(AZ2:AZ29, 6) = 1, 
    COUNTIF(AZ2:AZ29, 7) = 1, 
    COUNTIF(AZ2:AZ29, 8) = 1, 
    COU"&amp;"NTIF(AZ2:AZ29, 10) = 1, 
    COUNTIF(AZ2:AZ29, 12) = 1, 
    COUNTUNIQUE(AZ2:AZ29) = 10)"),TRUE)</f>
        <v>1</v>
      </c>
      <c r="BA32" s="30" t="b">
        <f>IFERROR(__xludf.DUMMYFUNCTION("AND(COUNTIF(BA2:BA29, 1) = 1, 
    COUNTIF(BA2:BA29, 2) = 1, 
    COUNTIF(BA2:BA29, 3) = 1, 
    COUNTIF(BA2:BA29, 4) = 1, 
    COUNTIF(BA2:BA29, 5) = 1, 
    COUNTIF(BA2:BA29, 6) = 1, 
    COUNTIF(BA2:BA29, 7) = 1, 
    COUNTIF(BA2:BA29, 8) = 1, 
    COU"&amp;"NTIF(BA2:BA29, 10) = 1, 
    COUNTIF(BA2:BA29, 12) = 1, 
    COUNTUNIQUE(BA2:BA29) = 10)"),TRUE)</f>
        <v>1</v>
      </c>
      <c r="BB32" s="30" t="b">
        <f>IFERROR(__xludf.DUMMYFUNCTION("AND(COUNTIF(BB2:BB29, 1) = 1, 
    COUNTIF(BB2:BB29, 2) = 1, 
    COUNTIF(BB2:BB29, 3) = 1, 
    COUNTIF(BB2:BB29, 4) = 1, 
    COUNTIF(BB2:BB29, 5) = 1, 
    COUNTIF(BB2:BB29, 6) = 1, 
    COUNTIF(BB2:BB29, 7) = 1, 
    COUNTIF(BB2:BB29, 8) = 1, 
    COU"&amp;"NTIF(BB2:BB29, 10) = 1, 
    COUNTIF(BB2:BB29, 12) = 1, 
    COUNTUNIQUE(BB2:BB29) = 10)"),TRUE)</f>
        <v>1</v>
      </c>
      <c r="BC32" s="30" t="b">
        <f>IFERROR(__xludf.DUMMYFUNCTION("AND(COUNTIF(BC2:BC29, 1) = 1, 
    COUNTIF(BC2:BC29, 2) = 1, 
    COUNTIF(BC2:BC29, 3) = 1, 
    COUNTIF(BC2:BC29, 4) = 1, 
    COUNTIF(BC2:BC29, 5) = 1, 
    COUNTIF(BC2:BC29, 6) = 1, 
    COUNTIF(BC2:BC29, 7) = 1, 
    COUNTIF(BC2:BC29, 8) = 1, 
    COU"&amp;"NTIF(BC2:BC29, 10) = 1, 
    COUNTIF(BC2:BC29, 12) = 1, 
    COUNTUNIQUE(BC2:BC29) = 10)"),TRUE)</f>
        <v>1</v>
      </c>
      <c r="BD32" s="30" t="b">
        <f>IFERROR(__xludf.DUMMYFUNCTION("AND(COUNTIF(BD2:BD29, 1) = 1, 
    COUNTIF(BD2:BD29, 2) = 1, 
    COUNTIF(BD2:BD29, 3) = 1, 
    COUNTIF(BD2:BD29, 4) = 1, 
    COUNTIF(BD2:BD29, 5) = 1, 
    COUNTIF(BD2:BD29, 6) = 1, 
    COUNTIF(BD2:BD29, 7) = 1, 
    COUNTIF(BD2:BD29, 8) = 1, 
    COU"&amp;"NTIF(BD2:BD29, 10) = 1, 
    COUNTIF(BD2:BD29, 12) = 1, 
    COUNTUNIQUE(BD2:BD29) = 10)"),TRUE)</f>
        <v>1</v>
      </c>
      <c r="BE32" s="30" t="b">
        <f>IFERROR(__xludf.DUMMYFUNCTION("AND(COUNTIF(BE2:BE29, 1) = 1, 
    COUNTIF(BE2:BE29, 2) = 1, 
    COUNTIF(BE2:BE29, 3) = 1, 
    COUNTIF(BE2:BE29, 4) = 1, 
    COUNTIF(BE2:BE29, 5) = 1, 
    COUNTIF(BE2:BE29, 6) = 1, 
    COUNTIF(BE2:BE29, 7) = 1, 
    COUNTIF(BE2:BE29, 8) = 1, 
    COU"&amp;"NTIF(BE2:BE29, 10) = 1, 
    COUNTIF(BE2:BE29, 12) = 1, 
    COUNTUNIQUE(BE2:BE29) = 10)"),TRUE)</f>
        <v>1</v>
      </c>
      <c r="BF32" s="30" t="b">
        <f>IFERROR(__xludf.DUMMYFUNCTION("AND(COUNTIF(BF2:BF29, 1) = 1, 
    COUNTIF(BF2:BF29, 2) = 1, 
    COUNTIF(BF2:BF29, 3) = 1, 
    COUNTIF(BF2:BF29, 4) = 1, 
    COUNTIF(BF2:BF29, 5) = 1, 
    COUNTIF(BF2:BF29, 6) = 1, 
    COUNTIF(BF2:BF29, 7) = 1, 
    COUNTIF(BF2:BF29, 8) = 1, 
    COU"&amp;"NTIF(BF2:BF29, 10) = 1, 
    COUNTIF(BF2:BF29, 12) = 1, 
    COUNTUNIQUE(BF2:BF29) = 10)"),TRUE)</f>
        <v>1</v>
      </c>
      <c r="BG32" s="30" t="b">
        <f>IFERROR(__xludf.DUMMYFUNCTION("AND(COUNTIF(BG2:BG29, 1) = 1, 
    COUNTIF(BG2:BG29, 2) = 1, 
    COUNTIF(BG2:BG29, 3) = 1, 
    COUNTIF(BG2:BG29, 4) = 1, 
    COUNTIF(BG2:BG29, 5) = 1, 
    COUNTIF(BG2:BG29, 6) = 1, 
    COUNTIF(BG2:BG29, 7) = 1, 
    COUNTIF(BG2:BG29, 8) = 1, 
    COU"&amp;"NTIF(BG2:BG29, 10) = 1, 
    COUNTIF(BG2:BG29, 12) = 1, 
    COUNTUNIQUE(BG2:BG29) = 10)"),TRUE)</f>
        <v>1</v>
      </c>
      <c r="BH32" s="30" t="b">
        <f>IFERROR(__xludf.DUMMYFUNCTION("AND(COUNTIF(BH2:BH29, 1) = 1, 
    COUNTIF(BH2:BH29, 2) = 1, 
    COUNTIF(BH2:BH29, 3) = 1, 
    COUNTIF(BH2:BH29, 4) = 1, 
    COUNTIF(BH2:BH29, 5) = 1, 
    COUNTIF(BH2:BH29, 6) = 1, 
    COUNTIF(BH2:BH29, 7) = 1, 
    COUNTIF(BH2:BH29, 8) = 1, 
    COU"&amp;"NTIF(BH2:BH29, 10) = 1, 
    COUNTIF(BH2:BH29, 12) = 1, 
    COUNTUNIQUE(BH2:BH29) = 10)"),TRUE)</f>
        <v>1</v>
      </c>
      <c r="BI32" s="30" t="b">
        <f>IFERROR(__xludf.DUMMYFUNCTION("AND(COUNTIF(BI2:BI29, 1) = 1, 
    COUNTIF(BI2:BI29, 2) = 1, 
    COUNTIF(BI2:BI29, 3) = 1, 
    COUNTIF(BI2:BI29, 4) = 1, 
    COUNTIF(BI2:BI29, 5) = 1, 
    COUNTIF(BI2:BI29, 6) = 1, 
    COUNTIF(BI2:BI29, 7) = 1, 
    COUNTIF(BI2:BI29, 8) = 1, 
    COU"&amp;"NTIF(BI2:BI29, 10) = 1, 
    COUNTIF(BI2:BI29, 12) = 1, 
    COUNTUNIQUE(BI2:BI29) = 10)"),FALSE)</f>
        <v>0</v>
      </c>
      <c r="BJ32" s="30" t="b">
        <f>IFERROR(__xludf.DUMMYFUNCTION("AND(COUNTIF(BJ2:BJ29, 1) = 1, 
    COUNTIF(BJ2:BJ29, 2) = 1, 
    COUNTIF(BJ2:BJ29, 3) = 1, 
    COUNTIF(BJ2:BJ29, 4) = 1, 
    COUNTIF(BJ2:BJ29, 5) = 1, 
    COUNTIF(BJ2:BJ29, 6) = 1, 
    COUNTIF(BJ2:BJ29, 7) = 1, 
    COUNTIF(BJ2:BJ29, 8) = 1, 
    COU"&amp;"NTIF(BJ2:BJ29, 10) = 1, 
    COUNTIF(BJ2:BJ29, 12) = 1, 
    COUNTUNIQUE(BJ2:BJ29) = 10)"),FALSE)</f>
        <v>0</v>
      </c>
      <c r="BK32" s="30" t="b">
        <f>IFERROR(__xludf.DUMMYFUNCTION("AND(COUNTIF(BK2:BK29, 1) = 1, 
    COUNTIF(BK2:BK29, 2) = 1, 
    COUNTIF(BK2:BK29, 3) = 1, 
    COUNTIF(BK2:BK29, 4) = 1, 
    COUNTIF(BK2:BK29, 5) = 1, 
    COUNTIF(BK2:BK29, 6) = 1, 
    COUNTIF(BK2:BK29, 7) = 1, 
    COUNTIF(BK2:BK29, 8) = 1, 
    COU"&amp;"NTIF(BK2:BK29, 10) = 1, 
    COUNTIF(BK2:BK29, 12) = 1, 
    COUNTUNIQUE(BK2:BK29) = 10)"),FALSE)</f>
        <v>0</v>
      </c>
      <c r="BL32" s="30" t="b">
        <f>IFERROR(__xludf.DUMMYFUNCTION("AND(COUNTIF(BL2:BL29, 1) = 1, 
    COUNTIF(BL2:BL29, 2) = 1, 
    COUNTIF(BL2:BL29, 3) = 1, 
    COUNTIF(BL2:BL29, 4) = 1, 
    COUNTIF(BL2:BL29, 5) = 1, 
    COUNTIF(BL2:BL29, 6) = 1, 
    COUNTIF(BL2:BL29, 7) = 1, 
    COUNTIF(BL2:BL29, 8) = 1, 
    COU"&amp;"NTIF(BL2:BL29, 10) = 1, 
    COUNTIF(BL2:BL29, 12) = 1, 
    COUNTUNIQUE(BL2:BL29) = 10)"),FALSE)</f>
        <v>0</v>
      </c>
      <c r="BM32" s="30" t="b">
        <f>IFERROR(__xludf.DUMMYFUNCTION("AND(COUNTIF(BM2:BM29, 1) = 1, 
    COUNTIF(BM2:BM29, 2) = 1, 
    COUNTIF(BM2:BM29, 3) = 1, 
    COUNTIF(BM2:BM29, 4) = 1, 
    COUNTIF(BM2:BM29, 5) = 1, 
    COUNTIF(BM2:BM29, 6) = 1, 
    COUNTIF(BM2:BM29, 7) = 1, 
    COUNTIF(BM2:BM29, 8) = 1, 
    COU"&amp;"NTIF(BM2:BM29, 10) = 1, 
    COUNTIF(BM2:BM29, 12) = 1, 
    COUNTUNIQUE(BM2:BM29) = 10)"),FALSE)</f>
        <v>0</v>
      </c>
    </row>
    <row r="33">
      <c r="B33" s="85"/>
      <c r="C33" s="29"/>
      <c r="D33" s="29"/>
      <c r="E33" s="85" t="s">
        <v>43</v>
      </c>
      <c r="F33" s="30">
        <f t="shared" ref="F33:BM33" si="38">COUNT(F2:F29)</f>
        <v>10</v>
      </c>
      <c r="G33" s="30">
        <f t="shared" si="38"/>
        <v>10</v>
      </c>
      <c r="H33" s="30">
        <f t="shared" si="38"/>
        <v>10</v>
      </c>
      <c r="I33" s="30">
        <f t="shared" si="38"/>
        <v>10</v>
      </c>
      <c r="J33" s="30">
        <f t="shared" si="38"/>
        <v>10</v>
      </c>
      <c r="K33" s="30">
        <f t="shared" si="38"/>
        <v>10</v>
      </c>
      <c r="L33" s="30">
        <f t="shared" si="38"/>
        <v>10</v>
      </c>
      <c r="M33" s="30">
        <f t="shared" si="38"/>
        <v>10</v>
      </c>
      <c r="N33" s="30">
        <f t="shared" si="38"/>
        <v>10</v>
      </c>
      <c r="O33" s="30">
        <f t="shared" si="38"/>
        <v>10</v>
      </c>
      <c r="P33" s="30">
        <f t="shared" si="38"/>
        <v>10</v>
      </c>
      <c r="Q33" s="30">
        <f t="shared" si="38"/>
        <v>10</v>
      </c>
      <c r="R33" s="30">
        <f t="shared" si="38"/>
        <v>10</v>
      </c>
      <c r="S33" s="30">
        <f t="shared" si="38"/>
        <v>10</v>
      </c>
      <c r="T33" s="30">
        <f t="shared" si="38"/>
        <v>10</v>
      </c>
      <c r="U33" s="30">
        <f t="shared" si="38"/>
        <v>10</v>
      </c>
      <c r="V33" s="30">
        <f t="shared" si="38"/>
        <v>10</v>
      </c>
      <c r="W33" s="30">
        <f t="shared" si="38"/>
        <v>10</v>
      </c>
      <c r="X33" s="30">
        <f t="shared" si="38"/>
        <v>10</v>
      </c>
      <c r="Y33" s="30">
        <f t="shared" si="38"/>
        <v>10</v>
      </c>
      <c r="Z33" s="30">
        <f t="shared" si="38"/>
        <v>10</v>
      </c>
      <c r="AA33" s="30">
        <f t="shared" si="38"/>
        <v>10</v>
      </c>
      <c r="AB33" s="30">
        <f t="shared" si="38"/>
        <v>10</v>
      </c>
      <c r="AC33" s="30">
        <f t="shared" si="38"/>
        <v>10</v>
      </c>
      <c r="AD33" s="30">
        <f t="shared" si="38"/>
        <v>10</v>
      </c>
      <c r="AE33" s="30">
        <f t="shared" si="38"/>
        <v>10</v>
      </c>
      <c r="AF33" s="30">
        <f t="shared" si="38"/>
        <v>10</v>
      </c>
      <c r="AG33" s="30">
        <f t="shared" si="38"/>
        <v>10</v>
      </c>
      <c r="AH33" s="30">
        <f t="shared" si="38"/>
        <v>10</v>
      </c>
      <c r="AI33" s="30">
        <f t="shared" si="38"/>
        <v>10</v>
      </c>
      <c r="AJ33" s="30">
        <f t="shared" si="38"/>
        <v>10</v>
      </c>
      <c r="AK33" s="30">
        <f t="shared" si="38"/>
        <v>10</v>
      </c>
      <c r="AL33" s="30">
        <f t="shared" si="38"/>
        <v>10</v>
      </c>
      <c r="AM33" s="30">
        <f t="shared" si="38"/>
        <v>10</v>
      </c>
      <c r="AN33" s="30">
        <f t="shared" si="38"/>
        <v>10</v>
      </c>
      <c r="AO33" s="30">
        <f t="shared" si="38"/>
        <v>10</v>
      </c>
      <c r="AP33" s="30">
        <f t="shared" si="38"/>
        <v>10</v>
      </c>
      <c r="AQ33" s="30">
        <f t="shared" si="38"/>
        <v>10</v>
      </c>
      <c r="AR33" s="30">
        <f t="shared" si="38"/>
        <v>10</v>
      </c>
      <c r="AS33" s="30">
        <f t="shared" si="38"/>
        <v>10</v>
      </c>
      <c r="AT33" s="30">
        <f t="shared" si="38"/>
        <v>10</v>
      </c>
      <c r="AU33" s="30">
        <f t="shared" si="38"/>
        <v>10</v>
      </c>
      <c r="AV33" s="30">
        <f t="shared" si="38"/>
        <v>10</v>
      </c>
      <c r="AW33" s="30">
        <f t="shared" si="38"/>
        <v>10</v>
      </c>
      <c r="AX33" s="30">
        <f t="shared" si="38"/>
        <v>10</v>
      </c>
      <c r="AY33" s="30">
        <f t="shared" si="38"/>
        <v>10</v>
      </c>
      <c r="AZ33" s="30">
        <f t="shared" si="38"/>
        <v>10</v>
      </c>
      <c r="BA33" s="30">
        <f t="shared" si="38"/>
        <v>10</v>
      </c>
      <c r="BB33" s="30">
        <f t="shared" si="38"/>
        <v>10</v>
      </c>
      <c r="BC33" s="30">
        <f t="shared" si="38"/>
        <v>10</v>
      </c>
      <c r="BD33" s="30">
        <f t="shared" si="38"/>
        <v>10</v>
      </c>
      <c r="BE33" s="30">
        <f t="shared" si="38"/>
        <v>10</v>
      </c>
      <c r="BF33" s="30">
        <f t="shared" si="38"/>
        <v>10</v>
      </c>
      <c r="BG33" s="30">
        <f t="shared" si="38"/>
        <v>10</v>
      </c>
      <c r="BH33" s="30">
        <f t="shared" si="38"/>
        <v>10</v>
      </c>
      <c r="BI33" s="30">
        <f t="shared" si="38"/>
        <v>0</v>
      </c>
      <c r="BJ33" s="30">
        <f t="shared" si="38"/>
        <v>0</v>
      </c>
      <c r="BK33" s="30">
        <f t="shared" si="38"/>
        <v>0</v>
      </c>
      <c r="BL33" s="30">
        <f t="shared" si="38"/>
        <v>0</v>
      </c>
      <c r="BM33" s="30">
        <f t="shared" si="38"/>
        <v>0</v>
      </c>
    </row>
    <row r="34">
      <c r="B34" s="84"/>
      <c r="E34" s="84"/>
    </row>
    <row r="35">
      <c r="B35" s="84"/>
      <c r="E35" s="84"/>
    </row>
    <row r="36">
      <c r="B36" s="84"/>
      <c r="E36" s="84"/>
    </row>
    <row r="37" hidden="1">
      <c r="B37" s="84"/>
      <c r="E37" s="84"/>
    </row>
    <row r="38" hidden="1">
      <c r="B38" s="84"/>
      <c r="E38" s="84"/>
      <c r="F38" s="29" t="s">
        <v>118</v>
      </c>
      <c r="G38" s="29" t="s">
        <v>118</v>
      </c>
      <c r="H38" s="29" t="s">
        <v>118</v>
      </c>
      <c r="I38" s="29" t="s">
        <v>118</v>
      </c>
      <c r="J38" s="29" t="s">
        <v>118</v>
      </c>
      <c r="K38" s="29" t="s">
        <v>118</v>
      </c>
      <c r="L38" s="29" t="s">
        <v>118</v>
      </c>
      <c r="M38" s="29" t="s">
        <v>118</v>
      </c>
      <c r="N38" s="29" t="s">
        <v>118</v>
      </c>
      <c r="O38" s="29" t="s">
        <v>118</v>
      </c>
      <c r="P38" s="29" t="s">
        <v>118</v>
      </c>
      <c r="Q38" s="29" t="s">
        <v>118</v>
      </c>
      <c r="R38" s="29" t="s">
        <v>118</v>
      </c>
      <c r="S38" s="29" t="s">
        <v>118</v>
      </c>
      <c r="T38" s="29" t="s">
        <v>118</v>
      </c>
      <c r="U38" s="29" t="s">
        <v>118</v>
      </c>
      <c r="V38" s="29" t="s">
        <v>118</v>
      </c>
      <c r="W38" s="29" t="s">
        <v>118</v>
      </c>
      <c r="X38" s="29" t="s">
        <v>118</v>
      </c>
      <c r="Y38" s="29" t="s">
        <v>118</v>
      </c>
      <c r="Z38" s="29" t="s">
        <v>118</v>
      </c>
      <c r="AA38" s="29" t="s">
        <v>118</v>
      </c>
      <c r="AB38" s="29" t="s">
        <v>118</v>
      </c>
      <c r="AC38" s="29" t="s">
        <v>118</v>
      </c>
      <c r="AD38" s="29" t="s">
        <v>118</v>
      </c>
      <c r="AE38" s="29" t="s">
        <v>118</v>
      </c>
      <c r="AF38" s="29" t="s">
        <v>118</v>
      </c>
      <c r="AG38" s="29" t="s">
        <v>118</v>
      </c>
      <c r="AH38" s="29" t="s">
        <v>118</v>
      </c>
      <c r="AI38" s="29" t="s">
        <v>118</v>
      </c>
      <c r="AJ38" s="29" t="s">
        <v>118</v>
      </c>
      <c r="AK38" s="29" t="s">
        <v>118</v>
      </c>
      <c r="AL38" s="29" t="s">
        <v>118</v>
      </c>
      <c r="AM38" s="29" t="s">
        <v>118</v>
      </c>
      <c r="AN38" s="29" t="s">
        <v>118</v>
      </c>
      <c r="AO38" s="29" t="s">
        <v>118</v>
      </c>
      <c r="AP38" s="29" t="s">
        <v>118</v>
      </c>
      <c r="AQ38" s="29" t="s">
        <v>118</v>
      </c>
      <c r="AR38" s="29" t="s">
        <v>118</v>
      </c>
      <c r="AS38" s="29" t="s">
        <v>118</v>
      </c>
      <c r="AT38" s="29" t="s">
        <v>118</v>
      </c>
      <c r="AU38" s="29" t="s">
        <v>118</v>
      </c>
      <c r="AV38" s="29" t="s">
        <v>118</v>
      </c>
      <c r="AW38" s="29" t="s">
        <v>118</v>
      </c>
      <c r="AX38" s="29" t="s">
        <v>118</v>
      </c>
      <c r="AY38" s="29" t="s">
        <v>118</v>
      </c>
      <c r="AZ38" s="29" t="s">
        <v>118</v>
      </c>
      <c r="BA38" s="29" t="s">
        <v>118</v>
      </c>
      <c r="BB38" s="29" t="s">
        <v>118</v>
      </c>
      <c r="BC38" s="29" t="s">
        <v>118</v>
      </c>
      <c r="BD38" s="29" t="s">
        <v>118</v>
      </c>
      <c r="BE38" s="29" t="s">
        <v>118</v>
      </c>
      <c r="BF38" s="29" t="s">
        <v>118</v>
      </c>
      <c r="BG38" s="29" t="s">
        <v>118</v>
      </c>
      <c r="BH38" s="29" t="s">
        <v>118</v>
      </c>
      <c r="BI38" s="29" t="s">
        <v>118</v>
      </c>
      <c r="BJ38" s="29" t="s">
        <v>118</v>
      </c>
      <c r="BK38" s="29" t="s">
        <v>118</v>
      </c>
      <c r="BL38" s="29" t="s">
        <v>118</v>
      </c>
    </row>
    <row r="39" hidden="1">
      <c r="B39" s="84"/>
      <c r="E39" s="84"/>
    </row>
    <row r="40" hidden="1">
      <c r="B40" s="84"/>
      <c r="E40" s="84"/>
      <c r="F40" s="30" t="str">
        <f>IFERROR(__xludf.DUMMYFUNCTION("TEXTJOIN(CHAR(10), TRUE,
  ARRAYFORMULA(
    SORT(
      FILTER(F1:F29 &amp; "" "" &amp; $E1:$E29, F1:F29 &lt;&gt; """"),
      FILTER(VALUE(F1:F29), F1:F29 &lt;&gt; """"),
      FALSE
    )
  )
)
"),"Waiting Iist of Shelley &amp; Nici s votes have been counted as follows:
12 Reym-L-Dneurb
10 Ugaly
8 Tamausia &amp; Deltannor
7 Rehi Kaita
6 Emsfrynt
5 Papendink
4 Tanoiro
3 Öösingimäed
2 Dalisska
1 Szimbaya Kingdom")</f>
        <v>Waiting Iist of Shelley &amp; Nici s votes have been counted as follows:
12 Reym-L-Dneurb
10 Ugaly
8 Tamausia &amp; Deltannor
7 Rehi Kaita
6 Emsfrynt
5 Papendink
4 Tanoiro
3 Öösingimäed
2 Dalisska
1 Szimbaya Kingdom</v>
      </c>
      <c r="G40" s="30" t="str">
        <f>IFERROR(__xludf.DUMMYFUNCTION("TEXTJOIN(CHAR(10), TRUE,
  ARRAYFORMULA(
    SORT(
      FILTER(G1:G29 &amp; "" "" &amp; $E1:$E29, G1:G29 &lt;&gt; """"),
      FILTER(VALUE(G1:G29), G1:G29 &lt;&gt; """"),
      FALSE
    )
  )
)
"),"Dež Republic s votes have been counted as follows:
12 Kordavian Islands
10 Waiting Iist of Shelley &amp; Nici
8 Rumia
7 Comino
6 Roxma Nova
5 Tanoiro
4 Tamausia &amp; Deltannor
3 Rehi Kaita
2 Insomnéa
1 Dalisska")</f>
        <v>Dež Republic s votes have been counted as follows:
12 Kordavian Islands
10 Waiting Iist of Shelley &amp; Nici
8 Rumia
7 Comino
6 Roxma Nova
5 Tanoiro
4 Tamausia &amp; Deltannor
3 Rehi Kaita
2 Insomnéa
1 Dalisska</v>
      </c>
      <c r="H40" s="30" t="str">
        <f>IFERROR(__xludf.DUMMYFUNCTION("TEXTJOIN(CHAR(10), TRUE,
  ARRAYFORMULA(
    SORT(
      FILTER(H1:H29 &amp; "" "" &amp; $E1:$E29, H1:H29 &lt;&gt; """"),
      FILTER(VALUE(H1:H29), H1:H29 &lt;&gt; """"),
      FALSE
    )
  )
)
"),"Balearica Island s votes have been counted as follows:
12 Tanoiro
10 Waiting Iist of Shelley &amp; Nici
8 Rehi Kaita
7 Tamausia &amp; Deltannor
6 Reym-L-Dneurb
5 Ugaly
4 Insomnéa
3 Xochimilia
2 Papendink
1 Öösingimäed")</f>
        <v>Balearica Island s votes have been counted as follows:
12 Tanoiro
10 Waiting Iist of Shelley &amp; Nici
8 Rehi Kaita
7 Tamausia &amp; Deltannor
6 Reym-L-Dneurb
5 Ugaly
4 Insomnéa
3 Xochimilia
2 Papendink
1 Öösingimäed</v>
      </c>
      <c r="I40" s="30" t="str">
        <f>IFERROR(__xludf.DUMMYFUNCTION("TEXTJOIN(CHAR(10), TRUE,
  ARRAYFORMULA(
    SORT(
      FILTER(I1:I29 &amp; "" "" &amp; $E1:$E29, I1:I29 &lt;&gt; """"),
      FILTER(VALUE(I1:I29), I1:I29 &lt;&gt; """"),
      FALSE
    )
  )
)
"),"Roseland s votes have been counted as follows:
12 Szimbaya Kingdom
10 Papendink
8 Tanoiro
7 Ugaly
6 Tamausia &amp; Deltannor
5 Dež Republic
4 Rumia
3 Kordavian Islands
2 Dalisska
1 New Bander State")</f>
        <v>Roseland s votes have been counted as follows:
12 Szimbaya Kingdom
10 Papendink
8 Tanoiro
7 Ugaly
6 Tamausia &amp; Deltannor
5 Dež Republic
4 Rumia
3 Kordavian Islands
2 Dalisska
1 New Bander State</v>
      </c>
      <c r="J40" s="30" t="str">
        <f>IFERROR(__xludf.DUMMYFUNCTION("TEXTJOIN(CHAR(10), TRUE,
  ARRAYFORMULA(
    SORT(
      FILTER(J1:J29 &amp; "" "" &amp; $E1:$E29, J1:J29 &lt;&gt; """"),
      FILTER(VALUE(J1:J29), J1:J29 &lt;&gt; """"),
      FALSE
    )
  )
)
"),"Szimbaya Kingdom s votes have been counted as follows:
12 Rumia
10 Insomnéa
8 Kordavian Islands
7 Tamausia &amp; Deltannor
6 Tanoiro
5 Reym-L-Dneurb
4 Ugaly
3 Comino
2 Roxma Nova
1 Waiting Iist of Shelley &amp; Nici")</f>
        <v>Szimbaya Kingdom s votes have been counted as follows:
12 Rumia
10 Insomnéa
8 Kordavian Islands
7 Tamausia &amp; Deltannor
6 Tanoiro
5 Reym-L-Dneurb
4 Ugaly
3 Comino
2 Roxma Nova
1 Waiting Iist of Shelley &amp; Nici</v>
      </c>
      <c r="K40" s="30" t="str">
        <f>IFERROR(__xludf.DUMMYFUNCTION("TEXTJOIN(CHAR(10), TRUE,
  ARRAYFORMULA(
    SORT(
      FILTER(K1:K29 &amp; "" "" &amp; $E1:$E29, K1:K29 &lt;&gt; """"),
      FILTER(VALUE(K1:K29), K1:K29 &lt;&gt; """"),
      FALSE
    )
  )
)
"),"Svobodnia s votes have been counted as follows:
12 Rehi Kaita
10 Ugaly
8 Tanoiro
7 Dalisska
6 New Bander State
5 Szimbaya Kingdom
4 Öösingimäed
3 Reym-L-Dneurb
2 Kimmystan
1 Comino")</f>
        <v>Svobodnia s votes have been counted as follows:
12 Rehi Kaita
10 Ugaly
8 Tanoiro
7 Dalisska
6 New Bander State
5 Szimbaya Kingdom
4 Öösingimäed
3 Reym-L-Dneurb
2 Kimmystan
1 Comino</v>
      </c>
      <c r="L40" s="30" t="str">
        <f>IFERROR(__xludf.DUMMYFUNCTION("TEXTJOIN(CHAR(10), TRUE,
  ARRAYFORMULA(
    SORT(
      FILTER(L1:L29 &amp; "" "" &amp; $E1:$E29, L1:L29 &lt;&gt; """"),
      FILTER(VALUE(L1:L29), L1:L29 &lt;&gt; """"),
      FALSE
    )
  )
)
"),"Meridia s votes have been counted as follows:
12 Ugaly
10 Comino
8 Szimbaya Kingdom
7 Rumia
6 Vylkuzeme
5 New Bander State
4 Dež Republic
3 Emsfrynt
2 Kordavian Islands
1 Öösingimäed")</f>
        <v>Meridia s votes have been counted as follows:
12 Ugaly
10 Comino
8 Szimbaya Kingdom
7 Rumia
6 Vylkuzeme
5 New Bander State
4 Dež Republic
3 Emsfrynt
2 Kordavian Islands
1 Öösingimäed</v>
      </c>
      <c r="M40" s="30" t="str">
        <f>IFERROR(__xludf.DUMMYFUNCTION("TEXTJOIN(CHAR(10), TRUE,
  ARRAYFORMULA(
    SORT(
      FILTER(M1:M29 &amp; "" "" &amp; $E1:$E29, M1:M29 &lt;&gt; """"),
      FILTER(VALUE(M1:M29), M1:M29 &lt;&gt; """"),
      FALSE
    )
  )
)
"),"Adamsburg s votes have been counted as follows:
12 Reym-L-Dneurb
10 Fierraria
8 Rehi Kaita
7 Dež Republic
6 Ugaly
5 Xochimilia
4 New Bander State
3 Tamausia &amp; Deltannor
2 Comino
1 Kimmystan")</f>
        <v>Adamsburg s votes have been counted as follows:
12 Reym-L-Dneurb
10 Fierraria
8 Rehi Kaita
7 Dež Republic
6 Ugaly
5 Xochimilia
4 New Bander State
3 Tamausia &amp; Deltannor
2 Comino
1 Kimmystan</v>
      </c>
      <c r="N40" s="30" t="str">
        <f>IFERROR(__xludf.DUMMYFUNCTION("TEXTJOIN(CHAR(10), TRUE,
  ARRAYFORMULA(
    SORT(
      FILTER(N1:N29 &amp; "" "" &amp; $E1:$E29, N1:N29 &lt;&gt; """"),
      FILTER(VALUE(N1:N29), N1:N29 &lt;&gt; """"),
      FALSE
    )
  )
)
"),"Öösingimäed s votes have been counted as follows:
12 Reym-L-Dneurb
10 Tamausia &amp; Deltannor
8 Szimbaya Kingdom
7 Tanoiro
6 New Acadia
5 Xochimilia
4 Fierraria
3 Rehi Kaita
2 Kimmystan
1 Roxma Nova")</f>
        <v>Öösingimäed s votes have been counted as follows:
12 Reym-L-Dneurb
10 Tamausia &amp; Deltannor
8 Szimbaya Kingdom
7 Tanoiro
6 New Acadia
5 Xochimilia
4 Fierraria
3 Rehi Kaita
2 Kimmystan
1 Roxma Nova</v>
      </c>
      <c r="O40" s="30" t="str">
        <f>IFERROR(__xludf.DUMMYFUNCTION("TEXTJOIN(CHAR(10), TRUE,
  ARRAYFORMULA(
    SORT(
      FILTER(O1:O29 &amp; "" "" &amp; $E1:$E29, O1:O29 &lt;&gt; """"),
      FILTER(VALUE(O1:O29), O1:O29 &lt;&gt; """"),
      FALSE
    )
  )
)
"),"Trollheimr s votes have been counted as follows:
12 Rumia
10 Vylkuzeme
8 Waiting Iist of Shelley &amp; Nici
7 Kordavian Islands
6 Aimūlli
5 New Acadia
4 Insomnéa
3 Södermalm
2 Grand Duchy of Strenci
1 Roxma Nova")</f>
        <v>Trollheimr s votes have been counted as follows:
12 Rumia
10 Vylkuzeme
8 Waiting Iist of Shelley &amp; Nici
7 Kordavian Islands
6 Aimūlli
5 New Acadia
4 Insomnéa
3 Södermalm
2 Grand Duchy of Strenci
1 Roxma Nova</v>
      </c>
      <c r="P40" s="30" t="str">
        <f>IFERROR(__xludf.DUMMYFUNCTION("TEXTJOIN(CHAR(10), TRUE,
  ARRAYFORMULA(
    SORT(
      FILTER(P1:P29 &amp; "" "" &amp; $E1:$E29, P1:P29 &lt;&gt; """"),
      FILTER(VALUE(P1:P29), P1:P29 &lt;&gt; """"),
      FALSE
    )
  )
)
"),"Halito s votes have been counted as follows:
12 Dalisska
10 Ugaly
8 Roxma Nova
7 Szimbaya Kingdom
6 Reym-L-Dneurb
5 Fierraria
4 Rehi Kaita
3 Grand Duchy of Strenci
2 New Bander State
1 Tamausia &amp; Deltannor")</f>
        <v>Halito s votes have been counted as follows:
12 Dalisska
10 Ugaly
8 Roxma Nova
7 Szimbaya Kingdom
6 Reym-L-Dneurb
5 Fierraria
4 Rehi Kaita
3 Grand Duchy of Strenci
2 New Bander State
1 Tamausia &amp; Deltannor</v>
      </c>
      <c r="Q40" s="30" t="str">
        <f>IFERROR(__xludf.DUMMYFUNCTION("TEXTJOIN(CHAR(10), TRUE,
  ARRAYFORMULA(
    SORT(
      FILTER(Q1:Q29 &amp; "" "" &amp; $E1:$E29, Q1:Q29 &lt;&gt; """"),
      FILTER(VALUE(Q1:Q29), Q1:Q29 &lt;&gt; """"),
      FALSE
    )
  )
)
"),"Comino s votes have been counted as follows:
12 Insomnéa
10 Szimbaya Kingdom
8 Fierraria
7 Xochimilia
6 New Bander State
5 Kimmystan
4 Dalisska
3 Tanoiro
2 Grand Duchy of Strenci
1 Ugaly")</f>
        <v>Comino s votes have been counted as follows:
12 Insomnéa
10 Szimbaya Kingdom
8 Fierraria
7 Xochimilia
6 New Bander State
5 Kimmystan
4 Dalisska
3 Tanoiro
2 Grand Duchy of Strenci
1 Ugaly</v>
      </c>
      <c r="R40" s="30" t="str">
        <f>IFERROR(__xludf.DUMMYFUNCTION("TEXTJOIN(CHAR(10), TRUE,
  ARRAYFORMULA(
    SORT(
      FILTER(R1:R29 &amp; "" "" &amp; $E1:$E29, R1:R29 &lt;&gt; """"),
      FILTER(VALUE(R1:R29), R1:R29 &lt;&gt; """"),
      FALSE
    )
  )
)
"),"Redwood Republic s votes have been counted as follows:
12 Kordavian Islands
10 Rumia
8 New Acadia
7 Dež Republic
6 Vylkuzeme
5 Emsfrynt
4 Waiting Iist of Shelley &amp; Nici
3 Aimūlli
2 Ugaly
1 Reym-L-Dneurb")</f>
        <v>Redwood Republic s votes have been counted as follows:
12 Kordavian Islands
10 Rumia
8 New Acadia
7 Dež Republic
6 Vylkuzeme
5 Emsfrynt
4 Waiting Iist of Shelley &amp; Nici
3 Aimūlli
2 Ugaly
1 Reym-L-Dneurb</v>
      </c>
      <c r="S40" s="30" t="str">
        <f>IFERROR(__xludf.DUMMYFUNCTION("TEXTJOIN(CHAR(10), TRUE,
  ARRAYFORMULA(
    SORT(
      FILTER(S1:S29 &amp; "" "" &amp; $E1:$E29, S1:S29 &lt;&gt; """"),
      FILTER(VALUE(S1:S29), S1:S29 &lt;&gt; """"),
      FALSE
    )
  )
)
"),"Tír an Abhainn s votes have been counted as follows:
12 Emsfrynt
10 Södermalm
8 Aimūlli
7 Öösingimäed
6 Tanoiro
5 Fierraria
4 Reym-L-Dneurb
3 New Acadia
2 Ugaly
1 Rumia")</f>
        <v>Tír an Abhainn s votes have been counted as follows:
12 Emsfrynt
10 Södermalm
8 Aimūlli
7 Öösingimäed
6 Tanoiro
5 Fierraria
4 Reym-L-Dneurb
3 New Acadia
2 Ugaly
1 Rumia</v>
      </c>
      <c r="T40" s="30" t="str">
        <f>IFERROR(__xludf.DUMMYFUNCTION("TEXTJOIN(CHAR(10), TRUE,
  ARRAYFORMULA(
    SORT(
      FILTER(T1:T29 &amp; "" "" &amp; $E1:$E29, T1:T29 &lt;&gt; """"),
      FILTER(VALUE(T1:T29), T1:T29 &lt;&gt; """"),
      FALSE
    )
  )
)
"),"Dalisska s votes have been counted as follows:
12 Aimūlli
10 Papendink
8 Kimmystan
7 Insomnéa
6 Tanoiro
5 Roxma Nova
4 Tamausia &amp; Deltannor
3 Öösingimäed
2 Orsa
1 Comino")</f>
        <v>Dalisska s votes have been counted as follows:
12 Aimūlli
10 Papendink
8 Kimmystan
7 Insomnéa
6 Tanoiro
5 Roxma Nova
4 Tamausia &amp; Deltannor
3 Öösingimäed
2 Orsa
1 Comino</v>
      </c>
      <c r="U40" s="30" t="str">
        <f>IFERROR(__xludf.DUMMYFUNCTION("TEXTJOIN(CHAR(10), TRUE,
  ARRAYFORMULA(
    SORT(
      FILTER(U1:U29 &amp; "" "" &amp; $E1:$E29, U1:U29 &lt;&gt; """"),
      FILTER(VALUE(U1:U29), U1:U29 &lt;&gt; """"),
      FALSE
    )
  )
)
"),"Kamandé s votes have been counted as follows:
12 Waiting Iist of Shelley &amp; Nici
10 Rumia
8 Insomnéa
7 Aimūlli
6 New Acadia
5 Papendink
4 Kordavian Islands
3 Fierraria
2 Reym-L-Dneurb
1 Emsfrynt")</f>
        <v>Kamandé s votes have been counted as follows:
12 Waiting Iist of Shelley &amp; Nici
10 Rumia
8 Insomnéa
7 Aimūlli
6 New Acadia
5 Papendink
4 Kordavian Islands
3 Fierraria
2 Reym-L-Dneurb
1 Emsfrynt</v>
      </c>
      <c r="V40" s="30" t="str">
        <f>IFERROR(__xludf.DUMMYFUNCTION("TEXTJOIN(CHAR(10), TRUE,
  ARRAYFORMULA(
    SORT(
      FILTER(V1:V29 &amp; "" "" &amp; $E1:$E29, V1:V29 &lt;&gt; """"),
      FILTER(VALUE(V1:V29), V1:V29 &lt;&gt; """"),
      FALSE
    )
  )
)
"),"Griffin Empire s votes have been counted as follows:
12 Ugaly
10 Xochimilia
8 Insomnéa
7 Emsfrynt
6 Szimbaya Kingdom
5 Öösingimäed
4 Rehi Kaita
3 Dalisska
2 Orsa
1 Tamausia &amp; Deltannor")</f>
        <v>Griffin Empire s votes have been counted as follows:
12 Ugaly
10 Xochimilia
8 Insomnéa
7 Emsfrynt
6 Szimbaya Kingdom
5 Öösingimäed
4 Rehi Kaita
3 Dalisska
2 Orsa
1 Tamausia &amp; Deltannor</v>
      </c>
      <c r="W40" s="30" t="str">
        <f>IFERROR(__xludf.DUMMYFUNCTION("TEXTJOIN(CHAR(10), TRUE,
  ARRAYFORMULA(
    SORT(
      FILTER(W1:W29 &amp; "" "" &amp; $E1:$E29, W1:W29 &lt;&gt; """"),
      FILTER(VALUE(W1:W29), W1:W29 &lt;&gt; """"),
      FALSE
    )
  )
)
"),"Fierraria s votes have been counted as follows:
12 Szimbaya Kingdom
10 Rumia
8 Öösingimäed
7 Kimmystan
6 Rehi Kaita
5 Roxma Nova
4 Tanoiro
3 Papendink
2 Aimūlli
1 Tamausia &amp; Deltannor")</f>
        <v>Fierraria s votes have been counted as follows:
12 Szimbaya Kingdom
10 Rumia
8 Öösingimäed
7 Kimmystan
6 Rehi Kaita
5 Roxma Nova
4 Tanoiro
3 Papendink
2 Aimūlli
1 Tamausia &amp; Deltannor</v>
      </c>
      <c r="X40" s="30" t="str">
        <f>IFERROR(__xludf.DUMMYFUNCTION("TEXTJOIN(CHAR(10), TRUE,
  ARRAYFORMULA(
    SORT(
      FILTER(X1:X29 &amp; "" "" &amp; $E1:$E29, X1:X29 &lt;&gt; """"),
      FILTER(VALUE(X1:X29), X1:X29 &lt;&gt; """"),
      FALSE
    )
  )
)
"),"New Acadia s votes have been counted as follows:
12 Rumia
10 New Bander State
8 Tamausia &amp; Deltannor
7 Fierraria
6 Comino
5 Ugaly
4 Södermalm
3 Tanoiro
2 Szimbaya Kingdom
1 Kordavian Islands")</f>
        <v>New Acadia s votes have been counted as follows:
12 Rumia
10 New Bander State
8 Tamausia &amp; Deltannor
7 Fierraria
6 Comino
5 Ugaly
4 Södermalm
3 Tanoiro
2 Szimbaya Kingdom
1 Kordavian Islands</v>
      </c>
      <c r="Y40" s="30" t="str">
        <f>IFERROR(__xludf.DUMMYFUNCTION("TEXTJOIN(CHAR(10), TRUE,
  ARRAYFORMULA(
    SORT(
      FILTER(Y1:Y29 &amp; "" "" &amp; $E1:$E29, Y1:Y29 &lt;&gt; """"),
      FILTER(VALUE(Y1:Y29), Y1:Y29 &lt;&gt; """"),
      FALSE
    )
  )
)
"),"Emsfrynt s votes have been counted as follows:
12 Reym-L-Dneurb
10 Ugaly
8 Grand Duchy of Strenci
7 Tanoiro
6 Dež Republic
5 Szimbaya Kingdom
4 Comino
3 Södermalm
2 Tamausia &amp; Deltannor
1 Roxma Nova")</f>
        <v>Emsfrynt s votes have been counted as follows:
12 Reym-L-Dneurb
10 Ugaly
8 Grand Duchy of Strenci
7 Tanoiro
6 Dež Republic
5 Szimbaya Kingdom
4 Comino
3 Södermalm
2 Tamausia &amp; Deltannor
1 Roxma Nova</v>
      </c>
      <c r="Z40" s="30" t="str">
        <f>IFERROR(__xludf.DUMMYFUNCTION("TEXTJOIN(CHAR(10), TRUE,
  ARRAYFORMULA(
    SORT(
      FILTER(Z1:Z29 &amp; "" "" &amp; $E1:$E29, Z1:Z29 &lt;&gt; """"),
      FILTER(VALUE(Z1:Z29), Z1:Z29 &lt;&gt; """"),
      FALSE
    )
  )
)
"),"Sodermalm s votes have been counted as follows:
12 Insomnéa
10 Xochimilia
8 Roxma Nova
7 Orsa
6 Dalisska
5 Dež Republic
4 New Bander State
3 Comino
2 Waiting Iist of Shelley &amp; Nici
1 Ugaly")</f>
        <v>Sodermalm s votes have been counted as follows:
12 Insomnéa
10 Xochimilia
8 Roxma Nova
7 Orsa
6 Dalisska
5 Dež Republic
4 New Bander State
3 Comino
2 Waiting Iist of Shelley &amp; Nici
1 Ugaly</v>
      </c>
      <c r="AA40" s="30" t="str">
        <f>IFERROR(__xludf.DUMMYFUNCTION("TEXTJOIN(CHAR(10), TRUE,
  ARRAYFORMULA(
    SORT(
      FILTER(AA1:AA29 &amp; "" "" &amp; $E1:$E29, AA1:AA29 &lt;&gt; """"),
      FILTER(VALUE(AA1:AA29), AA1:AA29 &lt;&gt; """"),
      FALSE
    )
  )
)
"),"Dwyforland s votes have been counted as follows:
12 Szimbaya Kingdom
10 Ugaly
8 Vylkuzeme
7 Dež Republic
6 Rumia
5 Comino
4 New Bander State
3 Tanoiro
2 Grand Duchy of Strenci
1 Insomnéa")</f>
        <v>Dwyforland s votes have been counted as follows:
12 Szimbaya Kingdom
10 Ugaly
8 Vylkuzeme
7 Dež Republic
6 Rumia
5 Comino
4 New Bander State
3 Tanoiro
2 Grand Duchy of Strenci
1 Insomnéa</v>
      </c>
      <c r="AB40" s="30" t="str">
        <f>IFERROR(__xludf.DUMMYFUNCTION("TEXTJOIN(CHAR(10), TRUE,
  ARRAYFORMULA(
    SORT(
      FILTER(AB1:AB29 &amp; "" "" &amp; $E1:$E29, AB1:AB29 &lt;&gt; """"),
      FILTER(VALUE(AB1:AB29), AB1:AB29 &lt;&gt; """"),
      FALSE
    )
  )
)
"),"Marcobia s votes have been counted as follows:
12 Rumia
10 Insomnéa
8 Grand Duchy of Strenci
7 Södermalm
6 Roxma Nova
5 Kimmystan
4 Kordavian Islands
3 Waiting Iist of Shelley &amp; Nici
2 Dež Republic
1 Dalisska")</f>
        <v>Marcobia s votes have been counted as follows:
12 Rumia
10 Insomnéa
8 Grand Duchy of Strenci
7 Södermalm
6 Roxma Nova
5 Kimmystan
4 Kordavian Islands
3 Waiting Iist of Shelley &amp; Nici
2 Dež Republic
1 Dalisska</v>
      </c>
      <c r="AC40" s="30" t="str">
        <f>IFERROR(__xludf.DUMMYFUNCTION("TEXTJOIN(CHAR(10), TRUE,
  ARRAYFORMULA(
    SORT(
      FILTER(AC1:AC29 &amp; "" "" &amp; $E1:$E29, AC1:AC29 &lt;&gt; """"),
      FILTER(VALUE(AC1:AC29), AC1:AC29 &lt;&gt; """"),
      FALSE
    )
  )
)
"),"Rumia s votes have been counted as follows:
12 Aimūlli
10 Papendink
8 Vylkuzeme
7 Kordavian Islands
6 Waiting Iist of Shelley &amp; Nici
5 New Acadia
4 Södermalm
3 Tcher-Racoi
2 Orsa
1 Tanoiro")</f>
        <v>Rumia s votes have been counted as follows:
12 Aimūlli
10 Papendink
8 Vylkuzeme
7 Kordavian Islands
6 Waiting Iist of Shelley &amp; Nici
5 New Acadia
4 Södermalm
3 Tcher-Racoi
2 Orsa
1 Tanoiro</v>
      </c>
      <c r="AD40" s="30" t="str">
        <f>IFERROR(__xludf.DUMMYFUNCTION("TEXTJOIN(CHAR(10), TRUE,
  ARRAYFORMULA(
    SORT(
      FILTER(AD1:AD29 &amp; "" "" &amp; $E1:$E29, AD1:AD29 &lt;&gt; """"),
      FILTER(VALUE(AD1:AD29), AD1:AD29 &lt;&gt; """"),
      FALSE
    )
  )
)
"),"Vylkuzeme s votes have been counted as follows:
12 Rumia
10 Kordavian Islands
8 Waiting Iist of Shelley &amp; Nici
7 Aimūlli
6 New Acadia
5 Södermalm
4 Papendink
3 Insomnéa
2 Dalisska
1 Grand Duchy of Strenci")</f>
        <v>Vylkuzeme s votes have been counted as follows:
12 Rumia
10 Kordavian Islands
8 Waiting Iist of Shelley &amp; Nici
7 Aimūlli
6 New Acadia
5 Södermalm
4 Papendink
3 Insomnéa
2 Dalisska
1 Grand Duchy of Strenci</v>
      </c>
      <c r="AE40" s="30" t="str">
        <f>IFERROR(__xludf.DUMMYFUNCTION("TEXTJOIN(CHAR(10), TRUE,
  ARRAYFORMULA(
    SORT(
      FILTER(AE1:AE29 &amp; "" "" &amp; $E1:$E29, AE1:AE29 &lt;&gt; """"),
      FILTER(VALUE(AE1:AE29), AE1:AE29 &lt;&gt; """"),
      FALSE
    )
  )
)
"),"Grand Duchy of Strenci s votes have been counted as follows:
12 Södermalm
10 Xochimilia
8 Kimmystan
7 Aimūlli
6 Fierraria
5 Vylkuzeme
4 New Acadia
3 Reym-L-Dneurb
2 New Bander State
1 Roxma Nova")</f>
        <v>Grand Duchy of Strenci s votes have been counted as follows:
12 Södermalm
10 Xochimilia
8 Kimmystan
7 Aimūlli
6 Fierraria
5 Vylkuzeme
4 New Acadia
3 Reym-L-Dneurb
2 New Bander State
1 Roxma Nova</v>
      </c>
      <c r="AF40" s="30" t="str">
        <f>IFERROR(__xludf.DUMMYFUNCTION("TEXTJOIN(CHAR(10), TRUE,
  ARRAYFORMULA(
    SORT(
      FILTER(AF1:AF29 &amp; "" "" &amp; $E1:$E29, AF1:AF29 &lt;&gt; """"),
      FILTER(VALUE(AF1:AF29), AF1:AF29 &lt;&gt; """"),
      FALSE
    )
  )
)
"),"Aimūlli s votes have been counted as follows:
12 New Acadia
10 Vylkuzeme
8 Södermalm
7 Rumia
6 Tamausia &amp; Deltannor
5 Ugaly
4 Waiting Iist of Shelley &amp; Nici
3 Emsfrynt
2 Kordavian Islands
1 Dež Republic")</f>
        <v>Aimūlli s votes have been counted as follows:
12 New Acadia
10 Vylkuzeme
8 Södermalm
7 Rumia
6 Tamausia &amp; Deltannor
5 Ugaly
4 Waiting Iist of Shelley &amp; Nici
3 Emsfrynt
2 Kordavian Islands
1 Dež Republic</v>
      </c>
      <c r="AG40" s="30" t="str">
        <f>IFERROR(__xludf.DUMMYFUNCTION("TEXTJOIN(CHAR(10), TRUE,
  ARRAYFORMULA(
    SORT(
      FILTER(AG1:AG29 &amp; "" "" &amp; $E1:$E29, AG1:AG29 &lt;&gt; """"),
      FILTER(VALUE(AG1:AG29), AG1:AG29 &lt;&gt; """"),
      FALSE
    )
  )
)
"),"Reym-L-Dneurb s votes have been counted as follows:
12 Kimmystan
10 Papendink
8 Öösingimäed
7 Orsa
6 Rehi Kaita
5 Roxma Nova
4 Comino
3 New Acadia
2 Emsfrynt
1 Grand Duchy of Strenci")</f>
        <v>Reym-L-Dneurb s votes have been counted as follows:
12 Kimmystan
10 Papendink
8 Öösingimäed
7 Orsa
6 Rehi Kaita
5 Roxma Nova
4 Comino
3 New Acadia
2 Emsfrynt
1 Grand Duchy of Strenci</v>
      </c>
      <c r="AH40" s="30" t="str">
        <f>IFERROR(__xludf.DUMMYFUNCTION("TEXTJOIN(CHAR(10), TRUE,
  ARRAYFORMULA(
    SORT(
      FILTER(AH1:AH29 &amp; "" "" &amp; $E1:$E29, AH1:AH29 &lt;&gt; """"),
      FILTER(VALUE(AH1:AH29), AH1:AH29 &lt;&gt; """"),
      FALSE
    )
  )
)
"),"Yaponesia s votes have been counted as follows:
12 Grand Duchy of Strenci
10 Tcher-Racoi
8 Rehi Kaita
7 Papendink
6 Kimmystan
5 Tamausia &amp; Deltannor
4 Aimūlli
3 Ugaly
2 Reym-L-Dneurb
1 Emsfrynt")</f>
        <v>Yaponesia s votes have been counted as follows:
12 Grand Duchy of Strenci
10 Tcher-Racoi
8 Rehi Kaita
7 Papendink
6 Kimmystan
5 Tamausia &amp; Deltannor
4 Aimūlli
3 Ugaly
2 Reym-L-Dneurb
1 Emsfrynt</v>
      </c>
      <c r="AI40" s="30" t="str">
        <f>IFERROR(__xludf.DUMMYFUNCTION("TEXTJOIN(CHAR(10), TRUE,
  ARRAYFORMULA(
    SORT(
      FILTER(AI1:AI29 &amp; "" "" &amp; $E1:$E29, AI1:AI29 &lt;&gt; """"),
      FILTER(VALUE(AI1:AI29), AI1:AI29 &lt;&gt; """"),
      FALSE
    )
  )
)
"),"Begonia s votes have been counted as follows:
12 Papendink
10 Kimmystan
8 Roxma Nova
7 Xochimilia
6 New Bander State
5 Emsfrynt
4 Fierraria
3 Rehi Kaita
2 Södermalm
1 Insomnéa")</f>
        <v>Begonia s votes have been counted as follows:
12 Papendink
10 Kimmystan
8 Roxma Nova
7 Xochimilia
6 New Bander State
5 Emsfrynt
4 Fierraria
3 Rehi Kaita
2 Södermalm
1 Insomnéa</v>
      </c>
      <c r="AJ40" s="30" t="str">
        <f>IFERROR(__xludf.DUMMYFUNCTION("TEXTJOIN(CHAR(10), TRUE,
  ARRAYFORMULA(
    SORT(
      FILTER(AJ1:AJ29 &amp; "" "" &amp; $E1:$E29, AJ1:AJ29 &lt;&gt; """"),
      FILTER(VALUE(AJ1:AJ29), AJ1:AJ29 &lt;&gt; """"),
      FALSE
    )
  )
)
"),"Sakuralia s votes have been counted as follows:
12 Aimūlli
10 Kordavian Islands
8 Vylkuzeme
7 Orsa
6 Rumia
5 Södermalm
4 Xochimilia
3 New Acadia
2 Tcher-Racoi
1 Tanoiro")</f>
        <v>Sakuralia s votes have been counted as follows:
12 Aimūlli
10 Kordavian Islands
8 Vylkuzeme
7 Orsa
6 Rumia
5 Södermalm
4 Xochimilia
3 New Acadia
2 Tcher-Racoi
1 Tanoiro</v>
      </c>
      <c r="AK40" s="30" t="str">
        <f>IFERROR(__xludf.DUMMYFUNCTION("TEXTJOIN(CHAR(10), TRUE,
  ARRAYFORMULA(
    SORT(
      FILTER(AK1:AK29 &amp; "" "" &amp; $E1:$E29, AK1:AK29 &lt;&gt; """"),
      FILTER(VALUE(AK1:AK29), AK1:AK29 &lt;&gt; """"),
      FALSE
    )
  )
)
"),"Ugaly s votes have been counted as follows:
12 Tamausia &amp; Deltannor
10 Rehi Kaita
8 Reym-L-Dneurb
7 Xochimilia
6 Papendink
5 Dalisska
4 Emsfrynt
3 Dež Republic
2 Öösingimäed
1 Södermalm")</f>
        <v>Ugaly s votes have been counted as follows:
12 Tamausia &amp; Deltannor
10 Rehi Kaita
8 Reym-L-Dneurb
7 Xochimilia
6 Papendink
5 Dalisska
4 Emsfrynt
3 Dež Republic
2 Öösingimäed
1 Södermalm</v>
      </c>
      <c r="AL40" s="30" t="str">
        <f>IFERROR(__xludf.DUMMYFUNCTION("TEXTJOIN(CHAR(10), TRUE,
  ARRAYFORMULA(
    SORT(
      FILTER(AL1:AL29 &amp; "" "" &amp; $E1:$E29, AL1:AL29 &lt;&gt; """"),
      FILTER(VALUE(AL1:AL29), AL1:AL29 &lt;&gt; """"),
      FALSE
    )
  )
)
"),"Papendink s votes have been counted as follows:
12 Öösingimäed
10 Rehi Kaita
8 Fierraria
7 Roxma Nova
6 Xochimilia
5 Rumia
4 Comino
3 Orsa
2 Kordavian Islands
1 Emsfrynt")</f>
        <v>Papendink s votes have been counted as follows:
12 Öösingimäed
10 Rehi Kaita
8 Fierraria
7 Roxma Nova
6 Xochimilia
5 Rumia
4 Comino
3 Orsa
2 Kordavian Islands
1 Emsfrynt</v>
      </c>
      <c r="AM40" s="30" t="str">
        <f>IFERROR(__xludf.DUMMYFUNCTION("TEXTJOIN(CHAR(10), TRUE,
  ARRAYFORMULA(
    SORT(
      FILTER(AM1:AM29 &amp; "" "" &amp; $E1:$E29, AM1:AM29 &lt;&gt; """"),
      FILTER(VALUE(AM1:AM29), AM1:AM29 &lt;&gt; """"),
      FALSE
    )
  )
)
"),"Kimmystan s votes have been counted as follows:
12 Szimbaya Kingdom
10 Ugaly
8 Roxma Nova
7 Rumia
6 Fierraria
5 Grand Duchy of Strenci
4 Södermalm
3 Aimūlli
2 Tanoiro
1 Vylkuzeme")</f>
        <v>Kimmystan s votes have been counted as follows:
12 Szimbaya Kingdom
10 Ugaly
8 Roxma Nova
7 Rumia
6 Fierraria
5 Grand Duchy of Strenci
4 Södermalm
3 Aimūlli
2 Tanoiro
1 Vylkuzeme</v>
      </c>
      <c r="AN40" s="30" t="str">
        <f>IFERROR(__xludf.DUMMYFUNCTION("TEXTJOIN(CHAR(10), TRUE,
  ARRAYFORMULA(
    SORT(
      FILTER(AN1:AN29 &amp; "" "" &amp; $E1:$E29, AN1:AN29 &lt;&gt; """"),
      FILTER(VALUE(AN1:AN29), AN1:AN29 &lt;&gt; """"),
      FALSE
    )
  )
)
"),"Roxma Nova s votes have been counted as follows:
12 Orsa
10 Kimmystan
8 Södermalm
7 Insomnéa
6 Dalisska
5 Öösingimäed
4 Kordavian Islands
3 Rehi Kaita
2 Vylkuzeme
1 Xochimilia")</f>
        <v>Roxma Nova s votes have been counted as follows:
12 Orsa
10 Kimmystan
8 Södermalm
7 Insomnéa
6 Dalisska
5 Öösingimäed
4 Kordavian Islands
3 Rehi Kaita
2 Vylkuzeme
1 Xochimilia</v>
      </c>
      <c r="AO40" s="30" t="str">
        <f>IFERROR(__xludf.DUMMYFUNCTION("TEXTJOIN(CHAR(10), TRUE,
  ARRAYFORMULA(
    SORT(
      FILTER(AO1:AO29 &amp; "" "" &amp; $E1:$E29, AO1:AO29 &lt;&gt; """"),
      FILTER(VALUE(AO1:AO29), AO1:AO29 &lt;&gt; """"),
      FALSE
    )
  )
)
"),"Cydoni-Gibberia s votes have been counted as follows:
12 Ugaly
10 Tanoiro
8 Orsa
7 Emsfrynt
6 Tamausia &amp; Deltannor
5 Södermalm
4 Comino
3 Fierraria
2 Reym-L-Dneurb
1 Öösingimäed")</f>
        <v>Cydoni-Gibberia s votes have been counted as follows:
12 Ugaly
10 Tanoiro
8 Orsa
7 Emsfrynt
6 Tamausia &amp; Deltannor
5 Södermalm
4 Comino
3 Fierraria
2 Reym-L-Dneurb
1 Öösingimäed</v>
      </c>
      <c r="AP40" s="30" t="str">
        <f>IFERROR(__xludf.DUMMYFUNCTION("TEXTJOIN(CHAR(10), TRUE,
  ARRAYFORMULA(
    SORT(
      FILTER(AP1:AP29 &amp; "" "" &amp; $E1:$E29, AP1:AP29 &lt;&gt; """"),
      FILTER(VALUE(AP1:AP29), AP1:AP29 &lt;&gt; """"),
      FALSE
    )
  )
)
"),"MatiMati s votes have been counted as follows:
12 Tanoiro
10 Öösingimäed
8 New Acadia
7 Södermalm
6 Kordavian Islands
5 Kimmystan
4 New Bander State
3 Aimūlli
2 Roxma Nova
1 Insomnéa")</f>
        <v>MatiMati s votes have been counted as follows:
12 Tanoiro
10 Öösingimäed
8 New Acadia
7 Södermalm
6 Kordavian Islands
5 Kimmystan
4 New Bander State
3 Aimūlli
2 Roxma Nova
1 Insomnéa</v>
      </c>
      <c r="AQ40" s="30" t="str">
        <f>IFERROR(__xludf.DUMMYFUNCTION("TEXTJOIN(CHAR(10), TRUE,
  ARRAYFORMULA(
    SORT(
      FILTER(AQ1:AQ29 &amp; "" "" &amp; $E1:$E29, AQ1:AQ29 &lt;&gt; """"),
      FILTER(VALUE(AQ1:AQ29), AQ1:AQ29 &lt;&gt; """"),
      FALSE
    )
  )
)
"),"Xochimilia s votes have been counted as follows:
12 Öösingimäed
10 Fierraria
8 New Bander State
7 Dež Republic
6 Insomnéa
5 Tanoiro
4 Reym-L-Dneurb
3 Dalisska
2 Comino
1 Vylkuzeme")</f>
        <v>Xochimilia s votes have been counted as follows:
12 Öösingimäed
10 Fierraria
8 New Bander State
7 Dež Republic
6 Insomnéa
5 Tanoiro
4 Reym-L-Dneurb
3 Dalisska
2 Comino
1 Vylkuzeme</v>
      </c>
      <c r="AR40" s="30" t="str">
        <f>IFERROR(__xludf.DUMMYFUNCTION("TEXTJOIN(CHAR(10), TRUE,
  ARRAYFORMULA(
    SORT(
      FILTER(AR1:AR29 &amp; "" "" &amp; $E1:$E29, AR1:AR29 &lt;&gt; """"),
      FILTER(VALUE(AR1:AR29), AR1:AR29 &lt;&gt; """"),
      FALSE
    )
  )
)
"),"Rehi Kaita s votes have been counted as follows:
12 Papendink
10 Orsa
8 Ugaly
7 Roxma Nova
6 Öösingimäed
5 Tamausia &amp; Deltannor
4 Emsfrynt
3 Fierraria
2 Reym-L-Dneurb
1 Dalisska")</f>
        <v>Rehi Kaita s votes have been counted as follows:
12 Papendink
10 Orsa
8 Ugaly
7 Roxma Nova
6 Öösingimäed
5 Tamausia &amp; Deltannor
4 Emsfrynt
3 Fierraria
2 Reym-L-Dneurb
1 Dalisska</v>
      </c>
      <c r="AS40" s="30" t="str">
        <f>IFERROR(__xludf.DUMMYFUNCTION("TEXTJOIN(CHAR(10), TRUE,
  ARRAYFORMULA(
    SORT(
      FILTER(AS1:AS29 &amp; "" "" &amp; $E1:$E29, AS1:AS29 &lt;&gt; """"),
      FILTER(VALUE(AS1:AS29), AS1:AS29 &lt;&gt; """"),
      FALSE
    )
  )
)
"),"New Bander State s votes have been counted as follows:
12 Xochimilia
10 Insomnéa
8 Dalisska
7 New Acadia
6 Roxma Nova
5 Fierraria
4 Tcher-Racoi
3 Comino
2 Kimmystan
1 Södermalm")</f>
        <v>New Bander State s votes have been counted as follows:
12 Xochimilia
10 Insomnéa
8 Dalisska
7 New Acadia
6 Roxma Nova
5 Fierraria
4 Tcher-Racoi
3 Comino
2 Kimmystan
1 Södermalm</v>
      </c>
      <c r="AT40" s="30" t="str">
        <f>IFERROR(__xludf.DUMMYFUNCTION("TEXTJOIN(CHAR(10), TRUE,
  ARRAYFORMULA(
    SORT(
      FILTER(AT1:AT29 &amp; "" "" &amp; $E1:$E29, AT1:AT29 &lt;&gt; """"),
      FILTER(VALUE(AT1:AT29), AT1:AT29 &lt;&gt; """"),
      FALSE
    )
  )
)
"),"Zombira s votes have been counted as follows:
12 Waiting Iist of Shelley &amp; Nici
10 Rumia
8 Aimūlli
7 Tanoiro
6 Emsfrynt
5 New Acadia
4 Insomnéa
3 Vylkuzeme
2 Papendink
1 Kordavian Islands")</f>
        <v>Zombira s votes have been counted as follows:
12 Waiting Iist of Shelley &amp; Nici
10 Rumia
8 Aimūlli
7 Tanoiro
6 Emsfrynt
5 New Acadia
4 Insomnéa
3 Vylkuzeme
2 Papendink
1 Kordavian Islands</v>
      </c>
      <c r="AU40" s="30" t="str">
        <f>IFERROR(__xludf.DUMMYFUNCTION("TEXTJOIN(CHAR(10), TRUE,
  ARRAYFORMULA(
    SORT(
      FILTER(AU1:AU29 &amp; "" "" &amp; $E1:$E29, AU1:AU29 &lt;&gt; """"),
      FILTER(VALUE(AU1:AU29), AU1:AU29 &lt;&gt; """"),
      FALSE
    )
  )
)
"),"Tanoiro s votes have been counted as follows:
12 Ugaly
10 Reym-L-Dneurb
8 Emsfrynt
7 Öösingimäed
6 Tamausia &amp; Deltannor
5 Rehi Kaita
4 Aimūlli
3 Kimmystan
2 Papendink
1 Fierraria")</f>
        <v>Tanoiro s votes have been counted as follows:
12 Ugaly
10 Reym-L-Dneurb
8 Emsfrynt
7 Öösingimäed
6 Tamausia &amp; Deltannor
5 Rehi Kaita
4 Aimūlli
3 Kimmystan
2 Papendink
1 Fierraria</v>
      </c>
      <c r="AV40" s="30" t="str">
        <f>IFERROR(__xludf.DUMMYFUNCTION("TEXTJOIN(CHAR(10), TRUE,
  ARRAYFORMULA(
    SORT(
      FILTER(AV1:AV29 &amp; "" "" &amp; $E1:$E29, AV1:AV29 &lt;&gt; """"),
      FILTER(VALUE(AV1:AV29), AV1:AV29 &lt;&gt; """"),
      FALSE
    )
  )
)
"),"Kordavian Islands s votes have been counted as follows:
12 Rumia
10 Waiting Iist of Shelley &amp; Nici
8 Vylkuzeme
7 Aimūlli
6 New Acadia
5 Södermalm
4 Fierraria
3 Grand Duchy of Strenci
2 New Bander State
1 Xochimilia")</f>
        <v>Kordavian Islands s votes have been counted as follows:
12 Rumia
10 Waiting Iist of Shelley &amp; Nici
8 Vylkuzeme
7 Aimūlli
6 New Acadia
5 Södermalm
4 Fierraria
3 Grand Duchy of Strenci
2 New Bander State
1 Xochimilia</v>
      </c>
      <c r="AW40" s="30" t="str">
        <f>IFERROR(__xludf.DUMMYFUNCTION("TEXTJOIN(CHAR(10), TRUE,
  ARRAYFORMULA(
    SORT(
      FILTER(AW1:AW29 &amp; "" "" &amp; $E1:$E29, AW1:AW29 &lt;&gt; """"),
      FILTER(VALUE(AW1:AW29), AW1:AW29 &lt;&gt; """"),
      FALSE
    )
  )
)
"),"Inzinimirit s votes have been counted as follows:
12 Roxma Nova
10 Aimūlli
8 New Acadia
7 Dež Republic
6 Södermalm
5 Insomnéa
4 Vylkuzeme
3 Orsa
2 Kimmystan
1 Dalisska")</f>
        <v>Inzinimirit s votes have been counted as follows:
12 Roxma Nova
10 Aimūlli
8 New Acadia
7 Dež Republic
6 Södermalm
5 Insomnéa
4 Vylkuzeme
3 Orsa
2 Kimmystan
1 Dalisska</v>
      </c>
      <c r="AX40" s="30" t="str">
        <f>IFERROR(__xludf.DUMMYFUNCTION("TEXTJOIN(CHAR(10), TRUE,
  ARRAYFORMULA(
    SORT(
      FILTER(AX1:AX29 &amp; "" "" &amp; $E1:$E29, AX1:AX29 &lt;&gt; """"),
      FILTER(VALUE(AX1:AX29), AX1:AX29 &lt;&gt; """"),
      FALSE
    )
  )
)
"),"Fervorosia s votes have been counted as follows:
12 Emsfrynt
10 Reym-L-Dneurb
8 Szimbaya Kingdom
7 Ugaly
6 Tamausia &amp; Deltannor
5 Grand Duchy of Strenci
4 Roxma Nova
3 Xochimilia
2 Comino
1 Fierraria")</f>
        <v>Fervorosia s votes have been counted as follows:
12 Emsfrynt
10 Reym-L-Dneurb
8 Szimbaya Kingdom
7 Ugaly
6 Tamausia &amp; Deltannor
5 Grand Duchy of Strenci
4 Roxma Nova
3 Xochimilia
2 Comino
1 Fierraria</v>
      </c>
      <c r="AY40" s="30" t="str">
        <f>IFERROR(__xludf.DUMMYFUNCTION("TEXTJOIN(CHAR(10), TRUE,
  ARRAYFORMULA(
    SORT(
      FILTER(AY1:AY29 &amp; "" "" &amp; $E1:$E29, AY1:AY29 &lt;&gt; """"),
      FILTER(VALUE(AY1:AY29), AY1:AY29 &lt;&gt; """"),
      FALSE
    )
  )
)
"),"Insomnea s votes have been counted as follows:
12 Comino
10 Dalisska
8 Xochimilia
7 New Bander State
6 Tcher-Racoi
5 Södermalm
4 Roxma Nova
3 Aimūlli
2 Fierraria
1 Vylkuzeme")</f>
        <v>Insomnea s votes have been counted as follows:
12 Comino
10 Dalisska
8 Xochimilia
7 New Bander State
6 Tcher-Racoi
5 Södermalm
4 Roxma Nova
3 Aimūlli
2 Fierraria
1 Vylkuzeme</v>
      </c>
      <c r="AZ40" s="30" t="str">
        <f>IFERROR(__xludf.DUMMYFUNCTION("TEXTJOIN(CHAR(10), TRUE,
  ARRAYFORMULA(
    SORT(
      FILTER(AZ1:AZ29 &amp; "" "" &amp; $E1:$E29, AZ1:AZ29 &lt;&gt; """"),
      FILTER(VALUE(AZ1:AZ29), AZ1:AZ29 &lt;&gt; """"),
      FALSE
    )
  )
)
"),"Carpentaria s votes have been counted as follows:
12 Comino
10 Szimbaya Kingdom
8 Ugaly
7 Grand Duchy of Strenci
6 New Acadia
5 Vylkuzeme
4 Rumia
3 Roxma Nova
2 Aimūlli
1 Tanoiro")</f>
        <v>Carpentaria s votes have been counted as follows:
12 Comino
10 Szimbaya Kingdom
8 Ugaly
7 Grand Duchy of Strenci
6 New Acadia
5 Vylkuzeme
4 Rumia
3 Roxma Nova
2 Aimūlli
1 Tanoiro</v>
      </c>
      <c r="BA40" s="30" t="str">
        <f>IFERROR(__xludf.DUMMYFUNCTION("TEXTJOIN(CHAR(10), TRUE,
  ARRAYFORMULA(
    SORT(
      FILTER(BA1:BA29 &amp; "" "" &amp; $E1:$E29, BA1:BA29 &lt;&gt; """"),
      FILTER(VALUE(BA1:BA29), BA1:BA29 &lt;&gt; """"),
      FALSE
    )
  )
)
"),"Doire s votes have been counted as follows:
12 Öösingimäed
10 New Bander State
8 Rehi Kaita
7 Roxma Nova
6 Fierraria
5 Kimmystan
4 Papendink
3 Xochimilia
2 Comino
1 Insomnéa")</f>
        <v>Doire s votes have been counted as follows:
12 Öösingimäed
10 New Bander State
8 Rehi Kaita
7 Roxma Nova
6 Fierraria
5 Kimmystan
4 Papendink
3 Xochimilia
2 Comino
1 Insomnéa</v>
      </c>
      <c r="BB40" s="30" t="str">
        <f>IFERROR(__xludf.DUMMYFUNCTION("TEXTJOIN(CHAR(10), TRUE,
  ARRAYFORMULA(
    SORT(
      FILTER(BB1:BB29 &amp; "" "" &amp; $E1:$E29, BB1:BB29 &lt;&gt; """"),
      FILTER(VALUE(BB1:BB29), BB1:BB29 &lt;&gt; """"),
      FALSE
    )
  )
)
"),"Orsa s votes have been counted as follows:
12 Kimmystan
10 Öösingimäed
8 Vylkuzeme
7 Emsfrynt
6 Rehi Kaita
5 Tanoiro
4 Aimūlli
3 Roxma Nova
2 Reym-L-Dneurb
1 New Acadia")</f>
        <v>Orsa s votes have been counted as follows:
12 Kimmystan
10 Öösingimäed
8 Vylkuzeme
7 Emsfrynt
6 Rehi Kaita
5 Tanoiro
4 Aimūlli
3 Roxma Nova
2 Reym-L-Dneurb
1 New Acadia</v>
      </c>
      <c r="BC40" s="30" t="str">
        <f>IFERROR(__xludf.DUMMYFUNCTION("TEXTJOIN(CHAR(10), TRUE,
  ARRAYFORMULA(
    SORT(
      FILTER(BC1:BC29 &amp; "" "" &amp; $E1:$E29, BC1:BC29 &lt;&gt; """"),
      FILTER(VALUE(BC1:BC29), BC1:BC29 &lt;&gt; """"),
      FALSE
    )
  )
)
"),"Tcher-Racoi s votes have been counted as follows:
12 Xochimilia
10 New Bander State
8 Fierraria
7 Szimbaya Kingdom
6 Kimmystan
5 Reym-L-Dneurb
4 Rehi Kaita
3 Waiting Iist of Shelley &amp; Nici
2 Tamausia &amp; Deltannor
1 Dež Republic")</f>
        <v>Tcher-Racoi s votes have been counted as follows:
12 Xochimilia
10 New Bander State
8 Fierraria
7 Szimbaya Kingdom
6 Kimmystan
5 Reym-L-Dneurb
4 Rehi Kaita
3 Waiting Iist of Shelley &amp; Nici
2 Tamausia &amp; Deltannor
1 Dež Republic</v>
      </c>
      <c r="BD40" s="30" t="str">
        <f>IFERROR(__xludf.DUMMYFUNCTION("TEXTJOIN(CHAR(10), TRUE,
  ARRAYFORMULA(
    SORT(
      FILTER(BD1:BD29 &amp; "" "" &amp; $E1:$E29, BD1:BD29 &lt;&gt; """"),
      FILTER(VALUE(BD1:BD29), BD1:BD29 &lt;&gt; """"),
      FALSE
    )
  )
)
"),"Calypso s votes have been counted as follows:
12 Kimmystan
10 Xochimilia
8 Roxma Nova
7 Dalisska
6 New Bander State
5 Södermalm
4 Fierraria
3 Comino
2 Insomnéa
1 Tcher-Racoi")</f>
        <v>Calypso s votes have been counted as follows:
12 Kimmystan
10 Xochimilia
8 Roxma Nova
7 Dalisska
6 New Bander State
5 Södermalm
4 Fierraria
3 Comino
2 Insomnéa
1 Tcher-Racoi</v>
      </c>
      <c r="BE40" s="30" t="str">
        <f>IFERROR(__xludf.DUMMYFUNCTION("TEXTJOIN(CHAR(10), TRUE,
  ARRAYFORMULA(
    SORT(
      FILTER(BE1:BE29 &amp; "" "" &amp; $E1:$E29, BE1:BE29 &lt;&gt; """"),
      FILTER(VALUE(BE1:BE29), BE1:BE29 &lt;&gt; """"),
      FALSE
    )
  )
)
"),"Biflovatia s votes have been counted as follows:
12 Öösingimäed
10 Emsfrynt
8 Dež Republic
7 Tanoiro
6 Reym-L-Dneurb
5 Fierraria
4 Ugaly
3 Rumia
2 Södermalm
1 New Acadia")</f>
        <v>Biflovatia s votes have been counted as follows:
12 Öösingimäed
10 Emsfrynt
8 Dež Republic
7 Tanoiro
6 Reym-L-Dneurb
5 Fierraria
4 Ugaly
3 Rumia
2 Södermalm
1 New Acadia</v>
      </c>
      <c r="BF40" s="30" t="str">
        <f>IFERROR(__xludf.DUMMYFUNCTION("TEXTJOIN(CHAR(10), TRUE,
  ARRAYFORMULA(
    SORT(
      FILTER(BF1:BF29 &amp; "" "" &amp; $E1:$E29, BF1:BF29 &lt;&gt; """"),
      FILTER(VALUE(BF1:BF29), BF1:BF29 &lt;&gt; """"),
      FALSE
    )
  )
)
"),"Tamausia &amp; Deltannor s votes have been counted as follows:
12 Ugaly
10 Rehi Kaita
8 Emsfrynt
7 Fierraria
6 Szimbaya Kingdom
5 Comino
4 Tanoiro
3 Dež Republic
2 Grand Duchy of Strenci
1 Roxma Nova")</f>
        <v>Tamausia &amp; Deltannor s votes have been counted as follows:
12 Ugaly
10 Rehi Kaita
8 Emsfrynt
7 Fierraria
6 Szimbaya Kingdom
5 Comino
4 Tanoiro
3 Dež Republic
2 Grand Duchy of Strenci
1 Roxma Nova</v>
      </c>
      <c r="BG40" s="30" t="str">
        <f>IFERROR(__xludf.DUMMYFUNCTION("TEXTJOIN(CHAR(10), TRUE,
  ARRAYFORMULA(
    SORT(
      FILTER(BG1:BG29 &amp; "" "" &amp; $E1:$E29, BG1:BG29 &lt;&gt; """"),
      FILTER(VALUE(BG1:BG29), BG1:BG29 &lt;&gt; """"),
      FALSE
    )
  )
)
"),"Endórë s votes have been counted as follows:
12 Tcher-Racoi
10 Kordavian Islands
8 Grand Duchy of Strenci
7 Szimbaya Kingdom
6 New Acadia
5 Waiting Iist of Shelley &amp; Nici
4 Aimūlli
3 Rumia
2 Vylkuzeme
1 Fierraria")</f>
        <v>Endórë s votes have been counted as follows:
12 Tcher-Racoi
10 Kordavian Islands
8 Grand Duchy of Strenci
7 Szimbaya Kingdom
6 New Acadia
5 Waiting Iist of Shelley &amp; Nici
4 Aimūlli
3 Rumia
2 Vylkuzeme
1 Fierraria</v>
      </c>
      <c r="BH40" s="30" t="str">
        <f>IFERROR(__xludf.DUMMYFUNCTION("TEXTJOIN(CHAR(10), TRUE,
  ARRAYFORMULA(
    SORT(
      FILTER(BH1:BH29 &amp; "" "" &amp; $E1:$E29, BH1:BH29 &lt;&gt; """"),
      FILTER(VALUE(BH1:BH29), BH1:BH29 &lt;&gt; """"),
      FALSE
    )
  )
)
"),"Perryfornia s votes have been counted as follows:
12 Ugaly
10 Tanoiro
8 Reym-L-Dneurb
7 Tamausia &amp; Deltannor
6 Szimbaya Kingdom
5 Dež Republic
4 New Acadia
3 Comino
2 Waiting Iist of Shelley &amp; Nici
1 Emsfrynt")</f>
        <v>Perryfornia s votes have been counted as follows:
12 Ugaly
10 Tanoiro
8 Reym-L-Dneurb
7 Tamausia &amp; Deltannor
6 Szimbaya Kingdom
5 Dež Republic
4 New Acadia
3 Comino
2 Waiting Iist of Shelley &amp; Nici
1 Emsfrynt</v>
      </c>
      <c r="BI40" s="30" t="str">
        <f>IFERROR(__xludf.DUMMYFUNCTION("TEXTJOIN(CHAR(10), TRUE,
  ARRAYFORMULA(
    SORT(
      FILTER(BI1:BI29 &amp; "" "" &amp; $E1:$E29, BI1:BI29 &lt;&gt; """"),
      FILTER(VALUE(BI1:BI29), BI1:BI29 &lt;&gt; """"),
      FALSE
    )
  )
)
"),"#VALUE!")</f>
        <v>#VALUE!</v>
      </c>
      <c r="BJ40" s="30" t="str">
        <f>IFERROR(__xludf.DUMMYFUNCTION("TEXTJOIN(CHAR(10), TRUE,
  ARRAYFORMULA(
    SORT(
      FILTER(BJ1:BJ29 &amp; "" "" &amp; $E1:$E29, BJ1:BJ29 &lt;&gt; """"),
      FILTER(VALUE(BJ1:BJ29), BJ1:BJ29 &lt;&gt; """"),
      FALSE
    )
  )
)
"),"#VALUE!")</f>
        <v>#VALUE!</v>
      </c>
      <c r="BK40" s="30" t="str">
        <f>IFERROR(__xludf.DUMMYFUNCTION("TEXTJOIN(CHAR(10), TRUE,
  ARRAYFORMULA(
    SORT(
      FILTER(BK1:BK29 &amp; "" "" &amp; $E1:$E29, BK1:BK29 &lt;&gt; """"),
      FILTER(VALUE(BK1:BK29), BK1:BK29 &lt;&gt; """"),
      FALSE
    )
  )
)
"),"#VALUE!")</f>
        <v>#VALUE!</v>
      </c>
      <c r="BL40" s="30" t="str">
        <f>IFERROR(__xludf.DUMMYFUNCTION("TEXTJOIN(CHAR(10), TRUE,
  ARRAYFORMULA(
    SORT(
      FILTER(BL1:BL29 &amp; "" "" &amp; $E1:$E29, BL1:BL29 &lt;&gt; """"),
      FILTER(VALUE(BL1:BL29), BL1:BL29 &lt;&gt; """"),
      FALSE
    )
  )
)
"),"#VALUE!")</f>
        <v>#VALUE!</v>
      </c>
    </row>
    <row r="41" hidden="1">
      <c r="B41" s="84"/>
      <c r="E41" s="84"/>
    </row>
    <row r="42" hidden="1">
      <c r="B42" s="84"/>
      <c r="E42" s="84"/>
      <c r="F42" s="29" t="s">
        <v>119</v>
      </c>
      <c r="G42" s="29" t="s">
        <v>119</v>
      </c>
      <c r="H42" s="29" t="s">
        <v>119</v>
      </c>
      <c r="I42" s="29" t="s">
        <v>119</v>
      </c>
      <c r="J42" s="29" t="s">
        <v>119</v>
      </c>
      <c r="K42" s="29" t="s">
        <v>119</v>
      </c>
      <c r="L42" s="29" t="s">
        <v>119</v>
      </c>
      <c r="M42" s="29" t="s">
        <v>119</v>
      </c>
      <c r="N42" s="29" t="s">
        <v>119</v>
      </c>
      <c r="O42" s="29" t="s">
        <v>119</v>
      </c>
      <c r="P42" s="29" t="s">
        <v>119</v>
      </c>
      <c r="Q42" s="29" t="s">
        <v>119</v>
      </c>
      <c r="R42" s="29" t="s">
        <v>119</v>
      </c>
      <c r="S42" s="29" t="s">
        <v>119</v>
      </c>
      <c r="T42" s="29" t="s">
        <v>119</v>
      </c>
      <c r="U42" s="29" t="s">
        <v>119</v>
      </c>
      <c r="V42" s="29" t="s">
        <v>119</v>
      </c>
      <c r="W42" s="29" t="s">
        <v>119</v>
      </c>
      <c r="X42" s="29" t="s">
        <v>119</v>
      </c>
      <c r="Y42" s="29" t="s">
        <v>119</v>
      </c>
      <c r="Z42" s="29" t="s">
        <v>119</v>
      </c>
      <c r="AA42" s="29" t="s">
        <v>119</v>
      </c>
      <c r="AB42" s="29" t="s">
        <v>119</v>
      </c>
      <c r="AC42" s="29" t="s">
        <v>119</v>
      </c>
      <c r="AD42" s="29" t="s">
        <v>119</v>
      </c>
      <c r="AE42" s="29" t="s">
        <v>119</v>
      </c>
      <c r="AF42" s="29" t="s">
        <v>119</v>
      </c>
      <c r="AG42" s="29" t="s">
        <v>119</v>
      </c>
      <c r="AH42" s="29" t="s">
        <v>119</v>
      </c>
      <c r="AI42" s="29" t="s">
        <v>119</v>
      </c>
      <c r="AJ42" s="29" t="s">
        <v>119</v>
      </c>
      <c r="AK42" s="29" t="s">
        <v>119</v>
      </c>
      <c r="AL42" s="29" t="s">
        <v>119</v>
      </c>
      <c r="AM42" s="29" t="s">
        <v>119</v>
      </c>
      <c r="AN42" s="29" t="s">
        <v>119</v>
      </c>
      <c r="AO42" s="29" t="s">
        <v>119</v>
      </c>
      <c r="AP42" s="29" t="s">
        <v>119</v>
      </c>
      <c r="AQ42" s="29" t="s">
        <v>119</v>
      </c>
      <c r="AR42" s="29" t="s">
        <v>119</v>
      </c>
      <c r="AS42" s="29" t="s">
        <v>119</v>
      </c>
      <c r="AT42" s="29" t="s">
        <v>119</v>
      </c>
      <c r="AU42" s="29" t="s">
        <v>119</v>
      </c>
      <c r="AV42" s="29" t="s">
        <v>119</v>
      </c>
      <c r="AW42" s="29" t="s">
        <v>119</v>
      </c>
      <c r="AX42" s="29" t="s">
        <v>119</v>
      </c>
      <c r="AY42" s="29" t="s">
        <v>119</v>
      </c>
      <c r="AZ42" s="29" t="s">
        <v>119</v>
      </c>
      <c r="BA42" s="29" t="s">
        <v>119</v>
      </c>
      <c r="BB42" s="29" t="s">
        <v>119</v>
      </c>
      <c r="BC42" s="29" t="s">
        <v>119</v>
      </c>
      <c r="BD42" s="29" t="s">
        <v>119</v>
      </c>
      <c r="BE42" s="29" t="s">
        <v>119</v>
      </c>
      <c r="BF42" s="29" t="s">
        <v>119</v>
      </c>
      <c r="BG42" s="29" t="s">
        <v>119</v>
      </c>
      <c r="BH42" s="29" t="s">
        <v>119</v>
      </c>
      <c r="BI42" s="29" t="s">
        <v>119</v>
      </c>
      <c r="BJ42" s="29" t="s">
        <v>119</v>
      </c>
      <c r="BK42" s="29" t="s">
        <v>119</v>
      </c>
    </row>
    <row r="43" hidden="1">
      <c r="B43" s="84"/>
      <c r="E43" s="84"/>
      <c r="F43" s="29" t="s">
        <v>120</v>
      </c>
      <c r="G43" s="29" t="s">
        <v>120</v>
      </c>
      <c r="H43" s="29" t="s">
        <v>120</v>
      </c>
      <c r="I43" s="29" t="s">
        <v>120</v>
      </c>
      <c r="J43" s="29" t="s">
        <v>120</v>
      </c>
      <c r="K43" s="29" t="s">
        <v>120</v>
      </c>
      <c r="L43" s="29" t="s">
        <v>120</v>
      </c>
      <c r="M43" s="29" t="s">
        <v>120</v>
      </c>
      <c r="N43" s="29" t="s">
        <v>120</v>
      </c>
      <c r="O43" s="29" t="s">
        <v>120</v>
      </c>
      <c r="P43" s="29" t="s">
        <v>120</v>
      </c>
      <c r="Q43" s="29" t="s">
        <v>120</v>
      </c>
      <c r="R43" s="29" t="s">
        <v>120</v>
      </c>
      <c r="S43" s="29" t="s">
        <v>120</v>
      </c>
      <c r="T43" s="29" t="s">
        <v>120</v>
      </c>
      <c r="U43" s="29" t="s">
        <v>120</v>
      </c>
      <c r="V43" s="29" t="s">
        <v>120</v>
      </c>
      <c r="W43" s="29" t="s">
        <v>120</v>
      </c>
      <c r="X43" s="29" t="s">
        <v>120</v>
      </c>
      <c r="Y43" s="29" t="s">
        <v>120</v>
      </c>
      <c r="Z43" s="29" t="s">
        <v>120</v>
      </c>
      <c r="AA43" s="29" t="s">
        <v>120</v>
      </c>
      <c r="AB43" s="29" t="s">
        <v>120</v>
      </c>
      <c r="AC43" s="29" t="s">
        <v>120</v>
      </c>
      <c r="AD43" s="29" t="s">
        <v>120</v>
      </c>
      <c r="AE43" s="29" t="s">
        <v>120</v>
      </c>
      <c r="AF43" s="29" t="s">
        <v>120</v>
      </c>
      <c r="AG43" s="29" t="s">
        <v>120</v>
      </c>
      <c r="AH43" s="29" t="s">
        <v>120</v>
      </c>
      <c r="AI43" s="29" t="s">
        <v>120</v>
      </c>
      <c r="AJ43" s="29" t="s">
        <v>120</v>
      </c>
      <c r="AK43" s="29" t="s">
        <v>120</v>
      </c>
      <c r="AL43" s="29" t="s">
        <v>120</v>
      </c>
      <c r="AM43" s="29" t="s">
        <v>120</v>
      </c>
      <c r="AN43" s="29" t="s">
        <v>120</v>
      </c>
      <c r="AO43" s="29" t="s">
        <v>120</v>
      </c>
      <c r="AP43" s="29" t="s">
        <v>120</v>
      </c>
      <c r="AQ43" s="29" t="s">
        <v>120</v>
      </c>
      <c r="AR43" s="29" t="s">
        <v>120</v>
      </c>
      <c r="AS43" s="29" t="s">
        <v>120</v>
      </c>
      <c r="AT43" s="29" t="s">
        <v>120</v>
      </c>
      <c r="AU43" s="29" t="s">
        <v>120</v>
      </c>
      <c r="AV43" s="29" t="s">
        <v>120</v>
      </c>
      <c r="AW43" s="29" t="s">
        <v>120</v>
      </c>
      <c r="AX43" s="29" t="s">
        <v>120</v>
      </c>
      <c r="AY43" s="29" t="s">
        <v>120</v>
      </c>
      <c r="AZ43" s="29" t="s">
        <v>120</v>
      </c>
      <c r="BA43" s="29" t="s">
        <v>120</v>
      </c>
      <c r="BB43" s="29" t="s">
        <v>120</v>
      </c>
      <c r="BC43" s="29" t="s">
        <v>120</v>
      </c>
      <c r="BD43" s="29" t="s">
        <v>120</v>
      </c>
      <c r="BE43" s="29" t="s">
        <v>120</v>
      </c>
      <c r="BF43" s="29" t="s">
        <v>120</v>
      </c>
      <c r="BG43" s="29" t="s">
        <v>120</v>
      </c>
      <c r="BH43" s="29" t="s">
        <v>120</v>
      </c>
      <c r="BI43" s="29" t="s">
        <v>120</v>
      </c>
      <c r="BJ43" s="29" t="s">
        <v>120</v>
      </c>
      <c r="BK43" s="29" t="s">
        <v>120</v>
      </c>
    </row>
    <row r="44">
      <c r="B44" s="84"/>
      <c r="E44" s="84"/>
    </row>
    <row r="45">
      <c r="B45" s="84"/>
      <c r="E45" s="84"/>
      <c r="G45" s="29" t="s">
        <v>121</v>
      </c>
      <c r="H45" s="29" t="s">
        <v>121</v>
      </c>
      <c r="I45" s="29" t="s">
        <v>121</v>
      </c>
      <c r="J45" s="29" t="s">
        <v>121</v>
      </c>
      <c r="K45" s="29" t="s">
        <v>121</v>
      </c>
      <c r="L45" s="29" t="s">
        <v>121</v>
      </c>
      <c r="N45" s="29" t="s">
        <v>121</v>
      </c>
      <c r="O45" s="29" t="s">
        <v>121</v>
      </c>
      <c r="P45" s="29" t="s">
        <v>121</v>
      </c>
      <c r="Q45" s="29" t="s">
        <v>121</v>
      </c>
      <c r="R45" s="29" t="s">
        <v>121</v>
      </c>
      <c r="S45" s="29" t="s">
        <v>121</v>
      </c>
      <c r="T45" s="29" t="s">
        <v>121</v>
      </c>
      <c r="U45" s="29" t="s">
        <v>121</v>
      </c>
      <c r="V45" s="29" t="s">
        <v>121</v>
      </c>
      <c r="W45" s="29" t="s">
        <v>121</v>
      </c>
      <c r="X45" s="29" t="s">
        <v>121</v>
      </c>
      <c r="Y45" s="29" t="s">
        <v>121</v>
      </c>
      <c r="Z45" s="29" t="s">
        <v>121</v>
      </c>
      <c r="AA45" s="29" t="s">
        <v>121</v>
      </c>
      <c r="AC45" s="29" t="s">
        <v>121</v>
      </c>
      <c r="AD45" s="29" t="s">
        <v>121</v>
      </c>
      <c r="AE45" s="29" t="s">
        <v>121</v>
      </c>
      <c r="AF45" s="29" t="s">
        <v>121</v>
      </c>
      <c r="AG45" s="29" t="s">
        <v>121</v>
      </c>
      <c r="AH45" s="29" t="s">
        <v>121</v>
      </c>
      <c r="AI45" s="29" t="s">
        <v>121</v>
      </c>
      <c r="AJ45" s="29" t="s">
        <v>121</v>
      </c>
      <c r="AK45" s="29" t="s">
        <v>121</v>
      </c>
      <c r="AM45" s="29" t="s">
        <v>121</v>
      </c>
      <c r="AN45" s="29" t="s">
        <v>121</v>
      </c>
      <c r="AP45" s="29" t="s">
        <v>121</v>
      </c>
      <c r="AQ45" s="29" t="s">
        <v>121</v>
      </c>
      <c r="AR45" s="29" t="s">
        <v>121</v>
      </c>
      <c r="AS45" s="29" t="s">
        <v>121</v>
      </c>
      <c r="AU45" s="29" t="s">
        <v>121</v>
      </c>
      <c r="AV45" s="29" t="s">
        <v>121</v>
      </c>
      <c r="AW45" s="29" t="s">
        <v>121</v>
      </c>
      <c r="AX45" s="29" t="s">
        <v>121</v>
      </c>
      <c r="AY45" s="29" t="s">
        <v>121</v>
      </c>
      <c r="AZ45" s="29" t="s">
        <v>121</v>
      </c>
      <c r="BA45" s="29" t="s">
        <v>121</v>
      </c>
      <c r="BB45" s="29" t="s">
        <v>121</v>
      </c>
      <c r="BF45" s="29" t="s">
        <v>121</v>
      </c>
    </row>
    <row r="46">
      <c r="B46" s="84"/>
      <c r="E46" s="84"/>
    </row>
    <row r="47">
      <c r="B47" s="84"/>
      <c r="E47" s="84"/>
      <c r="F47" s="86" t="s">
        <v>124</v>
      </c>
      <c r="G47" s="86" t="s">
        <v>124</v>
      </c>
      <c r="H47" s="86" t="s">
        <v>124</v>
      </c>
      <c r="I47" s="86" t="s">
        <v>124</v>
      </c>
      <c r="J47" s="86" t="s">
        <v>124</v>
      </c>
      <c r="K47" s="86" t="s">
        <v>124</v>
      </c>
      <c r="L47" s="86" t="s">
        <v>124</v>
      </c>
      <c r="M47" s="86" t="s">
        <v>124</v>
      </c>
      <c r="N47" s="86" t="s">
        <v>124</v>
      </c>
      <c r="O47" s="86" t="s">
        <v>124</v>
      </c>
      <c r="P47" s="86" t="s">
        <v>124</v>
      </c>
      <c r="Q47" s="86" t="s">
        <v>124</v>
      </c>
      <c r="R47" s="86" t="s">
        <v>124</v>
      </c>
      <c r="S47" s="86" t="s">
        <v>124</v>
      </c>
      <c r="T47" s="86" t="s">
        <v>124</v>
      </c>
      <c r="U47" s="86" t="s">
        <v>124</v>
      </c>
      <c r="V47" s="86" t="s">
        <v>124</v>
      </c>
      <c r="W47" s="86" t="s">
        <v>124</v>
      </c>
      <c r="X47" s="86" t="s">
        <v>124</v>
      </c>
      <c r="Y47" s="86" t="s">
        <v>124</v>
      </c>
      <c r="Z47" s="86" t="s">
        <v>124</v>
      </c>
      <c r="AA47" s="86" t="s">
        <v>124</v>
      </c>
      <c r="AB47" s="86" t="s">
        <v>124</v>
      </c>
      <c r="AC47" s="86" t="s">
        <v>124</v>
      </c>
      <c r="AD47" s="86" t="s">
        <v>124</v>
      </c>
      <c r="AE47" s="86" t="s">
        <v>124</v>
      </c>
      <c r="AF47" s="86" t="s">
        <v>124</v>
      </c>
      <c r="AG47" s="86" t="s">
        <v>124</v>
      </c>
      <c r="AH47" s="86" t="s">
        <v>124</v>
      </c>
      <c r="AI47" s="86" t="s">
        <v>124</v>
      </c>
      <c r="AJ47" s="86" t="s">
        <v>124</v>
      </c>
      <c r="AK47" s="86" t="s">
        <v>124</v>
      </c>
      <c r="AL47" s="86" t="s">
        <v>124</v>
      </c>
      <c r="AM47" s="86" t="s">
        <v>124</v>
      </c>
      <c r="AN47" s="86" t="s">
        <v>124</v>
      </c>
      <c r="AO47" s="86" t="s">
        <v>124</v>
      </c>
      <c r="AP47" s="86" t="s">
        <v>124</v>
      </c>
      <c r="AQ47" s="86" t="s">
        <v>124</v>
      </c>
      <c r="AR47" s="86" t="s">
        <v>124</v>
      </c>
      <c r="AS47" s="86" t="s">
        <v>124</v>
      </c>
      <c r="AT47" s="86" t="s">
        <v>124</v>
      </c>
      <c r="AU47" s="86" t="s">
        <v>124</v>
      </c>
      <c r="AV47" s="86" t="s">
        <v>124</v>
      </c>
      <c r="AW47" s="86" t="s">
        <v>124</v>
      </c>
      <c r="AX47" s="86" t="s">
        <v>124</v>
      </c>
      <c r="AY47" s="86" t="s">
        <v>124</v>
      </c>
      <c r="AZ47" s="86" t="s">
        <v>124</v>
      </c>
      <c r="BA47" s="86" t="s">
        <v>124</v>
      </c>
      <c r="BB47" s="86" t="s">
        <v>124</v>
      </c>
      <c r="BC47" s="86" t="s">
        <v>124</v>
      </c>
      <c r="BD47" s="86" t="s">
        <v>124</v>
      </c>
      <c r="BE47" s="86" t="s">
        <v>124</v>
      </c>
      <c r="BF47" s="86" t="s">
        <v>124</v>
      </c>
      <c r="BG47" s="86" t="s">
        <v>124</v>
      </c>
      <c r="BH47" s="86" t="s">
        <v>124</v>
      </c>
      <c r="BI47" s="86" t="s">
        <v>124</v>
      </c>
      <c r="BJ47" s="86" t="s">
        <v>124</v>
      </c>
      <c r="BK47" s="86" t="s">
        <v>124</v>
      </c>
      <c r="BL47" s="86" t="s">
        <v>124</v>
      </c>
      <c r="BM47" s="86" t="s">
        <v>124</v>
      </c>
    </row>
    <row r="48">
      <c r="B48" s="84"/>
      <c r="E48" s="84"/>
      <c r="F48" s="30" t="str">
        <f t="array" ref="F48">SUBSTITUTE(
  LET(
    voter, F1,
    voterCaps, UPPER(F1),
    points, F2:F29,
    names, $E2:$E29,
    six, IFERROR(INDEX(names, MATCH(6, points, 0)), "nobody"),
    seven, IFERROR(INDEX(names, MATCH(7, points, 0)), "nobody"),
    twelve, IFERROR(INDEX(names, MATCH(12, points, 0)), "nobody"),
    "VOTER 1: " &amp; voterCaps &amp; CHAR(10) &amp;
    "6 points go to " &amp; six &amp; ", 7 points go to " &amp; seven &amp; CHAR(10) &amp;
    "12 POINTS FROM " &amp; voterCaps &amp; " GO TO " &amp; UPPER(twelve) &amp; "."
  ),
  """", ""
)</f>
        <v>VOTER 1: WAITING IIST OF SHELLEY &amp; NICI
6 points go to Emsfrynt, 7 points go to Rehi Kaita
12 POINTS FROM WAITING IIST OF SHELLEY &amp; NICI GO TO REYM-L-DNEURB.</v>
      </c>
      <c r="G48" s="30" t="str">
        <f t="shared" ref="G48:BM48" si="39">LET(
  voter, G1,
  voterCaps, UPPER(G1),
  points, G2:G29,
  names, $E2:$E29,
  six, IFERROR(INDEX(names, MATCH(6, points, 0)), "nobody"),
  seven, IFERROR(INDEX(names, MATCH(7, points, 0)), "nobody"),
  twelve, IFERROR(INDEX(names, MATCH(12, points, 0)), "nobody"),
  "VOTER " &amp; (COLUMN(G1)-COLUMN($F$1)+1) &amp; ": " &amp; voterCaps &amp; CHAR(10) &amp;
  "6 points go to " &amp; six &amp; ", 7 points go to " &amp; seven &amp; CHAR(10) &amp;
  "12 POINTS FROM " &amp; voterCaps &amp; " GO TO " &amp; UPPER(twelve) &amp; "."
)
</f>
        <v>VOTER 2: DEŽ REPUBLIC
6 points go to Roxma Nova, 7 points go to Comino
12 POINTS FROM DEŽ REPUBLIC GO TO KORDAVIAN ISLANDS.</v>
      </c>
      <c r="H48" s="30" t="str">
        <f t="shared" si="39"/>
        <v>VOTER 3: BALEARICA ISLAND
6 points go to Reym-L-Dneurb, 7 points go to Tamausia &amp; Deltannor
12 POINTS FROM BALEARICA ISLAND GO TO TANOIRO.</v>
      </c>
      <c r="I48" s="30" t="str">
        <f t="shared" si="39"/>
        <v>VOTER 4: ROSELAND
6 points go to Tamausia &amp; Deltannor, 7 points go to Ugaly
12 POINTS FROM ROSELAND GO TO SZIMBAYA KINGDOM.</v>
      </c>
      <c r="J48" s="30" t="str">
        <f t="shared" si="39"/>
        <v>VOTER 5: SZIMBAYA KINGDOM
6 points go to Tanoiro, 7 points go to Tamausia &amp; Deltannor
12 POINTS FROM SZIMBAYA KINGDOM GO TO RUMIA.</v>
      </c>
      <c r="K48" s="30" t="str">
        <f t="shared" si="39"/>
        <v>VOTER 6: SVOBODNIA
6 points go to New Bander State, 7 points go to Dalisska
12 POINTS FROM SVOBODNIA GO TO REHI KAITA.</v>
      </c>
      <c r="L48" s="30" t="str">
        <f t="shared" si="39"/>
        <v>VOTER 7: MERIDIA
6 points go to Vylkuzeme, 7 points go to Rumia
12 POINTS FROM MERIDIA GO TO UGALY.</v>
      </c>
      <c r="M48" s="30" t="str">
        <f t="shared" si="39"/>
        <v>VOTER 8: ADAMSBURG
6 points go to Ugaly, 7 points go to Dež Republic
12 POINTS FROM ADAMSBURG GO TO REYM-L-DNEURB.</v>
      </c>
      <c r="N48" s="30" t="str">
        <f t="shared" si="39"/>
        <v>VOTER 9: ÖÖSINGIMÄED
6 points go to New Acadia, 7 points go to Tanoiro
12 POINTS FROM ÖÖSINGIMÄED GO TO REYM-L-DNEURB.</v>
      </c>
      <c r="O48" s="30" t="str">
        <f t="shared" si="39"/>
        <v>VOTER 10: TROLLHEIMR
6 points go to Aimūlli, 7 points go to Kordavian Islands
12 POINTS FROM TROLLHEIMR GO TO RUMIA.</v>
      </c>
      <c r="P48" s="30" t="str">
        <f t="shared" si="39"/>
        <v>VOTER 11: HALITO
6 points go to Reym-L-Dneurb, 7 points go to Szimbaya Kingdom
12 POINTS FROM HALITO GO TO DALISSKA.</v>
      </c>
      <c r="Q48" s="30" t="str">
        <f t="shared" si="39"/>
        <v>VOTER 12: COMINO
6 points go to New Bander State, 7 points go to Xochimilia
12 POINTS FROM COMINO GO TO INSOMNÉA.</v>
      </c>
      <c r="R48" s="30" t="str">
        <f t="shared" si="39"/>
        <v>VOTER 13: REDWOOD REPUBLIC
6 points go to Vylkuzeme, 7 points go to Dež Republic
12 POINTS FROM REDWOOD REPUBLIC GO TO KORDAVIAN ISLANDS.</v>
      </c>
      <c r="S48" s="30" t="str">
        <f t="shared" si="39"/>
        <v>VOTER 14: TÍR AN ABHAINN
6 points go to Tanoiro, 7 points go to Öösingimäed
12 POINTS FROM TÍR AN ABHAINN GO TO EMSFRYNT.</v>
      </c>
      <c r="T48" s="30" t="str">
        <f t="shared" si="39"/>
        <v>VOTER 15: DALISSKA
6 points go to Tanoiro, 7 points go to Insomnéa
12 POINTS FROM DALISSKA GO TO AIMŪLLI.</v>
      </c>
      <c r="U48" s="30" t="str">
        <f t="shared" si="39"/>
        <v>VOTER 16: KAMANDÉ
6 points go to New Acadia, 7 points go to Aimūlli
12 POINTS FROM KAMANDÉ GO TO WAITING IIST OF SHELLEY &amp; NICI.</v>
      </c>
      <c r="V48" s="30" t="str">
        <f t="shared" si="39"/>
        <v>VOTER 17: GRIFFIN EMPIRE
6 points go to Szimbaya Kingdom, 7 points go to Emsfrynt
12 POINTS FROM GRIFFIN EMPIRE GO TO UGALY.</v>
      </c>
      <c r="W48" s="30" t="str">
        <f t="shared" si="39"/>
        <v>VOTER 18: FIERRARIA
6 points go to Rehi Kaita, 7 points go to Kimmystan
12 POINTS FROM FIERRARIA GO TO SZIMBAYA KINGDOM.</v>
      </c>
      <c r="X48" s="30" t="str">
        <f t="shared" si="39"/>
        <v>VOTER 19: NEW ACADIA
6 points go to Comino, 7 points go to Fierraria
12 POINTS FROM NEW ACADIA GO TO RUMIA.</v>
      </c>
      <c r="Y48" s="30" t="str">
        <f t="shared" si="39"/>
        <v>VOTER 20: EMSFRYNT
6 points go to Dež Republic, 7 points go to Tanoiro
12 POINTS FROM EMSFRYNT GO TO REYM-L-DNEURB.</v>
      </c>
      <c r="Z48" s="30" t="str">
        <f t="shared" si="39"/>
        <v>VOTER 21: SODERMALM
6 points go to Dalisska, 7 points go to Orsa
12 POINTS FROM SODERMALM GO TO INSOMNÉA.</v>
      </c>
      <c r="AA48" s="30" t="str">
        <f t="shared" si="39"/>
        <v>VOTER 22: DWYFORLAND
6 points go to Rumia, 7 points go to Dež Republic
12 POINTS FROM DWYFORLAND GO TO SZIMBAYA KINGDOM.</v>
      </c>
      <c r="AB48" s="30" t="str">
        <f t="shared" si="39"/>
        <v>VOTER 23: MARCOBIA
6 points go to Roxma Nova, 7 points go to Södermalm
12 POINTS FROM MARCOBIA GO TO RUMIA.</v>
      </c>
      <c r="AC48" s="30" t="str">
        <f t="shared" si="39"/>
        <v>VOTER 24: RUMIA
6 points go to Waiting Iist of Shelley &amp; Nici, 7 points go to Kordavian Islands
12 POINTS FROM RUMIA GO TO AIMŪLLI.</v>
      </c>
      <c r="AD48" s="30" t="str">
        <f t="shared" si="39"/>
        <v>VOTER 25: VYLKUZEME
6 points go to New Acadia, 7 points go to Aimūlli
12 POINTS FROM VYLKUZEME GO TO RUMIA.</v>
      </c>
      <c r="AE48" s="30" t="str">
        <f t="shared" si="39"/>
        <v>VOTER 26: GRAND DUCHY OF STRENCI
6 points go to Fierraria, 7 points go to Aimūlli
12 POINTS FROM GRAND DUCHY OF STRENCI GO TO SÖDERMALM.</v>
      </c>
      <c r="AF48" s="30" t="str">
        <f t="shared" si="39"/>
        <v>VOTER 27: AIMŪLLI
6 points go to Tamausia &amp; Deltannor, 7 points go to Rumia
12 POINTS FROM AIMŪLLI GO TO NEW ACADIA.</v>
      </c>
      <c r="AG48" s="30" t="str">
        <f t="shared" si="39"/>
        <v>VOTER 28: REYM-L-DNEURB
6 points go to Rehi Kaita, 7 points go to Orsa
12 POINTS FROM REYM-L-DNEURB GO TO KIMMYSTAN.</v>
      </c>
      <c r="AH48" s="30" t="str">
        <f t="shared" si="39"/>
        <v>VOTER 29: YAPONESIA
6 points go to Kimmystan, 7 points go to Papendink
12 POINTS FROM YAPONESIA GO TO GRAND DUCHY OF STRENCI.</v>
      </c>
      <c r="AI48" s="30" t="str">
        <f t="shared" si="39"/>
        <v>VOTER 30: BEGONIA
6 points go to New Bander State, 7 points go to Xochimilia
12 POINTS FROM BEGONIA GO TO PAPENDINK.</v>
      </c>
      <c r="AJ48" s="30" t="str">
        <f t="shared" si="39"/>
        <v>VOTER 31: SAKURALIA
6 points go to Rumia, 7 points go to Orsa
12 POINTS FROM SAKURALIA GO TO AIMŪLLI.</v>
      </c>
      <c r="AK48" s="30" t="str">
        <f t="shared" si="39"/>
        <v>VOTER 32: UGALY
6 points go to Papendink, 7 points go to Xochimilia
12 POINTS FROM UGALY GO TO TAMAUSIA &amp; DELTANNOR.</v>
      </c>
      <c r="AL48" s="30" t="str">
        <f t="shared" si="39"/>
        <v>VOTER 33: PAPENDINK
6 points go to Xochimilia, 7 points go to Roxma Nova
12 POINTS FROM PAPENDINK GO TO ÖÖSINGIMÄED.</v>
      </c>
      <c r="AM48" s="30" t="str">
        <f t="shared" si="39"/>
        <v>VOTER 34: KIMMYSTAN
6 points go to Fierraria, 7 points go to Rumia
12 POINTS FROM KIMMYSTAN GO TO SZIMBAYA KINGDOM.</v>
      </c>
      <c r="AN48" s="30" t="str">
        <f t="shared" si="39"/>
        <v>VOTER 35: ROXMA NOVA
6 points go to Dalisska, 7 points go to Insomnéa
12 POINTS FROM ROXMA NOVA GO TO ORSA.</v>
      </c>
      <c r="AO48" s="30" t="str">
        <f t="shared" si="39"/>
        <v>VOTER 36: CYDONI-GIBBERIA
6 points go to Tamausia &amp; Deltannor, 7 points go to Emsfrynt
12 POINTS FROM CYDONI-GIBBERIA GO TO UGALY.</v>
      </c>
      <c r="AP48" s="30" t="str">
        <f t="shared" si="39"/>
        <v>VOTER 37: MATIMATI
6 points go to Kordavian Islands, 7 points go to Södermalm
12 POINTS FROM MATIMATI GO TO TANOIRO.</v>
      </c>
      <c r="AQ48" s="30" t="str">
        <f t="shared" si="39"/>
        <v>VOTER 38: XOCHIMILIA
6 points go to Insomnéa, 7 points go to Dež Republic
12 POINTS FROM XOCHIMILIA GO TO ÖÖSINGIMÄED.</v>
      </c>
      <c r="AR48" s="30" t="str">
        <f t="shared" si="39"/>
        <v>VOTER 39: REHI KAITA
6 points go to Öösingimäed, 7 points go to Roxma Nova
12 POINTS FROM REHI KAITA GO TO PAPENDINK.</v>
      </c>
      <c r="AS48" s="30" t="str">
        <f t="shared" si="39"/>
        <v>VOTER 40: NEW BANDER STATE
6 points go to Roxma Nova, 7 points go to New Acadia
12 POINTS FROM NEW BANDER STATE GO TO XOCHIMILIA.</v>
      </c>
      <c r="AT48" s="30" t="str">
        <f t="shared" si="39"/>
        <v>VOTER 41: ZOMBIRA
6 points go to Emsfrynt, 7 points go to Tanoiro
12 POINTS FROM ZOMBIRA GO TO WAITING IIST OF SHELLEY &amp; NICI.</v>
      </c>
      <c r="AU48" s="30" t="str">
        <f t="shared" si="39"/>
        <v>VOTER 42: TANOIRO
6 points go to Tamausia &amp; Deltannor, 7 points go to Öösingimäed
12 POINTS FROM TANOIRO GO TO UGALY.</v>
      </c>
      <c r="AV48" s="30" t="str">
        <f t="shared" si="39"/>
        <v>VOTER 43: KORDAVIAN ISLANDS
6 points go to New Acadia, 7 points go to Aimūlli
12 POINTS FROM KORDAVIAN ISLANDS GO TO RUMIA.</v>
      </c>
      <c r="AW48" s="30" t="str">
        <f t="shared" si="39"/>
        <v>VOTER 44: INZINIMIRIT
6 points go to Södermalm, 7 points go to Dež Republic
12 POINTS FROM INZINIMIRIT GO TO ROXMA NOVA.</v>
      </c>
      <c r="AX48" s="30" t="str">
        <f t="shared" si="39"/>
        <v>VOTER 45: FERVOROSIA
6 points go to Tamausia &amp; Deltannor, 7 points go to Ugaly
12 POINTS FROM FERVOROSIA GO TO EMSFRYNT.</v>
      </c>
      <c r="AY48" s="30" t="str">
        <f t="shared" si="39"/>
        <v>VOTER 46: INSOMNEA
6 points go to Tcher-Racoi, 7 points go to New Bander State
12 POINTS FROM INSOMNEA GO TO COMINO.</v>
      </c>
      <c r="AZ48" s="30" t="str">
        <f t="shared" si="39"/>
        <v>VOTER 47: CARPENTARIA
6 points go to New Acadia, 7 points go to Grand Duchy of Strenci
12 POINTS FROM CARPENTARIA GO TO COMINO.</v>
      </c>
      <c r="BA48" s="30" t="str">
        <f t="shared" si="39"/>
        <v>VOTER 48: DOIRE
6 points go to Fierraria, 7 points go to Roxma Nova
12 POINTS FROM DOIRE GO TO ÖÖSINGIMÄED.</v>
      </c>
      <c r="BB48" s="30" t="str">
        <f t="shared" si="39"/>
        <v>VOTER 49: ORSA
6 points go to Rehi Kaita, 7 points go to Emsfrynt
12 POINTS FROM ORSA GO TO KIMMYSTAN.</v>
      </c>
      <c r="BC48" s="30" t="str">
        <f t="shared" si="39"/>
        <v>VOTER 50: TCHER-RACOI
6 points go to Kimmystan, 7 points go to Szimbaya Kingdom
12 POINTS FROM TCHER-RACOI GO TO XOCHIMILIA.</v>
      </c>
      <c r="BD48" s="30" t="str">
        <f t="shared" si="39"/>
        <v>VOTER 51: CALYPSO
6 points go to New Bander State, 7 points go to Dalisska
12 POINTS FROM CALYPSO GO TO KIMMYSTAN.</v>
      </c>
      <c r="BE48" s="30" t="str">
        <f t="shared" si="39"/>
        <v>VOTER 52: BIFLOVATIA
6 points go to Reym-L-Dneurb, 7 points go to Tanoiro
12 POINTS FROM BIFLOVATIA GO TO ÖÖSINGIMÄED.</v>
      </c>
      <c r="BF48" s="30" t="str">
        <f t="shared" si="39"/>
        <v>VOTER 53: TAMAUSIA &amp; DELTANNOR
6 points go to Szimbaya Kingdom, 7 points go to Fierraria
12 POINTS FROM TAMAUSIA &amp; DELTANNOR GO TO UGALY.</v>
      </c>
      <c r="BG48" s="30" t="str">
        <f t="shared" si="39"/>
        <v>VOTER 54: ENDÓRË
6 points go to New Acadia, 7 points go to Szimbaya Kingdom
12 POINTS FROM ENDÓRË GO TO TCHER-RACOI.</v>
      </c>
      <c r="BH48" s="30" t="str">
        <f t="shared" si="39"/>
        <v>VOTER 55: PERRYFORNIA
6 points go to Szimbaya Kingdom, 7 points go to Tamausia &amp; Deltannor
12 POINTS FROM PERRYFORNIA GO TO UGALY.</v>
      </c>
      <c r="BI48" s="30" t="str">
        <f t="shared" si="39"/>
        <v>VOTER 56: COLUMN 61
6 points go to nobody, 7 points go to nobody
12 POINTS FROM COLUMN 61 GO TO NOBODY.</v>
      </c>
      <c r="BJ48" s="30" t="str">
        <f t="shared" si="39"/>
        <v>VOTER 57: COLUMN 62
6 points go to nobody, 7 points go to nobody
12 POINTS FROM COLUMN 62 GO TO NOBODY.</v>
      </c>
      <c r="BK48" s="30" t="str">
        <f t="shared" si="39"/>
        <v>VOTER 58: COLUMN 63
6 points go to nobody, 7 points go to nobody
12 POINTS FROM COLUMN 63 GO TO NOBODY.</v>
      </c>
      <c r="BL48" s="30" t="str">
        <f t="shared" si="39"/>
        <v>VOTER 59: COLUMN 64
6 points go to nobody, 7 points go to nobody
12 POINTS FROM COLUMN 64 GO TO NOBODY.</v>
      </c>
      <c r="BM48" s="30" t="str">
        <f t="shared" si="39"/>
        <v>VOTER 60: WAITING LIST
6 points go to nobody, 7 points go to nobody
12 POINTS FROM WAITING LIST GO TO NOBODY.</v>
      </c>
    </row>
    <row r="49">
      <c r="B49" s="84"/>
      <c r="E49" s="84"/>
      <c r="R49" s="29">
        <v>67.0</v>
      </c>
      <c r="Z49" s="29">
        <v>67.0</v>
      </c>
      <c r="AT49" s="29">
        <v>67.0</v>
      </c>
      <c r="AZ49" s="29">
        <v>67.0</v>
      </c>
      <c r="BA49" s="29">
        <v>67.0</v>
      </c>
      <c r="BB49" s="29">
        <v>67.0</v>
      </c>
      <c r="BC49" s="29">
        <v>67.0</v>
      </c>
      <c r="BD49" s="29">
        <v>67.0</v>
      </c>
    </row>
    <row r="50">
      <c r="A50" s="87"/>
      <c r="B50" s="88"/>
      <c r="C50" s="87"/>
      <c r="D50" s="87"/>
      <c r="E50" s="88"/>
      <c r="F50" s="87" t="str">
        <f t="array" ref="F50">LET(
  names, $E2:$E29,
  data, $F2:INDEX($F2:$BM29, ROWS($E2:$E29), COLUMNS($F2:F2)),
  total, BYROW(data, LAMBDA(r, SUM(r))),
  colpts, F2:F29,
  sorted, SORT({total, colpts, names}, 1, FALSE),
  totalsCol, INDEX(sorted,,1),
  ptsCol, INDEX(sorted,,2),
  namesCol, INDEX(sorted,,3),
  TEXTJOIN(CHAR(10), TRUE,
    TEXT(totalsCol, "000") &amp; CHAR(9) &amp;
      IF(ptsCol="","__", IF(ptsCol&lt;10, "_"&amp;ptsCol, ptsCol)) &amp; CHAR(9) &amp;
      namesCol
  )
)
</f>
        <v>012	12	Reym-L-Dneurb
010	10	Ugaly
008	_8	Tamausia &amp; Deltannor
007	_7	Rehi Kaita
006	_6	Emsfrynt
005	_5	Papendink
004	_4	Tanoiro
003	_3	Öösingimäed
002	_2	Dalisska
001	_1	Szimbaya Kingdom
000	__	Rumia
000	__	Roxma Nova
000	__	Aimūlli
000	__	Fierraria
000	__	Xochimilia
000	__	Kimmystan
000	__	Insomnéa
000	__	New Acadia
000	__	Södermalm
000	__	Kordavian Islands
000	__	Waiting Iist of Shelley &amp; Nici
000	__	Comino
000	__	New Bander State
000	__	Vylkuzeme
000	__	Dež Republic
000	__	Grand Duchy of Strenci
000	__	Orsa
000	__	Tcher-Racoi</v>
      </c>
      <c r="G50" s="87" t="str">
        <f t="array" ref="G50">LET(
  names, $E2:$E29,
  data, $F2:INDEX($F2:$BM29, ROWS($E2:$E29), COLUMNS($F2:G2)),
  total, BYROW(data, LAMBDA(r, SUM(r))),
  colpts, G2:G29,
  sorted, SORT({total, colpts, names}, 1, FALSE),
  totalsCol, INDEX(sorted,,1),
  ptsCol, INDEX(sorted,,2),
  namesCol, INDEX(sorted,,3),
  TEXTJOIN(CHAR(10), TRUE,
    TEXT(totalsCol, "000") &amp; CHAR(9) &amp;
      IF(ptsCol="","__", IF(ptsCol&lt;10, "_"&amp;ptsCol, ptsCol)) &amp; CHAR(9) &amp;
      namesCol
  )
)
</f>
        <v>012	__	Reym-L-Dneurb
012	_4	Tamausia &amp; Deltannor
012	12	Kordavian Islands
010	__	Ugaly
010	_3	Rehi Kaita
010	10	Waiting Iist of Shelley &amp; Nici
009	_5	Tanoiro
008	_8	Rumia
007	_7	Comino
006	_6	Roxma Nova
006	__	Emsfrynt
005	__	Papendink
003	__	Öösingimäed
003	_1	Dalisska
002	_2	Insomnéa
001	__	Szimbaya Kingdom
000	__	Aimūlli
000	__	Fierraria
000	__	Xochimilia
000	__	Kimmystan
000	__	New Acadia
000	__	Södermalm
000	__	New Bander State
000	__	Vylkuzeme
000	__	Dež Republic
000	__	Grand Duchy of Strenci
000	__	Orsa
000	__	Tcher-Racoi</v>
      </c>
      <c r="H50" s="87" t="str">
        <f t="array" ref="H50">LET(
  names, $E2:$E29,
  data, $F2:INDEX($F2:$BM29, ROWS($E2:$E29), COLUMNS($F2:H2)),
  total, BYROW(data, LAMBDA(r, SUM(r))),
  colpts, H2:H29,
  sorted, SORT({total, colpts, names}, 1, FALSE),
  totalsCol, INDEX(sorted,,1),
  ptsCol, INDEX(sorted,,2),
  namesCol, INDEX(sorted,,3),
  TEXTJOIN(CHAR(10), TRUE,
    TEXT(totalsCol, "000") &amp; CHAR(9) &amp;
      IF(ptsCol="","__", IF(ptsCol&lt;10, "_"&amp;ptsCol, ptsCol)) &amp; CHAR(9) &amp;
      namesCol
  )
)
</f>
        <v>021	12	Tanoiro
020	10	Waiting Iist of Shelley &amp; Nici
019	_7	Tamausia &amp; Deltannor
018	_6	Reym-L-Dneurb
018	_8	Rehi Kaita
015	_5	Ugaly
012	__	Kordavian Islands
008	__	Rumia
007	_2	Papendink
007	__	Comino
006	__	Roxma Nova
006	_4	Insomnéa
006	__	Emsfrynt
004	_1	Öösingimäed
003	_3	Xochimilia
003	__	Dalisska
001	__	Szimbaya Kingdom
000	__	Aimūlli
000	__	Fierraria
000	__	Kimmystan
000	__	New Acadia
000	__	Södermalm
000	__	New Bander State
000	__	Vylkuzeme
000	__	Dež Republic
000	__	Grand Duchy of Strenci
000	__	Orsa
000	__	Tcher-Racoi</v>
      </c>
      <c r="I50" s="87" t="str">
        <f t="array" ref="I50">LET(
  names, $E2:$E29,
  data, $F2:INDEX($F2:$BM29, ROWS($E2:$E29), COLUMNS($F2:I2)),
  total, BYROW(data, LAMBDA(r, SUM(r))),
  colpts, I2:I29,
  sorted, SORT({total, colpts, names}, 1, FALSE),
  totalsCol, INDEX(sorted,,1),
  ptsCol, INDEX(sorted,,2),
  namesCol, INDEX(sorted,,3),
  TEXTJOIN(CHAR(10), TRUE,
    TEXT(totalsCol, "000") &amp; CHAR(9) &amp;
      IF(ptsCol="","__", IF(ptsCol&lt;10, "_"&amp;ptsCol, ptsCol)) &amp; CHAR(9) &amp;
      namesCol
  )
)
</f>
        <v>029	_8	Tanoiro
025	_6	Tamausia &amp; Deltannor
022	_7	Ugaly
020	__	Waiting Iist of Shelley &amp; Nici
018	__	Reym-L-Dneurb
018	__	Rehi Kaita
017	10	Papendink
015	_3	Kordavian Islands
013	12	Szimbaya Kingdom
012	_4	Rumia
007	__	Comino
006	__	Roxma Nova
006	__	Insomnéa
006	__	Emsfrynt
005	_2	Dalisska
005	_5	Dež Republic
004	__	Öösingimäed
003	__	Xochimilia
001	_1	New Bander State
000	__	Aimūlli
000	__	Fierraria
000	__	Kimmystan
000	__	New Acadia
000	__	Södermalm
000	__	Vylkuzeme
000	__	Grand Duchy of Strenci
000	__	Orsa
000	__	Tcher-Racoi</v>
      </c>
      <c r="J50" s="87" t="str">
        <f t="array" ref="J50">LET(
  names, $E2:$E29,
  data, $F2:INDEX($F2:$BM29, ROWS($E2:$E29), COLUMNS($F2:J2)),
  total, BYROW(data, LAMBDA(r, SUM(r))),
  colpts, J2:J29,
  sorted, SORT({total, colpts, names}, 1, FALSE),
  totalsCol, INDEX(sorted,,1),
  ptsCol, INDEX(sorted,,2),
  namesCol, INDEX(sorted,,3),
  TEXTJOIN(CHAR(10), TRUE,
    TEXT(totalsCol, "000") &amp; CHAR(9) &amp;
      IF(ptsCol="","__", IF(ptsCol&lt;10, "_"&amp;ptsCol, ptsCol)) &amp; CHAR(9) &amp;
      namesCol
  )
)
</f>
        <v>035	_6	Tanoiro
032	_7	Tamausia &amp; Deltannor
026	_4	Ugaly
024	12	Rumia
023	_5	Reym-L-Dneurb
023	_8	Kordavian Islands
021	_1	Waiting Iist of Shelley &amp; Nici
018	__	Rehi Kaita
017	__	Papendink
016	10	Insomnéa
013	__	Szimbaya Kingdom
010	_3	Comino
008	_2	Roxma Nova
006	__	Emsfrynt
005	__	Dalisska
005	__	Dež Republic
004	__	Öösingimäed
003	__	Xochimilia
001	__	New Bander State
000	__	Aimūlli
000	__	Fierraria
000	__	Kimmystan
000	__	New Acadia
000	__	Södermalm
000	__	Vylkuzeme
000	__	Grand Duchy of Strenci
000	__	Orsa
000	__	Tcher-Racoi</v>
      </c>
      <c r="K50" s="87" t="str">
        <f t="array" ref="K50">LET(
  names, $E2:$E29,
  data, $F2:INDEX($F2:$BM29, ROWS($E2:$E29), COLUMNS($F2:K2)),
  total, BYROW(data, LAMBDA(r, SUM(r))),
  colpts, K2:K29,
  sorted, SORT({total, colpts, names}, 1, FALSE),
  totalsCol, INDEX(sorted,,1),
  ptsCol, INDEX(sorted,,2),
  namesCol, INDEX(sorted,,3),
  TEXTJOIN(CHAR(10), TRUE,
    TEXT(totalsCol, "000") &amp; CHAR(9) &amp;
      IF(ptsCol="","__", IF(ptsCol&lt;10, "_"&amp;ptsCol, ptsCol)) &amp; CHAR(9) &amp;
      namesCol
  )
)
</f>
        <v>043	_8	Tanoiro
036	10	Ugaly
032	__	Tamausia &amp; Deltannor
030	12	Rehi Kaita
026	_3	Reym-L-Dneurb
024	__	Rumia
023	__	Kordavian Islands
021	__	Waiting Iist of Shelley &amp; Nici
018	_5	Szimbaya Kingdom
017	__	Papendink
016	__	Insomnéa
012	_7	Dalisska
011	_1	Comino
008	__	Roxma Nova
008	_4	Öösingimäed
007	_6	New Bander State
006	__	Emsfrynt
005	__	Dež Republic
003	__	Xochimilia
002	_2	Kimmystan
000	__	Aimūlli
000	__	Fierraria
000	__	New Acadia
000	__	Södermalm
000	__	Vylkuzeme
000	__	Grand Duchy of Strenci
000	__	Orsa
000	__	Tcher-Racoi</v>
      </c>
      <c r="L50" s="87" t="str">
        <f t="array" ref="L50">LET(
  names, $E2:$E29,
  data, $F2:INDEX($F2:$BM29, ROWS($E2:$E29), COLUMNS($F2:L2)),
  total, BYROW(data, LAMBDA(r, SUM(r))),
  colpts, L2:L29,
  sorted, SORT({total, colpts, names}, 1, FALSE),
  totalsCol, INDEX(sorted,,1),
  ptsCol, INDEX(sorted,,2),
  namesCol, INDEX(sorted,,3),
  TEXTJOIN(CHAR(10), TRUE,
    TEXT(totalsCol, "000") &amp; CHAR(9) &amp;
      IF(ptsCol="","__", IF(ptsCol&lt;10, "_"&amp;ptsCol, ptsCol)) &amp; CHAR(9) &amp;
      namesCol
  )
)
</f>
        <v>048	12	Ugaly
043	__	Tanoiro
032	__	Tamausia &amp; Deltannor
031	_7	Rumia
030	__	Rehi Kaita
026	_8	Szimbaya Kingdom
026	__	Reym-L-Dneurb
025	_2	Kordavian Islands
021	__	Waiting Iist of Shelley &amp; Nici
021	10	Comino
017	__	Papendink
016	__	Insomnéa
012	_5	New Bander State
012	__	Dalisska
009	_1	Öösingimäed
009	_3	Emsfrynt
009	_4	Dež Republic
008	__	Roxma Nova
006	_6	Vylkuzeme
003	__	Xochimilia
002	__	Kimmystan
000	__	Aimūlli
000	__	Fierraria
000	__	New Acadia
000	__	Södermalm
000	__	Grand Duchy of Strenci
000	__	Orsa
000	__	Tcher-Racoi</v>
      </c>
      <c r="M50" s="87" t="str">
        <f t="array" ref="M50">LET(
  names, $E2:$E29,
  data, $F2:INDEX($F2:$BM29, ROWS($E2:$E29), COLUMNS($F2:M2)),
  total, BYROW(data, LAMBDA(r, SUM(r))),
  colpts, M2:M29,
  sorted, SORT({total, colpts, names}, 1, FALSE),
  totalsCol, INDEX(sorted,,1),
  ptsCol, INDEX(sorted,,2),
  namesCol, INDEX(sorted,,3),
  TEXTJOIN(CHAR(10), TRUE,
    TEXT(totalsCol, "000") &amp; CHAR(9) &amp;
      IF(ptsCol="","__", IF(ptsCol&lt;10, "_"&amp;ptsCol, ptsCol)) &amp; CHAR(9) &amp;
      namesCol
  )
)
</f>
        <v>054	_6	Ugaly
043	__	Tanoiro
038	12	Reym-L-Dneurb
038	_8	Rehi Kaita
035	_3	Tamausia &amp; Deltannor
031	__	Rumia
026	__	Szimbaya Kingdom
025	__	Kordavian Islands
023	_2	Comino
021	__	Waiting Iist of Shelley &amp; Nici
017	__	Papendink
016	__	Insomnéa
016	_4	New Bander State
016	_7	Dež Republic
012	__	Dalisska
010	10	Fierraria
009	__	Öösingimäed
009	__	Emsfrynt
008	__	Roxma Nova
008	_5	Xochimilia
006	__	Vylkuzeme
003	_1	Kimmystan
000	__	Aimūlli
000	__	New Acadia
000	__	Södermalm
000	__	Grand Duchy of Strenci
000	__	Orsa
000	__	Tcher-Racoi</v>
      </c>
      <c r="N50" s="87" t="str">
        <f t="array" ref="N50">LET(
  names, $E2:$E29,
  data, $F2:INDEX($F2:$BM29, ROWS($E2:$E29), COLUMNS($F2:N2)),
  total, BYROW(data, LAMBDA(r, SUM(r))),
  colpts, N2:N29,
  sorted, SORT({total, colpts, names}, 1, FALSE),
  totalsCol, INDEX(sorted,,1),
  ptsCol, INDEX(sorted,,2),
  namesCol, INDEX(sorted,,3),
  TEXTJOIN(CHAR(10), TRUE,
    TEXT(totalsCol, "000") &amp; CHAR(9) &amp;
      IF(ptsCol="","__", IF(ptsCol&lt;10, "_"&amp;ptsCol, ptsCol)) &amp; CHAR(9) &amp;
      namesCol
  )
)
</f>
        <v>054	__	Ugaly
050	_7	Tanoiro
050	12	Reym-L-Dneurb
045	10	Tamausia &amp; Deltannor
041	_3	Rehi Kaita
034	_8	Szimbaya Kingdom
031	__	Rumia
025	__	Kordavian Islands
023	__	Comino
021	__	Waiting Iist of Shelley &amp; Nici
017	__	Papendink
016	__	Insomnéa
016	__	New Bander State
016	__	Dež Republic
014	_4	Fierraria
013	_5	Xochimilia
012	__	Dalisska
009	_1	Roxma Nova
009	__	Öösingimäed
009	__	Emsfrynt
006	_6	New Acadia
006	__	Vylkuzeme
005	_2	Kimmystan
000	__	Aimūlli
000	__	Södermalm
000	__	Grand Duchy of Strenci
000	__	Orsa
000	__	Tcher-Racoi</v>
      </c>
      <c r="O50" s="87" t="str">
        <f t="array" ref="O50">LET(
  names, $E2:$E29,
  data, $F2:INDEX($F2:$BM29, ROWS($E2:$E29), COLUMNS($F2:O2)),
  total, BYROW(data, LAMBDA(r, SUM(r))),
  colpts, O2:O29,
  sorted, SORT({total, colpts, names}, 1, FALSE),
  totalsCol, INDEX(sorted,,1),
  ptsCol, INDEX(sorted,,2),
  namesCol, INDEX(sorted,,3),
  TEXTJOIN(CHAR(10), TRUE,
    TEXT(totalsCol, "000") &amp; CHAR(9) &amp;
      IF(ptsCol="","__", IF(ptsCol&lt;10, "_"&amp;ptsCol, ptsCol)) &amp; CHAR(9) &amp;
      namesCol
  )
)
</f>
        <v>054	__	Ugaly
050	__	Tanoiro
050	__	Reym-L-Dneurb
045	__	Tamausia &amp; Deltannor
043	12	Rumia
041	__	Rehi Kaita
034	__	Szimbaya Kingdom
032	_7	Kordavian Islands
029	_8	Waiting Iist of Shelley &amp; Nici
023	__	Comino
020	_4	Insomnéa
017	__	Papendink
016	__	New Bander State
016	10	Vylkuzeme
016	__	Dež Republic
014	__	Fierraria
013	__	Xochimilia
012	__	Dalisska
011	_5	New Acadia
010	_1	Roxma Nova
009	__	Öösingimäed
009	__	Emsfrynt
006	_6	Aimūlli
005	__	Kimmystan
003	_3	Södermalm
002	_2	Grand Duchy of Strenci
000	__	Orsa
000	__	Tcher-Racoi</v>
      </c>
      <c r="P50" s="87" t="str">
        <f t="array" ref="P50">LET(
  names, $E2:$E29,
  data, $F2:INDEX($F2:$BM29, ROWS($E2:$E29), COLUMNS($F2:P2)),
  total, BYROW(data, LAMBDA(r, SUM(r))),
  colpts, P2:P29,
  sorted, SORT({total, colpts, names}, 1, FALSE),
  totalsCol, INDEX(sorted,,1),
  ptsCol, INDEX(sorted,,2),
  namesCol, INDEX(sorted,,3),
  TEXTJOIN(CHAR(10), TRUE,
    TEXT(totalsCol, "000") &amp; CHAR(9) &amp;
      IF(ptsCol="","__", IF(ptsCol&lt;10, "_"&amp;ptsCol, ptsCol)) &amp; CHAR(9) &amp;
      namesCol
  )
)
</f>
        <v>064	10	Ugaly
056	_6	Reym-L-Dneurb
050	__	Tanoiro
046	_1	Tamausia &amp; Deltannor
045	_4	Rehi Kaita
043	__	Rumia
041	_7	Szimbaya Kingdom
032	__	Kordavian Islands
029	__	Waiting Iist of Shelley &amp; Nici
024	12	Dalisska
023	__	Comino
020	__	Insomnéa
019	_5	Fierraria
018	_8	Roxma Nova
018	_2	New Bander State
017	__	Papendink
016	__	Vylkuzeme
016	__	Dež Republic
013	__	Xochimilia
011	__	New Acadia
009	__	Öösingimäed
009	__	Emsfrynt
006	__	Aimūlli
005	__	Kimmystan
005	_3	Grand Duchy of Strenci
003	__	Södermalm
000	__	Orsa
000	__	Tcher-Racoi</v>
      </c>
      <c r="Q50" s="87" t="str">
        <f t="array" ref="Q50">LET(
  names, $E2:$E29,
  data, $F2:INDEX($F2:$BM29, ROWS($E2:$E29), COLUMNS($F2:Q2)),
  total, BYROW(data, LAMBDA(r, SUM(r))),
  colpts, Q2:Q29,
  sorted, SORT({total, colpts, names}, 1, FALSE),
  totalsCol, INDEX(sorted,,1),
  ptsCol, INDEX(sorted,,2),
  namesCol, INDEX(sorted,,3),
  TEXTJOIN(CHAR(10), TRUE,
    TEXT(totalsCol, "000") &amp; CHAR(9) &amp;
      IF(ptsCol="","__", IF(ptsCol&lt;10, "_"&amp;ptsCol, ptsCol)) &amp; CHAR(9) &amp;
      namesCol
  )
)
</f>
        <v>065	_1	Ugaly
056	__	Reym-L-Dneurb
053	_3	Tanoiro
051	10	Szimbaya Kingdom
046	__	Tamausia &amp; Deltannor
045	__	Rehi Kaita
043	__	Rumia
032	12	Insomnéa
032	__	Kordavian Islands
029	__	Waiting Iist of Shelley &amp; Nici
028	_4	Dalisska
027	_8	Fierraria
024	_6	New Bander State
023	__	Comino
020	_7	Xochimilia
018	__	Roxma Nova
017	__	Papendink
016	__	Vylkuzeme
016	__	Dež Republic
011	__	New Acadia
010	_5	Kimmystan
009	__	Öösingimäed
009	__	Emsfrynt
007	_2	Grand Duchy of Strenci
006	__	Aimūlli
003	__	Södermalm
000	__	Orsa
000	__	Tcher-Racoi</v>
      </c>
      <c r="R50" s="87" t="str">
        <f t="array" ref="R50">LET(
  names, $E2:$E29,
  data, $F2:INDEX($F2:$BM29, ROWS($E2:$E29), COLUMNS($F2:R2)),
  total, BYROW(data, LAMBDA(r, SUM(r))),
  colpts, R2:R29,
  sorted, SORT({total, colpts, names}, 1, FALSE),
  totalsCol, INDEX(sorted,,1),
  ptsCol, INDEX(sorted,,2),
  namesCol, INDEX(sorted,,3),
  TEXTJOIN(CHAR(10), TRUE,
    TEXT(totalsCol, "000") &amp; CHAR(9) &amp;
      IF(ptsCol="","__", IF(ptsCol&lt;10, "_"&amp;ptsCol, ptsCol)) &amp; CHAR(9) &amp;
      namesCol
  )
)
</f>
        <v>067	_2	Ugaly
057	_1	Reym-L-Dneurb
053	10	Rumia
053	__	Tanoiro
051	__	Szimbaya Kingdom
046	__	Tamausia &amp; Deltannor
045	__	Rehi Kaita
044	12	Kordavian Islands
033	_4	Waiting Iist of Shelley &amp; Nici
032	__	Insomnéa
028	__	Dalisska
027	__	Fierraria
024	__	New Bander State
023	__	Comino
023	_7	Dež Republic
022	_6	Vylkuzeme
020	__	Xochimilia
019	_8	New Acadia
018	__	Roxma Nova
017	__	Papendink
014	_5	Emsfrynt
010	__	Kimmystan
009	__	Öösingimäed
009	_3	Aimūlli
007	__	Grand Duchy of Strenci
003	__	Södermalm
000	__	Orsa
000	__	Tcher-Racoi</v>
      </c>
      <c r="S50" s="87" t="str">
        <f t="array" ref="S50">LET(
  names, $E2:$E29,
  data, $F2:INDEX($F2:$BM29, ROWS($E2:$E29), COLUMNS($F2:S2)),
  total, BYROW(data, LAMBDA(r, SUM(r))),
  colpts, S2:S29,
  sorted, SORT({total, colpts, names}, 1, FALSE),
  totalsCol, INDEX(sorted,,1),
  ptsCol, INDEX(sorted,,2),
  namesCol, INDEX(sorted,,3),
  TEXTJOIN(CHAR(10), TRUE,
    TEXT(totalsCol, "000") &amp; CHAR(9) &amp;
      IF(ptsCol="","__", IF(ptsCol&lt;10, "_"&amp;ptsCol, ptsCol)) &amp; CHAR(9) &amp;
      namesCol
  )
)
</f>
        <v>069	_2	Ugaly
061	_4	Reym-L-Dneurb
059	_6	Tanoiro
054	_1	Rumia
051	__	Szimbaya Kingdom
046	__	Tamausia &amp; Deltannor
045	__	Rehi Kaita
044	__	Kordavian Islands
033	__	Waiting Iist of Shelley &amp; Nici
032	_5	Fierraria
032	__	Insomnéa
028	__	Dalisska
026	12	Emsfrynt
024	__	New Bander State
023	__	Comino
023	__	Dež Republic
022	_3	New Acadia
022	__	Vylkuzeme
020	__	Xochimilia
018	__	Roxma Nova
017	_8	Aimūlli
017	__	Papendink
016	_7	Öösingimäed
013	10	Södermalm
010	__	Kimmystan
007	__	Grand Duchy of Strenci
000	__	Orsa
000	__	Tcher-Racoi</v>
      </c>
      <c r="T50" s="87" t="str">
        <f t="array" ref="T50">LET(
  names, $E2:$E29,
  data, $F2:INDEX($F2:$BM29, ROWS($E2:$E29), COLUMNS($F2:T2)),
  total, BYROW(data, LAMBDA(r, SUM(r))),
  colpts, T2:T29,
  sorted, SORT({total, colpts, names}, 1, FALSE),
  totalsCol, INDEX(sorted,,1),
  ptsCol, INDEX(sorted,,2),
  namesCol, INDEX(sorted,,3),
  TEXTJOIN(CHAR(10), TRUE,
    TEXT(totalsCol, "000") &amp; CHAR(9) &amp;
      IF(ptsCol="","__", IF(ptsCol&lt;10, "_"&amp;ptsCol, ptsCol)) &amp; CHAR(9) &amp;
      namesCol
  )
)
</f>
        <v>069	__	Ugaly
065	_6	Tanoiro
061	__	Reym-L-Dneurb
054	__	Rumia
051	__	Szimbaya Kingdom
050	_4	Tamausia &amp; Deltannor
045	__	Rehi Kaita
044	__	Kordavian Islands
039	_7	Insomnéa
033	__	Waiting Iist of Shelley &amp; Nici
032	__	Fierraria
029	12	Aimūlli
028	__	Dalisska
027	10	Papendink
026	__	Emsfrynt
024	_1	Comino
024	__	New Bander State
023	_5	Roxma Nova
023	__	Dež Republic
022	__	New Acadia
022	__	Vylkuzeme
020	__	Xochimilia
019	_3	Öösingimäed
018	_8	Kimmystan
013	__	Södermalm
007	__	Grand Duchy of Strenci
002	_2	Orsa
000	__	Tcher-Racoi</v>
      </c>
      <c r="U50" s="87" t="str">
        <f t="array" ref="U50">LET(
  names, $E2:$E29,
  data, $F2:INDEX($F2:$BM29, ROWS($E2:$E29), COLUMNS($F2:U2)),
  total, BYROW(data, LAMBDA(r, SUM(r))),
  colpts, U2:U29,
  sorted, SORT({total, colpts, names}, 1, FALSE),
  totalsCol, INDEX(sorted,,1),
  ptsCol, INDEX(sorted,,2),
  namesCol, INDEX(sorted,,3),
  TEXTJOIN(CHAR(10), TRUE,
    TEXT(totalsCol, "000") &amp; CHAR(9) &amp;
      IF(ptsCol="","__", IF(ptsCol&lt;10, "_"&amp;ptsCol, ptsCol)) &amp; CHAR(9) &amp;
      namesCol
  )
)
</f>
        <v>069	__	Ugaly
065	__	Tanoiro
064	10	Rumia
063	_2	Reym-L-Dneurb
051	__	Szimbaya Kingdom
050	__	Tamausia &amp; Deltannor
048	_4	Kordavian Islands
047	_8	Insomnéa
045	__	Rehi Kaita
045	12	Waiting Iist of Shelley &amp; Nici
036	_7	Aimūlli
035	_3	Fierraria
032	_5	Papendink
028	_6	New Acadia
028	__	Dalisska
027	_1	Emsfrynt
024	__	Comino
024	__	New Bander State
023	__	Roxma Nova
023	__	Dež Republic
022	__	Vylkuzeme
020	__	Xochimilia
019	__	Öösingimäed
018	__	Kimmystan
013	__	Södermalm
007	__	Grand Duchy of Strenci
002	__	Orsa
000	__	Tcher-Racoi</v>
      </c>
      <c r="V50" s="87" t="str">
        <f t="array" ref="V50">LET(
  names, $E2:$E29,
  data, $F2:INDEX($F2:$BM29, ROWS($E2:$E29), COLUMNS($F2:V2)),
  total, BYROW(data, LAMBDA(r, SUM(r))),
  colpts, V2:V29,
  sorted, SORT({total, colpts, names}, 1, FALSE),
  totalsCol, INDEX(sorted,,1),
  ptsCol, INDEX(sorted,,2),
  namesCol, INDEX(sorted,,3),
  TEXTJOIN(CHAR(10), TRUE,
    TEXT(totalsCol, "000") &amp; CHAR(9) &amp;
      IF(ptsCol="","__", IF(ptsCol&lt;10, "_"&amp;ptsCol, ptsCol)) &amp; CHAR(9) &amp;
      namesCol
  )
)
</f>
        <v>081	12	Ugaly
065	__	Tanoiro
064	__	Rumia
063	__	Reym-L-Dneurb
057	_6	Szimbaya Kingdom
055	_8	Insomnéa
051	_1	Tamausia &amp; Deltannor
049	_4	Rehi Kaita
048	__	Kordavian Islands
045	__	Waiting Iist of Shelley &amp; Nici
036	__	Aimūlli
035	__	Fierraria
034	_7	Emsfrynt
032	__	Papendink
031	_3	Dalisska
030	10	Xochimilia
028	__	New Acadia
024	_5	Öösingimäed
024	__	Comino
024	__	New Bander State
023	__	Roxma Nova
023	__	Dež Republic
022	__	Vylkuzeme
018	__	Kimmystan
013	__	Södermalm
007	__	Grand Duchy of Strenci
004	_2	Orsa
000	__	Tcher-Racoi</v>
      </c>
      <c r="W50" s="87" t="str">
        <f t="array" ref="W50">LET(
  names, $E2:$E29,
  data, $F2:INDEX($F2:$BM29, ROWS($E2:$E29), COLUMNS($F2:W2)),
  total, BYROW(data, LAMBDA(r, SUM(r))),
  colpts, W2:W29,
  sorted, SORT({total, colpts, names}, 1, FALSE),
  totalsCol, INDEX(sorted,,1),
  ptsCol, INDEX(sorted,,2),
  namesCol, INDEX(sorted,,3),
  TEXTJOIN(CHAR(10), TRUE,
    TEXT(totalsCol, "000") &amp; CHAR(9) &amp;
      IF(ptsCol="","__", IF(ptsCol&lt;10, "_"&amp;ptsCol, ptsCol)) &amp; CHAR(9) &amp;
      namesCol
  )
)
</f>
        <v>081	__	Ugaly
074	10	Rumia
069	_4	Tanoiro
069	12	Szimbaya Kingdom
063	__	Reym-L-Dneurb
055	_6	Rehi Kaita
055	__	Insomnéa
052	_1	Tamausia &amp; Deltannor
048	__	Kordavian Islands
045	__	Waiting Iist of Shelley &amp; Nici
038	_2	Aimūlli
035	__	Fierraria
035	_3	Papendink
034	__	Emsfrynt
032	_8	Öösingimäed
031	__	Dalisska
030	__	Xochimilia
028	_5	Roxma Nova
028	__	New Acadia
025	_7	Kimmystan
024	__	Comino
024	__	New Bander State
023	__	Dež Republic
022	__	Vylkuzeme
013	__	Södermalm
007	__	Grand Duchy of Strenci
004	__	Orsa
000	__	Tcher-Racoi</v>
      </c>
      <c r="X50" s="87" t="str">
        <f t="array" ref="X50">LET(
  names, $E2:$E29,
  data, $F2:INDEX($F2:$BM29, ROWS($E2:$E29), COLUMNS($F2:X2)),
  total, BYROW(data, LAMBDA(r, SUM(r))),
  colpts, X2:X29,
  sorted, SORT({total, colpts, names}, 1, FALSE),
  totalsCol, INDEX(sorted,,1),
  ptsCol, INDEX(sorted,,2),
  namesCol, INDEX(sorted,,3),
  TEXTJOIN(CHAR(10), TRUE,
    TEXT(totalsCol, "000") &amp; CHAR(9) &amp;
      IF(ptsCol="","__", IF(ptsCol&lt;10, "_"&amp;ptsCol, ptsCol)) &amp; CHAR(9) &amp;
      namesCol
  )
)
</f>
        <v>086	_5	Ugaly
086	12	Rumia
072	_3	Tanoiro
071	_2	Szimbaya Kingdom
063	__	Reym-L-Dneurb
060	_8	Tamausia &amp; Deltannor
055	__	Rehi Kaita
055	__	Insomnéa
049	_1	Kordavian Islands
045	__	Waiting Iist of Shelley &amp; Nici
042	_7	Fierraria
038	__	Aimūlli
035	__	Papendink
034	__	Emsfrynt
034	10	New Bander State
032	__	Öösingimäed
031	__	Dalisska
030	__	Xochimilia
030	_6	Comino
028	__	Roxma Nova
028	__	New Acadia
025	__	Kimmystan
023	__	Dež Republic
022	__	Vylkuzeme
017	_4	Södermalm
007	__	Grand Duchy of Strenci
004	__	Orsa
000	__	Tcher-Racoi</v>
      </c>
      <c r="Y50" s="87" t="str">
        <f t="array" ref="Y50">LET(
  names, $E2:$E29,
  data, $F2:INDEX($F2:$BM29, ROWS($E2:$E29), COLUMNS($F2:Y2)),
  total, BYROW(data, LAMBDA(r, SUM(r))),
  colpts, Y2:Y29,
  sorted, SORT({total, colpts, names}, 1, FALSE),
  totalsCol, INDEX(sorted,,1),
  ptsCol, INDEX(sorted,,2),
  namesCol, INDEX(sorted,,3),
  TEXTJOIN(CHAR(10), TRUE,
    TEXT(totalsCol, "000") &amp; CHAR(9) &amp;
      IF(ptsCol="","__", IF(ptsCol&lt;10, "_"&amp;ptsCol, ptsCol)) &amp; CHAR(9) &amp;
      namesCol
  )
)
</f>
        <v>096	10	Ugaly
086	__	Rumia
079	_7	Tanoiro
076	_5	Szimbaya Kingdom
075	12	Reym-L-Dneurb
062	_2	Tamausia &amp; Deltannor
055	__	Rehi Kaita
055	__	Insomnéa
049	__	Kordavian Islands
045	__	Waiting Iist of Shelley &amp; Nici
042	__	Fierraria
038	__	Aimūlli
035	__	Papendink
034	__	Emsfrynt
034	_4	Comino
034	__	New Bander State
032	__	Öösingimäed
031	__	Dalisska
030	__	Xochimilia
029	_1	Roxma Nova
029	_6	Dež Republic
028	__	New Acadia
025	__	Kimmystan
022	__	Vylkuzeme
020	_3	Södermalm
015	_8	Grand Duchy of Strenci
004	__	Orsa
000	__	Tcher-Racoi</v>
      </c>
      <c r="Z50" s="87" t="str">
        <f t="array" ref="Z50">LET(
  names, $E2:$E29,
  data, $F2:INDEX($F2:$BM29, ROWS($E2:$E29), COLUMNS($F2:Z2)),
  total, BYROW(data, LAMBDA(r, SUM(r))),
  colpts, Z2:Z29,
  sorted, SORT({total, colpts, names}, 1, FALSE),
  totalsCol, INDEX(sorted,,1),
  ptsCol, INDEX(sorted,,2),
  namesCol, INDEX(sorted,,3),
  TEXTJOIN(CHAR(10), TRUE,
    TEXT(totalsCol, "000") &amp; CHAR(9) &amp;
      IF(ptsCol="","__", IF(ptsCol&lt;10, "_"&amp;ptsCol, ptsCol)) &amp; CHAR(9) &amp;
      namesCol
  )
)
</f>
        <v>097	_1	Ugaly
086	__	Rumia
079	__	Tanoiro
076	__	Szimbaya Kingdom
075	__	Reym-L-Dneurb
067	12	Insomnéa
062	__	Tamausia &amp; Deltannor
055	__	Rehi Kaita
049	__	Kordavian Islands
047	_2	Waiting Iist of Shelley &amp; Nici
042	__	Fierraria
040	10	Xochimilia
038	__	Aimūlli
038	_4	New Bander State
037	_8	Roxma Nova
037	_3	Comino
037	_6	Dalisska
035	__	Papendink
034	__	Emsfrynt
034	_5	Dež Republic
032	__	Öösingimäed
028	__	New Acadia
025	__	Kimmystan
022	__	Vylkuzeme
020	__	Södermalm
015	__	Grand Duchy of Strenci
011	_7	Orsa
000	__	Tcher-Racoi</v>
      </c>
      <c r="AA50" s="87" t="str">
        <f t="array" ref="AA50">LET(
  names, $E2:$E29,
  data, $F2:INDEX($F2:$BM29, ROWS($E2:$E29), COLUMNS($F2:AA2)),
  total, BYROW(data, LAMBDA(r, SUM(r))),
  colpts, AA2:AA29,
  sorted, SORT({total, colpts, names}, 1, FALSE),
  totalsCol, INDEX(sorted,,1),
  ptsCol, INDEX(sorted,,2),
  namesCol, INDEX(sorted,,3),
  TEXTJOIN(CHAR(10), TRUE,
    TEXT(totalsCol, "000") &amp; CHAR(9) &amp;
      IF(ptsCol="","__", IF(ptsCol&lt;10, "_"&amp;ptsCol, ptsCol)) &amp; CHAR(9) &amp;
      namesCol
  )
)
</f>
        <v>107	10	Ugaly
092	_6	Rumia
088	12	Szimbaya Kingdom
082	_3	Tanoiro
075	__	Reym-L-Dneurb
068	_1	Insomnéa
062	__	Tamausia &amp; Deltannor
055	__	Rehi Kaita
049	__	Kordavian Islands
047	__	Waiting Iist of Shelley &amp; Nici
042	__	Fierraria
042	_5	Comino
042	_4	New Bander State
041	_7	Dež Republic
040	__	Xochimilia
038	__	Aimūlli
037	__	Roxma Nova
037	__	Dalisska
035	__	Papendink
034	__	Emsfrynt
032	__	Öösingimäed
030	_8	Vylkuzeme
028	__	New Acadia
025	__	Kimmystan
020	__	Södermalm
017	_2	Grand Duchy of Strenci
011	__	Orsa
000	__	Tcher-Racoi</v>
      </c>
      <c r="AB50" s="87" t="str">
        <f t="array" ref="AB50">LET(
  names, $E2:$E29,
  data, $F2:INDEX($F2:$BM29, ROWS($E2:$E29), COLUMNS($F2:AB2)),
  total, BYROW(data, LAMBDA(r, SUM(r))),
  colpts, AB2:AB29,
  sorted, SORT({total, colpts, names}, 1, FALSE),
  totalsCol, INDEX(sorted,,1),
  ptsCol, INDEX(sorted,,2),
  namesCol, INDEX(sorted,,3),
  TEXTJOIN(CHAR(10), TRUE,
    TEXT(totalsCol, "000") &amp; CHAR(9) &amp;
      IF(ptsCol="","__", IF(ptsCol&lt;10, "_"&amp;ptsCol, ptsCol)) &amp; CHAR(9) &amp;
      namesCol
  )
)
</f>
        <v>107	__	Ugaly
104	12	Rumia
088	__	Szimbaya Kingdom
082	__	Tanoiro
078	10	Insomnéa
075	__	Reym-L-Dneurb
062	__	Tamausia &amp; Deltannor
055	__	Rehi Kaita
053	_4	Kordavian Islands
050	_3	Waiting Iist of Shelley &amp; Nici
043	_6	Roxma Nova
043	_2	Dež Republic
042	__	Fierraria
042	__	Comino
042	__	New Bander State
040	__	Xochimilia
038	__	Aimūlli
038	_1	Dalisska
035	__	Papendink
034	__	Emsfrynt
032	__	Öösingimäed
030	_5	Kimmystan
030	__	Vylkuzeme
028	__	New Acadia
027	_7	Södermalm
025	_8	Grand Duchy of Strenci
011	__	Orsa
000	__	Tcher-Racoi</v>
      </c>
      <c r="AC50" s="87" t="str">
        <f t="array" ref="AC50">LET(
  names, $E2:$E29,
  data, $F2:INDEX($F2:$BM29, ROWS($E2:$E29), COLUMNS($F2:AC2)),
  total, BYROW(data, LAMBDA(r, SUM(r))),
  colpts, AC2:AC29,
  sorted, SORT({total, colpts, names}, 1, FALSE),
  totalsCol, INDEX(sorted,,1),
  ptsCol, INDEX(sorted,,2),
  namesCol, INDEX(sorted,,3),
  TEXTJOIN(CHAR(10), TRUE,
    TEXT(totalsCol, "000") &amp; CHAR(9) &amp;
      IF(ptsCol="","__", IF(ptsCol&lt;10, "_"&amp;ptsCol, ptsCol)) &amp; CHAR(9) &amp;
      namesCol
  )
)
</f>
        <v>107	__	Ugaly
104	__	Rumia
088	__	Szimbaya Kingdom
083	_1	Tanoiro
078	__	Insomnéa
075	__	Reym-L-Dneurb
062	__	Tamausia &amp; Deltannor
060	_7	Kordavian Islands
056	_6	Waiting Iist of Shelley &amp; Nici
055	__	Rehi Kaita
050	12	Aimūlli
045	10	Papendink
043	__	Roxma Nova
043	__	Dež Republic
042	__	Fierraria
042	__	Comino
042	__	New Bander State
040	__	Xochimilia
038	_8	Vylkuzeme
038	__	Dalisska
034	__	Emsfrynt
033	_5	New Acadia
032	__	Öösingimäed
031	_4	Södermalm
030	__	Kimmystan
025	__	Grand Duchy of Strenci
013	_2	Orsa
003	_3	Tcher-Racoi</v>
      </c>
      <c r="AD50" s="87" t="str">
        <f t="array" ref="AD50">LET(
  names, $E2:$E29,
  data, $F2:INDEX($F2:$BM29, ROWS($E2:$E29), COLUMNS($F2:AD2)),
  total, BYROW(data, LAMBDA(r, SUM(r))),
  colpts, AD2:AD29,
  sorted, SORT({total, colpts, names}, 1, FALSE),
  totalsCol, INDEX(sorted,,1),
  ptsCol, INDEX(sorted,,2),
  namesCol, INDEX(sorted,,3),
  TEXTJOIN(CHAR(10), TRUE,
    TEXT(totalsCol, "000") &amp; CHAR(9) &amp;
      IF(ptsCol="","__", IF(ptsCol&lt;10, "_"&amp;ptsCol, ptsCol)) &amp; CHAR(9) &amp;
      namesCol
  )
)
</f>
        <v>116	12	Rumia
107	__	Ugaly
088	__	Szimbaya Kingdom
083	__	Tanoiro
081	_3	Insomnéa
075	__	Reym-L-Dneurb
070	10	Kordavian Islands
064	_8	Waiting Iist of Shelley &amp; Nici
062	__	Tamausia &amp; Deltannor
057	_7	Aimūlli
055	__	Rehi Kaita
049	_4	Papendink
043	__	Roxma Nova
043	__	Dež Republic
042	__	Fierraria
042	__	Comino
042	__	New Bander State
040	__	Xochimilia
040	_2	Dalisska
039	_6	New Acadia
038	__	Vylkuzeme
036	_5	Södermalm
034	__	Emsfrynt
032	__	Öösingimäed
030	__	Kimmystan
026	_1	Grand Duchy of Strenci
013	__	Orsa
003	__	Tcher-Racoi</v>
      </c>
      <c r="AE50" s="87" t="str">
        <f t="array" ref="AE50">LET(
  names, $E2:$E29,
  data, $F2:INDEX($F2:$BM29, ROWS($E2:$E29), COLUMNS($F2:AE2)),
  total, BYROW(data, LAMBDA(r, SUM(r))),
  colpts, AE2:AE29,
  sorted, SORT({total, colpts, names}, 1, FALSE),
  totalsCol, INDEX(sorted,,1),
  ptsCol, INDEX(sorted,,2),
  namesCol, INDEX(sorted,,3),
  TEXTJOIN(CHAR(10), TRUE,
    TEXT(totalsCol, "000") &amp; CHAR(9) &amp;
      IF(ptsCol="","__", IF(ptsCol&lt;10, "_"&amp;ptsCol, ptsCol)) &amp; CHAR(9) &amp;
      namesCol
  )
)
</f>
        <v>116	__	Rumia
107	__	Ugaly
088	__	Szimbaya Kingdom
083	__	Tanoiro
081	__	Insomnéa
078	_3	Reym-L-Dneurb
070	__	Kordavian Islands
064	_7	Aimūlli
064	__	Waiting Iist of Shelley &amp; Nici
062	__	Tamausia &amp; Deltannor
055	__	Rehi Kaita
050	10	Xochimilia
049	__	Papendink
048	_6	Fierraria
048	12	Södermalm
044	_1	Roxma Nova
044	_2	New Bander State
043	_4	New Acadia
043	_5	Vylkuzeme
043	__	Dež Republic
042	__	Comino
040	__	Dalisska
038	_8	Kimmystan
034	__	Emsfrynt
032	__	Öösingimäed
026	__	Grand Duchy of Strenci
013	__	Orsa
003	__	Tcher-Racoi</v>
      </c>
      <c r="AF50" s="87" t="str">
        <f t="array" ref="AF50">LET(
  names, $E2:$E29,
  data, $F2:INDEX($F2:$BM29, ROWS($E2:$E29), COLUMNS($F2:AF2)),
  total, BYROW(data, LAMBDA(r, SUM(r))),
  colpts, AF2:AF29,
  sorted, SORT({total, colpts, names}, 1, FALSE),
  totalsCol, INDEX(sorted,,1),
  ptsCol, INDEX(sorted,,2),
  namesCol, INDEX(sorted,,3),
  TEXTJOIN(CHAR(10), TRUE,
    TEXT(totalsCol, "000") &amp; CHAR(9) &amp;
      IF(ptsCol="","__", IF(ptsCol&lt;10, "_"&amp;ptsCol, ptsCol)) &amp; CHAR(9) &amp;
      namesCol
  )
)
</f>
        <v>123	_7	Rumia
112	_5	Ugaly
088	__	Szimbaya Kingdom
083	__	Tanoiro
081	__	Insomnéa
078	__	Reym-L-Dneurb
072	_2	Kordavian Islands
068	_6	Tamausia &amp; Deltannor
068	_4	Waiting Iist of Shelley &amp; Nici
064	__	Aimūlli
056	_8	Södermalm
055	__	Rehi Kaita
055	12	New Acadia
053	10	Vylkuzeme
050	__	Xochimilia
049	__	Papendink
048	__	Fierraria
044	__	Roxma Nova
044	__	New Bander State
044	_1	Dež Republic
042	__	Comino
040	__	Dalisska
038	__	Kimmystan
037	_3	Emsfrynt
032	__	Öösingimäed
026	__	Grand Duchy of Strenci
013	__	Orsa
003	__	Tcher-Racoi</v>
      </c>
      <c r="AG50" s="87" t="str">
        <f t="array" ref="AG50">LET(
  names, $E2:$E29,
  data, $F2:INDEX($F2:$BM29, ROWS($E2:$E29), COLUMNS($F2:AG2)),
  total, BYROW(data, LAMBDA(r, SUM(r))),
  colpts, AG2:AG29,
  sorted, SORT({total, colpts, names}, 1, FALSE),
  totalsCol, INDEX(sorted,,1),
  ptsCol, INDEX(sorted,,2),
  namesCol, INDEX(sorted,,3),
  TEXTJOIN(CHAR(10), TRUE,
    TEXT(totalsCol, "000") &amp; CHAR(9) &amp;
      IF(ptsCol="","__", IF(ptsCol&lt;10, "_"&amp;ptsCol, ptsCol)) &amp; CHAR(9) &amp;
      namesCol
  )
)
</f>
        <v>123	__	Rumia
112	__	Ugaly
088	__	Szimbaya Kingdom
083	__	Tanoiro
081	__	Insomnéa
078	__	Reym-L-Dneurb
072	__	Kordavian Islands
068	__	Tamausia &amp; Deltannor
068	__	Waiting Iist of Shelley &amp; Nici
064	__	Aimūlli
061	_6	Rehi Kaita
059	10	Papendink
058	_3	New Acadia
056	__	Södermalm
053	__	Vylkuzeme
050	__	Xochimilia
050	12	Kimmystan
049	_5	Roxma Nova
048	__	Fierraria
046	_4	Comino
044	__	New Bander State
044	__	Dež Republic
040	_8	Öösingimäed
040	__	Dalisska
039	_2	Emsfrynt
027	_1	Grand Duchy of Strenci
020	_7	Orsa
003	__	Tcher-Racoi</v>
      </c>
      <c r="AH50" s="87" t="str">
        <f t="array" ref="AH50">LET(
  names, $E2:$E29,
  data, $F2:INDEX($F2:$BM29, ROWS($E2:$E29), COLUMNS($F2:AH2)),
  total, BYROW(data, LAMBDA(r, SUM(r))),
  colpts, AH2:AH29,
  sorted, SORT({total, colpts, names}, 1, FALSE),
  totalsCol, INDEX(sorted,,1),
  ptsCol, INDEX(sorted,,2),
  namesCol, INDEX(sorted,,3),
  TEXTJOIN(CHAR(10), TRUE,
    TEXT(totalsCol, "000") &amp; CHAR(9) &amp;
      IF(ptsCol="","__", IF(ptsCol&lt;10, "_"&amp;ptsCol, ptsCol)) &amp; CHAR(9) &amp;
      namesCol
  )
)
</f>
        <v>123	__	Rumia
115	_3	Ugaly
088	__	Szimbaya Kingdom
083	__	Tanoiro
081	__	Insomnéa
080	_2	Reym-L-Dneurb
073	_5	Tamausia &amp; Deltannor
072	__	Kordavian Islands
069	_8	Rehi Kaita
068	_4	Aimūlli
068	__	Waiting Iist of Shelley &amp; Nici
066	_7	Papendink
058	__	New Acadia
056	_6	Kimmystan
056	__	Södermalm
053	__	Vylkuzeme
050	__	Xochimilia
049	__	Roxma Nova
048	__	Fierraria
046	__	Comino
044	__	New Bander State
044	__	Dež Republic
040	__	Öösingimäed
040	_1	Emsfrynt
040	__	Dalisska
039	12	Grand Duchy of Strenci
020	__	Orsa
013	10	Tcher-Racoi</v>
      </c>
      <c r="AI50" s="87" t="str">
        <f t="array" ref="AI50">LET(
  names, $E2:$E29,
  data, $F2:INDEX($F2:$BM29, ROWS($E2:$E29), COLUMNS($F2:AI2)),
  total, BYROW(data, LAMBDA(r, SUM(r))),
  colpts, AI2:AI29,
  sorted, SORT({total, colpts, names}, 1, FALSE),
  totalsCol, INDEX(sorted,,1),
  ptsCol, INDEX(sorted,,2),
  namesCol, INDEX(sorted,,3),
  TEXTJOIN(CHAR(10), TRUE,
    TEXT(totalsCol, "000") &amp; CHAR(9) &amp;
      IF(ptsCol="","__", IF(ptsCol&lt;10, "_"&amp;ptsCol, ptsCol)) &amp; CHAR(9) &amp;
      namesCol
  )
)
</f>
        <v>123	__	Rumia
115	__	Ugaly
088	__	Szimbaya Kingdom
083	__	Tanoiro
082	_1	Insomnéa
080	__	Reym-L-Dneurb
078	12	Papendink
073	__	Tamausia &amp; Deltannor
072	_3	Rehi Kaita
072	__	Kordavian Islands
068	__	Aimūlli
068	__	Waiting Iist of Shelley &amp; Nici
066	10	Kimmystan
058	__	New Acadia
058	_2	Södermalm
057	_8	Roxma Nova
057	_7	Xochimilia
053	__	Vylkuzeme
052	_4	Fierraria
050	_6	New Bander State
046	__	Comino
045	_5	Emsfrynt
044	__	Dež Republic
040	__	Öösingimäed
040	__	Dalisska
039	__	Grand Duchy of Strenci
020	__	Orsa
013	__	Tcher-Racoi</v>
      </c>
      <c r="AJ50" s="87" t="str">
        <f t="array" ref="AJ50">LET(
  names, $E2:$E29,
  data, $F2:INDEX($F2:$BM29, ROWS($E2:$E29), COLUMNS($F2:AJ2)),
  total, BYROW(data, LAMBDA(r, SUM(r))),
  colpts, AJ2:AJ29,
  sorted, SORT({total, colpts, names}, 1, FALSE),
  totalsCol, INDEX(sorted,,1),
  ptsCol, INDEX(sorted,,2),
  namesCol, INDEX(sorted,,3),
  TEXTJOIN(CHAR(10), TRUE,
    TEXT(totalsCol, "000") &amp; CHAR(9) &amp;
      IF(ptsCol="","__", IF(ptsCol&lt;10, "_"&amp;ptsCol, ptsCol)) &amp; CHAR(9) &amp;
      namesCol
  )
)
</f>
        <v>129	_6	Rumia
115	__	Ugaly
088	__	Szimbaya Kingdom
084	_1	Tanoiro
082	__	Insomnéa
082	10	Kordavian Islands
080	__	Reym-L-Dneurb
080	12	Aimūlli
078	__	Papendink
073	__	Tamausia &amp; Deltannor
072	__	Rehi Kaita
068	__	Waiting Iist of Shelley &amp; Nici
066	__	Kimmystan
063	_5	Södermalm
061	_4	Xochimilia
061	_3	New Acadia
061	_8	Vylkuzeme
057	__	Roxma Nova
052	__	Fierraria
050	__	New Bander State
046	__	Comino
045	__	Emsfrynt
044	__	Dež Republic
040	__	Öösingimäed
040	__	Dalisska
039	__	Grand Duchy of Strenci
027	_7	Orsa
015	_2	Tcher-Racoi</v>
      </c>
      <c r="AK50" s="87" t="str">
        <f t="array" ref="AK50">LET(
  names, $E2:$E29,
  data, $F2:INDEX($F2:$BM29, ROWS($E2:$E29), COLUMNS($F2:AK2)),
  total, BYROW(data, LAMBDA(r, SUM(r))),
  colpts, AK2:AK29,
  sorted, SORT({total, colpts, names}, 1, FALSE),
  totalsCol, INDEX(sorted,,1),
  ptsCol, INDEX(sorted,,2),
  namesCol, INDEX(sorted,,3),
  TEXTJOIN(CHAR(10), TRUE,
    TEXT(totalsCol, "000") &amp; CHAR(9) &amp;
      IF(ptsCol="","__", IF(ptsCol&lt;10, "_"&amp;ptsCol, ptsCol)) &amp; CHAR(9) &amp;
      namesCol
  )
)
</f>
        <v>129	__	Rumia
115	__	Ugaly
088	__	Szimbaya Kingdom
088	_8	Reym-L-Dneurb
085	12	Tamausia &amp; Deltannor
084	__	Tanoiro
084	_6	Papendink
082	10	Rehi Kaita
082	__	Insomnéa
082	__	Kordavian Islands
080	__	Aimūlli
068	_7	Xochimilia
068	__	Waiting Iist of Shelley &amp; Nici
066	__	Kimmystan
064	_1	Södermalm
061	__	New Acadia
061	__	Vylkuzeme
057	__	Roxma Nova
052	__	Fierraria
050	__	New Bander State
049	_4	Emsfrynt
047	_3	Dež Republic
046	__	Comino
045	_5	Dalisska
042	_2	Öösingimäed
039	__	Grand Duchy of Strenci
027	__	Orsa
015	__	Tcher-Racoi</v>
      </c>
      <c r="AL50" s="87" t="str">
        <f t="array" ref="AL50">LET(
  names, $E2:$E29,
  data, $F2:INDEX($F2:$BM29, ROWS($E2:$E29), COLUMNS($F2:AL2)),
  total, BYROW(data, LAMBDA(r, SUM(r))),
  colpts, AL2:AL29,
  sorted, SORT({total, colpts, names}, 1, FALSE),
  totalsCol, INDEX(sorted,,1),
  ptsCol, INDEX(sorted,,2),
  namesCol, INDEX(sorted,,3),
  TEXTJOIN(CHAR(10), TRUE,
    TEXT(totalsCol, "000") &amp; CHAR(9) &amp;
      IF(ptsCol="","__", IF(ptsCol&lt;10, "_"&amp;ptsCol, ptsCol)) &amp; CHAR(9) &amp;
      namesCol
  )
)
</f>
        <v>134	_5	Rumia
115	__	Ugaly
092	10	Rehi Kaita
088	__	Szimbaya Kingdom
088	__	Reym-L-Dneurb
085	__	Tamausia &amp; Deltannor
084	__	Tanoiro
084	_2	Kordavian Islands
084	__	Papendink
082	__	Insomnéa
080	__	Aimūlli
074	_6	Xochimilia
068	__	Waiting Iist of Shelley &amp; Nici
066	__	Kimmystan
064	_7	Roxma Nova
064	__	Södermalm
061	__	New Acadia
061	__	Vylkuzeme
060	_8	Fierraria
054	12	Öösingimäed
050	_1	Emsfrynt
050	_4	Comino
050	__	New Bander State
047	__	Dež Republic
045	__	Dalisska
039	__	Grand Duchy of Strenci
030	_3	Orsa
015	__	Tcher-Racoi</v>
      </c>
      <c r="AM50" s="87" t="str">
        <f t="array" ref="AM50">LET(
  names, $E2:$E29,
  data, $F2:INDEX($F2:$BM29, ROWS($E2:$E29), COLUMNS($F2:AM2)),
  total, BYROW(data, LAMBDA(r, SUM(r))),
  colpts, AM2:AM29,
  sorted, SORT({total, colpts, names}, 1, FALSE),
  totalsCol, INDEX(sorted,,1),
  ptsCol, INDEX(sorted,,2),
  namesCol, INDEX(sorted,,3),
  TEXTJOIN(CHAR(10), TRUE,
    TEXT(totalsCol, "000") &amp; CHAR(9) &amp;
      IF(ptsCol="","__", IF(ptsCol&lt;10, "_"&amp;ptsCol, ptsCol)) &amp; CHAR(9) &amp;
      namesCol
  )
)
</f>
        <v>141	_7	Rumia
125	10	Ugaly
100	12	Szimbaya Kingdom
092	__	Rehi Kaita
088	__	Reym-L-Dneurb
086	_2	Tanoiro
085	__	Tamausia &amp; Deltannor
084	__	Kordavian Islands
084	__	Papendink
083	_3	Aimūlli
082	__	Insomnéa
074	__	Xochimilia
072	_8	Roxma Nova
068	_4	Södermalm
068	__	Waiting Iist of Shelley &amp; Nici
066	_6	Fierraria
066	__	Kimmystan
062	_1	Vylkuzeme
061	__	New Acadia
054	__	Öösingimäed
050	__	Emsfrynt
050	__	Comino
050	__	New Bander State
047	__	Dež Republic
045	__	Dalisska
044	_5	Grand Duchy of Strenci
030	__	Orsa
015	__	Tcher-Racoi</v>
      </c>
      <c r="AN50" s="87" t="str">
        <f t="array" ref="AN50">LET(
  names, $E2:$E29,
  data, $F2:INDEX($F2:$BM29, ROWS($E2:$E29), COLUMNS($F2:AN2)),
  total, BYROW(data, LAMBDA(r, SUM(r))),
  colpts, AN2:AN29,
  sorted, SORT({total, colpts, names}, 1, FALSE),
  totalsCol, INDEX(sorted,,1),
  ptsCol, INDEX(sorted,,2),
  namesCol, INDEX(sorted,,3),
  TEXTJOIN(CHAR(10), TRUE,
    TEXT(totalsCol, "000") &amp; CHAR(9) &amp;
      IF(ptsCol="","__", IF(ptsCol&lt;10, "_"&amp;ptsCol, ptsCol)) &amp; CHAR(9) &amp;
      namesCol
  )
)
</f>
        <v>141	__	Rumia
125	__	Ugaly
100	__	Szimbaya Kingdom
095	_3	Rehi Kaita
089	_7	Insomnéa
088	__	Reym-L-Dneurb
088	_4	Kordavian Islands
086	__	Tanoiro
085	__	Tamausia &amp; Deltannor
084	__	Papendink
083	__	Aimūlli
076	10	Kimmystan
076	_8	Södermalm
075	_1	Xochimilia
072	__	Roxma Nova
068	__	Waiting Iist of Shelley &amp; Nici
066	__	Fierraria
064	_2	Vylkuzeme
061	__	New Acadia
059	_5	Öösingimäed
051	_6	Dalisska
050	__	Emsfrynt
050	__	Comino
050	__	New Bander State
047	__	Dež Republic
044	__	Grand Duchy of Strenci
042	12	Orsa
015	__	Tcher-Racoi</v>
      </c>
      <c r="AO50" s="87" t="str">
        <f t="array" ref="AO50">LET(
  names, $E2:$E29,
  data, $F2:INDEX($F2:$BM29, ROWS($E2:$E29), COLUMNS($F2:AO2)),
  total, BYROW(data, LAMBDA(r, SUM(r))),
  colpts, AO2:AO29,
  sorted, SORT({total, colpts, names}, 1, FALSE),
  totalsCol, INDEX(sorted,,1),
  ptsCol, INDEX(sorted,,2),
  namesCol, INDEX(sorted,,3),
  TEXTJOIN(CHAR(10), TRUE,
    TEXT(totalsCol, "000") &amp; CHAR(9) &amp;
      IF(ptsCol="","__", IF(ptsCol&lt;10, "_"&amp;ptsCol, ptsCol)) &amp; CHAR(9) &amp;
      namesCol
  )
)
</f>
        <v>141	__	Rumia
137	12	Ugaly
100	__	Szimbaya Kingdom
096	10	Tanoiro
095	__	Rehi Kaita
091	_6	Tamausia &amp; Deltannor
090	_2	Reym-L-Dneurb
089	__	Insomnéa
088	__	Kordavian Islands
084	__	Papendink
083	__	Aimūlli
081	_5	Södermalm
076	__	Kimmystan
075	__	Xochimilia
072	__	Roxma Nova
069	_3	Fierraria
068	__	Waiting Iist of Shelley &amp; Nici
064	__	Vylkuzeme
061	__	New Acadia
060	_1	Öösingimäed
057	_7	Emsfrynt
054	_4	Comino
051	__	Dalisska
050	__	New Bander State
050	_8	Orsa
047	__	Dež Republic
044	__	Grand Duchy of Strenci
015	__	Tcher-Racoi</v>
      </c>
      <c r="AP50" s="87" t="str">
        <f t="array" ref="AP50">LET(
  names, $E2:$E29,
  data, $F2:INDEX($F2:$BM29, ROWS($E2:$E29), COLUMNS($F2:AP2)),
  total, BYROW(data, LAMBDA(r, SUM(r))),
  colpts, AP2:AP29,
  sorted, SORT({total, colpts, names}, 1, FALSE),
  totalsCol, INDEX(sorted,,1),
  ptsCol, INDEX(sorted,,2),
  namesCol, INDEX(sorted,,3),
  TEXTJOIN(CHAR(10), TRUE,
    TEXT(totalsCol, "000") &amp; CHAR(9) &amp;
      IF(ptsCol="","__", IF(ptsCol&lt;10, "_"&amp;ptsCol, ptsCol)) &amp; CHAR(9) &amp;
      namesCol
  )
)
</f>
        <v>141	__	Rumia
137	__	Ugaly
108	12	Tanoiro
100	__	Szimbaya Kingdom
095	__	Rehi Kaita
094	_6	Kordavian Islands
091	__	Tamausia &amp; Deltannor
090	__	Reym-L-Dneurb
090	_1	Insomnéa
088	_7	Södermalm
086	_3	Aimūlli
084	__	Papendink
081	_5	Kimmystan
075	__	Xochimilia
074	_2	Roxma Nova
070	10	Öösingimäed
069	__	Fierraria
069	_8	New Acadia
068	__	Waiting Iist of Shelley &amp; Nici
064	__	Vylkuzeme
057	__	Emsfrynt
054	__	Comino
054	_4	New Bander State
051	__	Dalisska
050	__	Orsa
047	__	Dež Republic
044	__	Grand Duchy of Strenci
015	__	Tcher-Racoi</v>
      </c>
      <c r="AQ50" s="87" t="str">
        <f t="array" ref="AQ50">LET(
  names, $E2:$E29,
  data, $F2:INDEX($F2:$BM29, ROWS($E2:$E29), COLUMNS($F2:AQ2)),
  total, BYROW(data, LAMBDA(r, SUM(r))),
  colpts, AQ2:AQ29,
  sorted, SORT({total, colpts, names}, 1, FALSE),
  totalsCol, INDEX(sorted,,1),
  ptsCol, INDEX(sorted,,2),
  namesCol, INDEX(sorted,,3),
  TEXTJOIN(CHAR(10), TRUE,
    TEXT(totalsCol, "000") &amp; CHAR(9) &amp;
      IF(ptsCol="","__", IF(ptsCol&lt;10, "_"&amp;ptsCol, ptsCol)) &amp; CHAR(9) &amp;
      namesCol
  )
)
</f>
        <v>141	__	Rumia
137	__	Ugaly
113	_5	Tanoiro
100	__	Szimbaya Kingdom
096	_6	Insomnéa
095	__	Rehi Kaita
094	_4	Reym-L-Dneurb
094	__	Kordavian Islands
091	__	Tamausia &amp; Deltannor
088	__	Södermalm
086	__	Aimūlli
084	__	Papendink
082	12	Öösingimäed
081	__	Kimmystan
079	10	Fierraria
075	__	Xochimilia
074	__	Roxma Nova
069	__	New Acadia
068	__	Waiting Iist of Shelley &amp; Nici
065	_1	Vylkuzeme
062	_8	New Bander State
057	__	Emsfrynt
056	_2	Comino
054	_3	Dalisska
054	_7	Dež Republic
050	__	Orsa
044	__	Grand Duchy of Strenci
015	__	Tcher-Racoi</v>
      </c>
      <c r="AR50" s="87" t="str">
        <f t="array" ref="AR50">LET(
  names, $E2:$E29,
  data, $F2:INDEX($F2:$BM29, ROWS($E2:$E29), COLUMNS($F2:AR2)),
  total, BYROW(data, LAMBDA(r, SUM(r))),
  colpts, AR2:AR29,
  sorted, SORT({total, colpts, names}, 1, FALSE),
  totalsCol, INDEX(sorted,,1),
  ptsCol, INDEX(sorted,,2),
  namesCol, INDEX(sorted,,3),
  TEXTJOIN(CHAR(10), TRUE,
    TEXT(totalsCol, "000") &amp; CHAR(9) &amp;
      IF(ptsCol="","__", IF(ptsCol&lt;10, "_"&amp;ptsCol, ptsCol)) &amp; CHAR(9) &amp;
      namesCol
  )
)
</f>
        <v>145	_8	Ugaly
141	__	Rumia
113	__	Tanoiro
100	__	Szimbaya Kingdom
096	_2	Reym-L-Dneurb
096	__	Insomnéa
096	_5	Tamausia &amp; Deltannor
096	12	Papendink
095	__	Rehi Kaita
094	__	Kordavian Islands
088	_6	Öösingimäed
088	__	Södermalm
086	__	Aimūlli
082	_3	Fierraria
081	_7	Roxma Nova
081	__	Kimmystan
075	__	Xochimilia
069	__	New Acadia
068	__	Waiting Iist of Shelley &amp; Nici
065	__	Vylkuzeme
062	__	New Bander State
061	_4	Emsfrynt
060	10	Orsa
056	__	Comino
055	_1	Dalisska
054	__	Dež Republic
044	__	Grand Duchy of Strenci
015	__	Tcher-Racoi</v>
      </c>
      <c r="AS50" s="87" t="str">
        <f t="array" ref="AS50">LET(
  names, $E2:$E29,
  data, $F2:INDEX($F2:$BM29, ROWS($E2:$E29), COLUMNS($F2:AS2)),
  total, BYROW(data, LAMBDA(r, SUM(r))),
  colpts, AS2:AS29,
  sorted, SORT({total, colpts, names}, 1, FALSE),
  totalsCol, INDEX(sorted,,1),
  ptsCol, INDEX(sorted,,2),
  namesCol, INDEX(sorted,,3),
  TEXTJOIN(CHAR(10), TRUE,
    TEXT(totalsCol, "000") &amp; CHAR(9) &amp;
      IF(ptsCol="","__", IF(ptsCol&lt;10, "_"&amp;ptsCol, ptsCol)) &amp; CHAR(9) &amp;
      namesCol
  )
)
</f>
        <v>145	__	Ugaly
141	__	Rumia
113	__	Tanoiro
106	10	Insomnéa
100	__	Szimbaya Kingdom
096	__	Reym-L-Dneurb
096	__	Tamausia &amp; Deltannor
096	__	Papendink
095	__	Rehi Kaita
094	__	Kordavian Islands
089	_1	Södermalm
088	__	Öösingimäed
087	_6	Roxma Nova
087	_5	Fierraria
087	12	Xochimilia
086	__	Aimūlli
083	_2	Kimmystan
076	_7	New Acadia
068	__	Waiting Iist of Shelley &amp; Nici
065	__	Vylkuzeme
063	_8	Dalisska
062	__	New Bander State
061	__	Emsfrynt
060	__	Orsa
059	_3	Comino
054	__	Dež Republic
044	__	Grand Duchy of Strenci
019	_4	Tcher-Racoi</v>
      </c>
      <c r="AT50" s="87" t="str">
        <f t="array" ref="AT50">LET(
  names, $E2:$E29,
  data, $F2:INDEX($F2:$BM29, ROWS($E2:$E29), COLUMNS($F2:AT2)),
  total, BYROW(data, LAMBDA(r, SUM(r))),
  colpts, AT2:AT29,
  sorted, SORT({total, colpts, names}, 1, FALSE),
  totalsCol, INDEX(sorted,,1),
  ptsCol, INDEX(sorted,,2),
  namesCol, INDEX(sorted,,3),
  TEXTJOIN(CHAR(10), TRUE,
    TEXT(totalsCol, "000") &amp; CHAR(9) &amp;
      IF(ptsCol="","__", IF(ptsCol&lt;10, "_"&amp;ptsCol, ptsCol)) &amp; CHAR(9) &amp;
      namesCol
  )
)
</f>
        <v>151	10	Rumia
145	__	Ugaly
120	_7	Tanoiro
110	_4	Insomnéa
100	__	Szimbaya Kingdom
098	_2	Papendink
096	__	Reym-L-Dneurb
096	__	Tamausia &amp; Deltannor
095	__	Rehi Kaita
095	_1	Kordavian Islands
094	_8	Aimūlli
089	__	Södermalm
088	__	Öösingimäed
087	__	Roxma Nova
087	__	Fierraria
087	__	Xochimilia
083	__	Kimmystan
081	_5	New Acadia
080	12	Waiting Iist of Shelley &amp; Nici
068	_3	Vylkuzeme
067	_6	Emsfrynt
063	__	Dalisska
062	__	New Bander State
060	__	Orsa
059	__	Comino
054	__	Dež Republic
044	__	Grand Duchy of Strenci
019	__	Tcher-Racoi</v>
      </c>
      <c r="AU50" s="87" t="str">
        <f t="array" ref="AU50">LET(
  names, $E2:$E29,
  data, $F2:INDEX($F2:$BM29, ROWS($E2:$E29), COLUMNS($F2:AU2)),
  total, BYROW(data, LAMBDA(r, SUM(r))),
  colpts, AU2:AU29,
  sorted, SORT({total, colpts, names}, 1, FALSE),
  totalsCol, INDEX(sorted,,1),
  ptsCol, INDEX(sorted,,2),
  namesCol, INDEX(sorted,,3),
  TEXTJOIN(CHAR(10), TRUE,
    TEXT(totalsCol, "000") &amp; CHAR(9) &amp;
      IF(ptsCol="","__", IF(ptsCol&lt;10, "_"&amp;ptsCol, ptsCol)) &amp; CHAR(9) &amp;
      namesCol
  )
)
</f>
        <v>157	12	Ugaly
151	__	Rumia
120	__	Tanoiro
110	__	Insomnéa
106	10	Reym-L-Dneurb
102	_6	Tamausia &amp; Deltannor
100	__	Szimbaya Kingdom
100	_5	Rehi Kaita
100	_2	Papendink
098	_4	Aimūlli
095	_7	Öösingimäed
095	__	Kordavian Islands
089	__	Södermalm
088	_1	Fierraria
087	__	Roxma Nova
087	__	Xochimilia
086	_3	Kimmystan
081	__	New Acadia
080	__	Waiting Iist of Shelley &amp; Nici
075	_8	Emsfrynt
068	__	Vylkuzeme
063	__	Dalisska
062	__	New Bander State
060	__	Orsa
059	__	Comino
054	__	Dež Republic
044	__	Grand Duchy of Strenci
019	__	Tcher-Racoi</v>
      </c>
      <c r="AV50" s="87" t="str">
        <f t="array" ref="AV50">LET(
  names, $E2:$E29,
  data, $F2:INDEX($F2:$BM29, ROWS($E2:$E29), COLUMNS($F2:AV2)),
  total, BYROW(data, LAMBDA(r, SUM(r))),
  colpts, AV2:AV29,
  sorted, SORT({total, colpts, names}, 1, FALSE),
  totalsCol, INDEX(sorted,,1),
  ptsCol, INDEX(sorted,,2),
  namesCol, INDEX(sorted,,3),
  TEXTJOIN(CHAR(10), TRUE,
    TEXT(totalsCol, "000") &amp; CHAR(9) &amp;
      IF(ptsCol="","__", IF(ptsCol&lt;10, "_"&amp;ptsCol, ptsCol)) &amp; CHAR(9) &amp;
      namesCol
  )
)
</f>
        <v>163	12	Rumia
157	__	Ugaly
120	__	Tanoiro
110	__	Insomnéa
106	__	Reym-L-Dneurb
105	_7	Aimūlli
102	__	Tamausia &amp; Deltannor
100	__	Szimbaya Kingdom
100	__	Rehi Kaita
100	__	Papendink
095	__	Öösingimäed
095	__	Kordavian Islands
094	_5	Södermalm
092	_4	Fierraria
090	10	Waiting Iist of Shelley &amp; Nici
088	_1	Xochimilia
087	__	Roxma Nova
087	_6	New Acadia
086	__	Kimmystan
076	_8	Vylkuzeme
075	__	Emsfrynt
064	_2	New Bander State
063	__	Dalisska
060	__	Orsa
059	__	Comino
054	__	Dež Republic
047	_3	Grand Duchy of Strenci
019	__	Tcher-Racoi</v>
      </c>
      <c r="AW50" s="87" t="str">
        <f t="array" ref="AW50">LET(
  names, $E2:$E29,
  data, $F2:INDEX($F2:$BM29, ROWS($E2:$E29), COLUMNS($F2:AW2)),
  total, BYROW(data, LAMBDA(r, SUM(r))),
  colpts, AW2:AW29,
  sorted, SORT({total, colpts, names}, 1, FALSE),
  totalsCol, INDEX(sorted,,1),
  ptsCol, INDEX(sorted,,2),
  namesCol, INDEX(sorted,,3),
  TEXTJOIN(CHAR(10), TRUE,
    TEXT(totalsCol, "000") &amp; CHAR(9) &amp;
      IF(ptsCol="","__", IF(ptsCol&lt;10, "_"&amp;ptsCol, ptsCol)) &amp; CHAR(9) &amp;
      namesCol
  )
)
</f>
        <v>163	__	Rumia
157	__	Ugaly
120	__	Tanoiro
115	10	Aimūlli
115	_5	Insomnéa
106	__	Reym-L-Dneurb
102	__	Tamausia &amp; Deltannor
100	__	Szimbaya Kingdom
100	__	Rehi Kaita
100	_6	Södermalm
100	__	Papendink
099	12	Roxma Nova
095	__	Öösingimäed
095	_8	New Acadia
095	__	Kordavian Islands
092	__	Fierraria
090	__	Waiting Iist of Shelley &amp; Nici
088	__	Xochimilia
088	_2	Kimmystan
080	_4	Vylkuzeme
075	__	Emsfrynt
064	__	New Bander State
064	_1	Dalisska
063	_3	Orsa
061	_7	Dež Republic
059	__	Comino
047	__	Grand Duchy of Strenci
019	__	Tcher-Racoi</v>
      </c>
      <c r="AX50" s="87" t="str">
        <f t="array" ref="AX50">LET(
  names, $E2:$E29,
  data, $F2:INDEX($F2:$BM29, ROWS($E2:$E29), COLUMNS($F2:AX2)),
  total, BYROW(data, LAMBDA(r, SUM(r))),
  colpts, AX2:AX29,
  sorted, SORT({total, colpts, names}, 1, FALSE),
  totalsCol, INDEX(sorted,,1),
  ptsCol, INDEX(sorted,,2),
  namesCol, INDEX(sorted,,3),
  TEXTJOIN(CHAR(10), TRUE,
    TEXT(totalsCol, "000") &amp; CHAR(9) &amp;
      IF(ptsCol="","__", IF(ptsCol&lt;10, "_"&amp;ptsCol, ptsCol)) &amp; CHAR(9) &amp;
      namesCol
  )
)
</f>
        <v>164	_7	Ugaly
163	__	Rumia
120	__	Tanoiro
116	10	Reym-L-Dneurb
115	__	Aimūlli
115	__	Insomnéa
108	_8	Szimbaya Kingdom
108	_6	Tamausia &amp; Deltannor
103	_4	Roxma Nova
100	__	Rehi Kaita
100	__	Södermalm
100	__	Papendink
095	__	Öösingimäed
095	__	New Acadia
095	__	Kordavian Islands
093	_1	Fierraria
091	_3	Xochimilia
090	__	Waiting Iist of Shelley &amp; Nici
088	__	Kimmystan
087	12	Emsfrynt
080	__	Vylkuzeme
064	__	New Bander State
064	__	Dalisska
063	__	Orsa
061	_2	Comino
061	__	Dež Republic
052	_5	Grand Duchy of Strenci
019	__	Tcher-Racoi</v>
      </c>
      <c r="AY50" s="87" t="str">
        <f t="array" ref="AY50">LET(
  names, $E2:$E29,
  data, $F2:INDEX($F2:$BM29, ROWS($E2:$E29), COLUMNS($F2:AY2)),
  total, BYROW(data, LAMBDA(r, SUM(r))),
  colpts, AY2:AY29,
  sorted, SORT({total, colpts, names}, 1, FALSE),
  totalsCol, INDEX(sorted,,1),
  ptsCol, INDEX(sorted,,2),
  namesCol, INDEX(sorted,,3),
  TEXTJOIN(CHAR(10), TRUE,
    TEXT(totalsCol, "000") &amp; CHAR(9) &amp;
      IF(ptsCol="","__", IF(ptsCol&lt;10, "_"&amp;ptsCol, ptsCol)) &amp; CHAR(9) &amp;
      namesCol
  )
)
</f>
        <v>164	__	Ugaly
163	__	Rumia
120	__	Tanoiro
118	_3	Aimūlli
116	__	Reym-L-Dneurb
115	__	Insomnéa
108	__	Szimbaya Kingdom
108	__	Tamausia &amp; Deltannor
107	_4	Roxma Nova
105	_5	Södermalm
100	__	Rehi Kaita
100	__	Papendink
099	_8	Xochimilia
095	__	Öösingimäed
095	_2	Fierraria
095	__	New Acadia
095	__	Kordavian Islands
090	__	Waiting Iist of Shelley &amp; Nici
088	__	Kimmystan
087	__	Emsfrynt
081	_1	Vylkuzeme
074	10	Dalisska
073	12	Comino
071	_7	New Bander State
063	__	Orsa
061	__	Dež Republic
052	__	Grand Duchy of Strenci
025	_6	Tcher-Racoi</v>
      </c>
      <c r="AZ50" s="87" t="str">
        <f t="array" ref="AZ50">LET(
  names, $E2:$E29,
  data, $F2:INDEX($F2:$BM29, ROWS($E2:$E29), COLUMNS($F2:AZ2)),
  total, BYROW(data, LAMBDA(r, SUM(r))),
  colpts, AZ2:AZ29,
  sorted, SORT({total, colpts, names}, 1, FALSE),
  totalsCol, INDEX(sorted,,1),
  ptsCol, INDEX(sorted,,2),
  namesCol, INDEX(sorted,,3),
  TEXTJOIN(CHAR(10), TRUE,
    TEXT(totalsCol, "000") &amp; CHAR(9) &amp;
      IF(ptsCol="","__", IF(ptsCol&lt;10, "_"&amp;ptsCol, ptsCol)) &amp; CHAR(9) &amp;
      namesCol
  )
)
</f>
        <v>172	_8	Ugaly
167	_4	Rumia
121	_1	Tanoiro
120	_2	Aimūlli
118	10	Szimbaya Kingdom
116	__	Reym-L-Dneurb
115	__	Insomnéa
110	_3	Roxma Nova
108	__	Tamausia &amp; Deltannor
105	__	Södermalm
101	_6	New Acadia
100	__	Rehi Kaita
100	__	Papendink
099	__	Xochimilia
095	__	Öösingimäed
095	__	Fierraria
095	__	Kordavian Islands
090	__	Waiting Iist of Shelley &amp; Nici
088	__	Kimmystan
087	__	Emsfrynt
086	_5	Vylkuzeme
085	12	Comino
074	__	Dalisska
071	__	New Bander State
063	__	Orsa
061	__	Dež Republic
059	_7	Grand Duchy of Strenci
025	__	Tcher-Racoi</v>
      </c>
      <c r="BA50" s="87" t="str">
        <f t="array" ref="BA50">LET(
  names, $E2:$E29,
  data, $F2:INDEX($F2:$BM29, ROWS($E2:$E29), COLUMNS($F2:BA2)),
  total, BYROW(data, LAMBDA(r, SUM(r))),
  colpts, BA2:BA29,
  sorted, SORT({total, colpts, names}, 1, FALSE),
  totalsCol, INDEX(sorted,,1),
  ptsCol, INDEX(sorted,,2),
  namesCol, INDEX(sorted,,3),
  TEXTJOIN(CHAR(10), TRUE,
    TEXT(totalsCol, "000") &amp; CHAR(9) &amp;
      IF(ptsCol="","__", IF(ptsCol&lt;10, "_"&amp;ptsCol, ptsCol)) &amp; CHAR(9) &amp;
      namesCol
  )
)
</f>
        <v>172	__	Ugaly
167	__	Rumia
121	__	Tanoiro
120	__	Aimūlli
118	__	Szimbaya Kingdom
117	_7	Roxma Nova
116	__	Reym-L-Dneurb
116	_1	Insomnéa
108	_8	Rehi Kaita
108	__	Tamausia &amp; Deltannor
107	12	Öösingimäed
105	__	Södermalm
104	_4	Papendink
102	_3	Xochimilia
101	_6	Fierraria
101	__	New Acadia
095	__	Kordavian Islands
093	_5	Kimmystan
090	__	Waiting Iist of Shelley &amp; Nici
087	__	Emsfrynt
087	_2	Comino
086	__	Vylkuzeme
081	10	New Bander State
074	__	Dalisska
063	__	Orsa
061	__	Dež Republic
059	__	Grand Duchy of Strenci
025	__	Tcher-Racoi</v>
      </c>
      <c r="BB50" s="87" t="str">
        <f t="array" ref="BB50">LET(
  names, $E2:$E29,
  data, $F2:INDEX($F2:$BM29, ROWS($E2:$E29), COLUMNS($F2:BB2)),
  total, BYROW(data, LAMBDA(r, SUM(r))),
  colpts, BB2:BB29,
  sorted, SORT({total, colpts, names}, 1, FALSE),
  totalsCol, INDEX(sorted,,1),
  ptsCol, INDEX(sorted,,2),
  namesCol, INDEX(sorted,,3),
  TEXTJOIN(CHAR(10), TRUE,
    TEXT(totalsCol, "000") &amp; CHAR(9) &amp;
      IF(ptsCol="","__", IF(ptsCol&lt;10, "_"&amp;ptsCol, ptsCol)) &amp; CHAR(9) &amp;
      namesCol
  )
)
</f>
        <v>172	__	Ugaly
167	__	Rumia
126	_5	Tanoiro
124	_4	Aimūlli
120	_3	Roxma Nova
118	__	Szimbaya Kingdom
118	_2	Reym-L-Dneurb
117	10	Öösingimäed
116	__	Insomnéa
114	_6	Rehi Kaita
108	__	Tamausia &amp; Deltannor
105	12	Kimmystan
105	__	Södermalm
104	__	Papendink
102	__	Xochimilia
102	_1	New Acadia
101	__	Fierraria
095	__	Kordavian Islands
094	_7	Emsfrynt
094	_8	Vylkuzeme
090	__	Waiting Iist of Shelley &amp; Nici
087	__	Comino
081	__	New Bander State
074	__	Dalisska
063	__	Orsa
061	__	Dež Republic
059	__	Grand Duchy of Strenci
025	__	Tcher-Racoi</v>
      </c>
      <c r="BC50" s="87" t="str">
        <f t="array" ref="BC50">LET(
  names, $E2:$E29,
  data, $F2:INDEX($F2:$BM29, ROWS($E2:$E29), COLUMNS($F2:BC2)),
  total, BYROW(data, LAMBDA(r, SUM(r))),
  colpts, BC2:BC29,
  sorted, SORT({total, colpts, names}, 1, FALSE),
  totalsCol, INDEX(sorted,,1),
  ptsCol, INDEX(sorted,,2),
  namesCol, INDEX(sorted,,3),
  TEXTJOIN(CHAR(10), TRUE,
    TEXT(totalsCol, "000") &amp; CHAR(9) &amp;
      IF(ptsCol="","__", IF(ptsCol&lt;10, "_"&amp;ptsCol, ptsCol)) &amp; CHAR(9) &amp;
      namesCol
  )
)
</f>
        <v>172	__	Ugaly
167	__	Rumia
126	__	Tanoiro
125	_7	Szimbaya Kingdom
124	__	Aimūlli
123	_5	Reym-L-Dneurb
120	__	Roxma Nova
118	_4	Rehi Kaita
117	__	Öösingimäed
116	__	Insomnéa
114	12	Xochimilia
111	_6	Kimmystan
110	_2	Tamausia &amp; Deltannor
109	_8	Fierraria
105	__	Södermalm
104	__	Papendink
102	__	New Acadia
095	__	Kordavian Islands
094	__	Emsfrynt
094	__	Vylkuzeme
093	_3	Waiting Iist of Shelley &amp; Nici
091	10	New Bander State
087	__	Comino
074	__	Dalisska
063	__	Orsa
062	_1	Dež Republic
059	__	Grand Duchy of Strenci
025	__	Tcher-Racoi</v>
      </c>
      <c r="BD50" s="87" t="str">
        <f t="array" ref="BD50">LET(
  names, $E2:$E29,
  data, $F2:INDEX($F2:$BM29, ROWS($E2:$E29), COLUMNS($F2:BD2)),
  total, BYROW(data, LAMBDA(r, SUM(r))),
  colpts, BD2:BD29,
  sorted, SORT({total, colpts, names}, 1, FALSE),
  totalsCol, INDEX(sorted,,1),
  ptsCol, INDEX(sorted,,2),
  namesCol, INDEX(sorted,,3),
  TEXTJOIN(CHAR(10), TRUE,
    TEXT(totalsCol, "000") &amp; CHAR(9) &amp;
      IF(ptsCol="","__", IF(ptsCol&lt;10, "_"&amp;ptsCol, ptsCol)) &amp; CHAR(9) &amp;
      namesCol
  )
)
</f>
        <v>172	__	Ugaly
167	__	Rumia
128	_8	Roxma Nova
126	__	Tanoiro
125	__	Szimbaya Kingdom
124	__	Aimūlli
124	10	Xochimilia
123	__	Reym-L-Dneurb
123	12	Kimmystan
118	__	Rehi Kaita
118	_2	Insomnéa
117	__	Öösingimäed
113	_4	Fierraria
110	__	Tamausia &amp; Deltannor
110	_5	Södermalm
104	__	Papendink
102	__	New Acadia
097	_6	New Bander State
095	__	Kordavian Islands
094	__	Emsfrynt
094	__	Vylkuzeme
093	__	Waiting Iist of Shelley &amp; Nici
090	_3	Comino
081	_7	Dalisska
063	__	Orsa
062	__	Dež Republic
059	__	Grand Duchy of Strenci
026	_1	Tcher-Racoi</v>
      </c>
      <c r="BE50" s="87" t="str">
        <f t="array" ref="BE50">LET(
  names, $E2:$E29,
  data, $F2:INDEX($F2:$BM29, ROWS($E2:$E29), COLUMNS($F2:BE2)),
  total, BYROW(data, LAMBDA(r, SUM(r))),
  colpts, BE2:BE29,
  sorted, SORT({total, colpts, names}, 1, FALSE),
  totalsCol, INDEX(sorted,,1),
  ptsCol, INDEX(sorted,,2),
  namesCol, INDEX(sorted,,3),
  TEXTJOIN(CHAR(10), TRUE,
    TEXT(totalsCol, "000") &amp; CHAR(9) &amp;
      IF(ptsCol="","__", IF(ptsCol&lt;10, "_"&amp;ptsCol, ptsCol)) &amp; CHAR(9) &amp;
      namesCol
  )
)
</f>
        <v>176	_4	Ugaly
170	_3	Rumia
133	_7	Tanoiro
129	_6	Reym-L-Dneurb
129	12	Öösingimäed
128	__	Roxma Nova
125	__	Szimbaya Kingdom
124	__	Aimūlli
124	__	Xochimilia
123	__	Kimmystan
118	__	Rehi Kaita
118	_5	Fierraria
118	__	Insomnéa
112	_2	Södermalm
110	__	Tamausia &amp; Deltannor
104	10	Emsfrynt
104	__	Papendink
103	_1	New Acadia
097	__	New Bander State
095	__	Kordavian Islands
094	__	Vylkuzeme
093	__	Waiting Iist of Shelley &amp; Nici
090	__	Comino
081	__	Dalisska
070	_8	Dež Republic
063	__	Orsa
059	__	Grand Duchy of Strenci
026	__	Tcher-Racoi</v>
      </c>
      <c r="BF50" s="87" t="str">
        <f t="array" ref="BF50">LET(
  names, $E2:$E29,
  data, $F2:INDEX($F2:$BM29, ROWS($E2:$E29), COLUMNS($F2:BF2)),
  total, BYROW(data, LAMBDA(r, SUM(r))),
  colpts, BF2:BF29,
  sorted, SORT({total, colpts, names}, 1, FALSE),
  totalsCol, INDEX(sorted,,1),
  ptsCol, INDEX(sorted,,2),
  namesCol, INDEX(sorted,,3),
  TEXTJOIN(CHAR(10), TRUE,
    TEXT(totalsCol, "000") &amp; CHAR(9) &amp;
      IF(ptsCol="","__", IF(ptsCol&lt;10, "_"&amp;ptsCol, ptsCol)) &amp; CHAR(9) &amp;
      namesCol
  )
)
</f>
        <v>188	12	Ugaly
170	__	Rumia
137	_4	Tanoiro
131	_6	Szimbaya Kingdom
129	__	Reym-L-Dneurb
129	_1	Roxma Nova
129	__	Öösingimäed
128	10	Rehi Kaita
125	_7	Fierraria
124	__	Aimūlli
124	__	Xochimilia
123	__	Kimmystan
118	__	Insomnéa
112	_8	Emsfrynt
112	__	Södermalm
110	__	Tamausia &amp; Deltannor
104	__	Papendink
103	__	New Acadia
097	__	New Bander State
095	__	Kordavian Islands
095	_5	Comino
094	__	Vylkuzeme
093	__	Waiting Iist of Shelley &amp; Nici
081	__	Dalisska
073	_3	Dež Republic
063	__	Orsa
061	_2	Grand Duchy of Strenci
026	__	Tcher-Racoi</v>
      </c>
      <c r="BG50" s="87" t="str">
        <f t="array" ref="BG50">LET(
  names, $E2:$E29,
  data, $F2:INDEX($F2:$BM29, ROWS($E2:$E29), COLUMNS($F2:BG2)),
  total, BYROW(data, LAMBDA(r, SUM(r))),
  colpts, BG2:BG29,
  sorted, SORT({total, colpts, names}, 1, FALSE),
  totalsCol, INDEX(sorted,,1),
  ptsCol, INDEX(sorted,,2),
  namesCol, INDEX(sorted,,3),
  TEXTJOIN(CHAR(10), TRUE,
    TEXT(totalsCol, "000") &amp; CHAR(9) &amp;
      IF(ptsCol="","__", IF(ptsCol&lt;10, "_"&amp;ptsCol, ptsCol)) &amp; CHAR(9) &amp;
      namesCol
  )
)
</f>
        <v>188	__	Ugaly
173	_3	Rumia
138	_7	Szimbaya Kingdom
137	__	Tanoiro
129	__	Reym-L-Dneurb
129	__	Roxma Nova
129	__	Öösingimäed
128	_4	Aimūlli
128	__	Rehi Kaita
126	_1	Fierraria
124	__	Xochimilia
123	__	Kimmystan
118	__	Insomnéa
112	__	Emsfrynt
112	__	Södermalm
110	__	Tamausia &amp; Deltannor
109	_6	New Acadia
105	10	Kordavian Islands
104	__	Papendink
098	_5	Waiting Iist of Shelley &amp; Nici
097	__	New Bander State
096	_2	Vylkuzeme
095	__	Comino
081	__	Dalisska
073	__	Dež Republic
069	_8	Grand Duchy of Strenci
063	__	Orsa
038	12	Tcher-Racoi</v>
      </c>
      <c r="BH50" s="87" t="str">
        <f t="array" ref="BH50">LET(
  names, $E2:$E29,
  data, $F2:INDEX($F2:$BM29, ROWS($E2:$E29), COLUMNS($F2:BH2)),
  total, BYROW(data, LAMBDA(r, SUM(r))),
  colpts, BH2:BH29,
  sorted, SORT({total, colpts, names}, 1, FALSE),
  totalsCol, INDEX(sorted,,1),
  ptsCol, INDEX(sorted,,2),
  namesCol, INDEX(sorted,,3),
  TEXTJOIN(CHAR(10), TRUE,
    TEXT(totalsCol, "000") &amp; CHAR(9) &amp;
      IF(ptsCol="","__", IF(ptsCol&lt;10, "_"&amp;ptsCol, ptsCol)) &amp; CHAR(9) &amp;
      namesCol
  )
)
</f>
        <v>200	12	Ugaly
173	__	Rumia
147	10	Tanoiro
144	_6	Szimbaya Kingdom
137	_8	Reym-L-Dneurb
129	__	Roxma Nova
129	__	Öösingimäed
128	__	Aimūlli
128	__	Rehi Kaita
126	__	Fierraria
124	__	Xochimilia
123	__	Kimmystan
118	__	Insomnéa
117	_7	Tamausia &amp; Deltannor
113	_1	Emsfrynt
113	_4	New Acadia
112	__	Södermalm
105	__	Kordavian Islands
104	__	Papendink
100	_2	Waiting Iist of Shelley &amp; Nici
098	_3	Comino
097	__	New Bander State
096	__	Vylkuzeme
081	__	Dalisska
078	_5	Dež Republic
069	__	Grand Duchy of Strenci
063	__	Orsa
038	__	Tcher-Racoi</v>
      </c>
      <c r="BI50" s="87" t="str">
        <f t="array" ref="BI50">LET(
  names, $E2:$E29,
  data, $F2:INDEX($F2:$BM29, ROWS($E2:$E29), COLUMNS($F2:BI2)),
  total, BYROW(data, LAMBDA(r, SUM(r))),
  colpts, BI2:BI29,
  sorted, SORT({total, colpts, names}, 1, FALSE),
  totalsCol, INDEX(sorted,,1),
  ptsCol, INDEX(sorted,,2),
  namesCol, INDEX(sorted,,3),
  TEXTJOIN(CHAR(10), TRUE,
    TEXT(totalsCol, "000") &amp; CHAR(9) &amp;
      IF(ptsCol="","__", IF(ptsCol&lt;10, "_"&amp;ptsCol, ptsCol)) &amp; CHAR(9) &amp;
      namesCol
  )
)
</f>
        <v>200	__	Ugaly
173	__	Rumia
147	__	Tanoiro
144	__	Szimbaya Kingdom
137	__	Reym-L-Dneurb
129	__	Roxma Nova
129	__	Öösingimäed
128	__	Aimūlli
128	__	Rehi Kaita
126	__	Fierraria
124	__	Xochimilia
123	__	Kimmystan
118	__	Insomnéa
117	__	Tamausia &amp; Deltannor
113	__	Emsfrynt
113	__	New Acadia
112	__	Södermalm
105	__	Kordavian Islands
104	__	Papendink
100	__	Waiting Iist of Shelley &amp; Nici
098	__	Comino
097	__	New Bander State
096	__	Vylkuzeme
081	__	Dalisska
078	__	Dež Republic
069	__	Grand Duchy of Strenci
063	__	Orsa
038	__	Tcher-Racoi</v>
      </c>
      <c r="BJ50" s="87" t="str">
        <f t="array" ref="BJ50">LET(
  names, $E2:$E29,
  data, $F2:INDEX($F2:$BM29, ROWS($E2:$E29), COLUMNS($F2:BJ2)),
  total, BYROW(data, LAMBDA(r, SUM(r))),
  colpts, BJ2:BJ29,
  sorted, SORT({total, colpts, names}, 1, FALSE),
  totalsCol, INDEX(sorted,,1),
  ptsCol, INDEX(sorted,,2),
  namesCol, INDEX(sorted,,3),
  TEXTJOIN(CHAR(10), TRUE,
    TEXT(totalsCol, "000") &amp; CHAR(9) &amp;
      IF(ptsCol="","__", IF(ptsCol&lt;10, "_"&amp;ptsCol, ptsCol)) &amp; CHAR(9) &amp;
      namesCol
  )
)
</f>
        <v>200	__	Ugaly
173	__	Rumia
147	__	Tanoiro
144	__	Szimbaya Kingdom
137	__	Reym-L-Dneurb
129	__	Roxma Nova
129	__	Öösingimäed
128	__	Aimūlli
128	__	Rehi Kaita
126	__	Fierraria
124	__	Xochimilia
123	__	Kimmystan
118	__	Insomnéa
117	__	Tamausia &amp; Deltannor
113	__	Emsfrynt
113	__	New Acadia
112	__	Södermalm
105	__	Kordavian Islands
104	__	Papendink
100	__	Waiting Iist of Shelley &amp; Nici
098	__	Comino
097	__	New Bander State
096	__	Vylkuzeme
081	__	Dalisska
078	__	Dež Republic
069	__	Grand Duchy of Strenci
063	__	Orsa
038	__	Tcher-Racoi</v>
      </c>
      <c r="BK50" s="87" t="str">
        <f t="array" ref="BK50">LET(
  names, $E2:$E29,
  data, $F2:INDEX($F2:$BM29, ROWS($E2:$E29), COLUMNS($F2:BK2)),
  total, BYROW(data, LAMBDA(r, SUM(r))),
  colpts, BK2:BK29,
  sorted, SORT({total, colpts, names}, 1, FALSE),
  totalsCol, INDEX(sorted,,1),
  ptsCol, INDEX(sorted,,2),
  namesCol, INDEX(sorted,,3),
  TEXTJOIN(CHAR(10), TRUE,
    TEXT(totalsCol, "000") &amp; CHAR(9) &amp;
      IF(ptsCol="","__", IF(ptsCol&lt;10, "_"&amp;ptsCol, ptsCol)) &amp; CHAR(9) &amp;
      namesCol
  )
)
</f>
        <v>200	__	Ugaly
173	__	Rumia
147	__	Tanoiro
144	__	Szimbaya Kingdom
137	__	Reym-L-Dneurb
129	__	Roxma Nova
129	__	Öösingimäed
128	__	Aimūlli
128	__	Rehi Kaita
126	__	Fierraria
124	__	Xochimilia
123	__	Kimmystan
118	__	Insomnéa
117	__	Tamausia &amp; Deltannor
113	__	Emsfrynt
113	__	New Acadia
112	__	Södermalm
105	__	Kordavian Islands
104	__	Papendink
100	__	Waiting Iist of Shelley &amp; Nici
098	__	Comino
097	__	New Bander State
096	__	Vylkuzeme
081	__	Dalisska
078	__	Dež Republic
069	__	Grand Duchy of Strenci
063	__	Orsa
038	__	Tcher-Racoi</v>
      </c>
      <c r="BL50" s="87" t="str">
        <f t="array" ref="BL50">LET(
  names, $E2:$E29,
  data, $F2:INDEX($F2:$BM29, ROWS($E2:$E29), COLUMNS($F2:BL2)),
  total, BYROW(data, LAMBDA(r, SUM(r))),
  colpts, BL2:BL29,
  sorted, SORT({total, colpts, names}, 1, FALSE),
  totalsCol, INDEX(sorted,,1),
  ptsCol, INDEX(sorted,,2),
  namesCol, INDEX(sorted,,3),
  TEXTJOIN(CHAR(10), TRUE,
    TEXT(totalsCol, "000") &amp; CHAR(9) &amp;
      IF(ptsCol="","__", IF(ptsCol&lt;10, "_"&amp;ptsCol, ptsCol)) &amp; CHAR(9) &amp;
      namesCol
  )
)
</f>
        <v>200	__	Ugaly
173	__	Rumia
147	__	Tanoiro
144	__	Szimbaya Kingdom
137	__	Reym-L-Dneurb
129	__	Roxma Nova
129	__	Öösingimäed
128	__	Aimūlli
128	__	Rehi Kaita
126	__	Fierraria
124	__	Xochimilia
123	__	Kimmystan
118	__	Insomnéa
117	__	Tamausia &amp; Deltannor
113	__	Emsfrynt
113	__	New Acadia
112	__	Södermalm
105	__	Kordavian Islands
104	__	Papendink
100	__	Waiting Iist of Shelley &amp; Nici
098	__	Comino
097	__	New Bander State
096	__	Vylkuzeme
081	__	Dalisska
078	__	Dež Republic
069	__	Grand Duchy of Strenci
063	__	Orsa
038	__	Tcher-Racoi</v>
      </c>
      <c r="BM50" s="87" t="str">
        <f t="array" ref="BM50">LET(
  names, $E2:$E29,
  data, $F2:INDEX($F2:$BM29, ROWS($E2:$E29), COLUMNS($F2:BM2)),
  total, BYROW(data, LAMBDA(r, SUM(r))),
  colpts, BM2:BM29,
  sorted, SORT({total, colpts, names}, 1, FALSE),
  totalsCol, INDEX(sorted,,1),
  ptsCol, INDEX(sorted,,2),
  namesCol, INDEX(sorted,,3),
  TEXTJOIN(CHAR(10), TRUE,
    TEXT(totalsCol, "000") &amp; CHAR(9) &amp;
      IF(ptsCol="","__", IF(ptsCol&lt;10, "_"&amp;ptsCol, ptsCol)) &amp; CHAR(9) &amp;
      namesCol
  )
)
</f>
        <v>200	__	Ugaly
173	__	Rumia
147	__	Tanoiro
144	__	Szimbaya Kingdom
137	__	Reym-L-Dneurb
129	__	Roxma Nova
129	__	Öösingimäed
128	__	Aimūlli
128	__	Rehi Kaita
126	__	Fierraria
124	__	Xochimilia
123	__	Kimmystan
118	__	Insomnéa
117	__	Tamausia &amp; Deltannor
113	__	Emsfrynt
113	__	New Acadia
112	__	Södermalm
105	__	Kordavian Islands
104	__	Papendink
100	__	Waiting Iist of Shelley &amp; Nici
098	__	Comino
097	__	New Bander State
096	__	Vylkuzeme
081	__	Dalisska
078	__	Dež Republic
069	__	Grand Duchy of Strenci
063	__	Orsa
038	__	Tcher-Racoi</v>
      </c>
      <c r="BN50" s="87"/>
      <c r="BO50" s="87"/>
      <c r="BP50" s="87"/>
      <c r="BQ50" s="87"/>
      <c r="BR50" s="87"/>
      <c r="BS50" s="87"/>
      <c r="BT50" s="87"/>
      <c r="BU50" s="87"/>
    </row>
    <row r="51">
      <c r="B51" s="84"/>
      <c r="E51" s="84"/>
      <c r="F51" s="87"/>
    </row>
    <row r="52">
      <c r="B52" s="84"/>
      <c r="E52" s="84"/>
      <c r="F52" s="87" t="str">
        <f t="shared" ref="F52:Q52" si="40">"Next voter is: " &amp; UPPER(G1)
</f>
        <v>Next voter is: DEŽ REPUBLIC</v>
      </c>
      <c r="G52" s="87" t="str">
        <f t="shared" si="40"/>
        <v>Next voter is: BALEARICA ISLAND</v>
      </c>
      <c r="H52" s="87" t="str">
        <f t="shared" si="40"/>
        <v>Next voter is: ROSELAND</v>
      </c>
      <c r="I52" s="87" t="str">
        <f t="shared" si="40"/>
        <v>Next voter is: SZIMBAYA KINGDOM</v>
      </c>
      <c r="J52" s="87" t="str">
        <f t="shared" si="40"/>
        <v>Next voter is: SVOBODNIA</v>
      </c>
      <c r="K52" s="87" t="str">
        <f t="shared" si="40"/>
        <v>Next voter is: MERIDIA</v>
      </c>
      <c r="L52" s="87" t="str">
        <f t="shared" si="40"/>
        <v>Next voter is: ADAMSBURG</v>
      </c>
      <c r="M52" s="87" t="str">
        <f t="shared" si="40"/>
        <v>Next voter is: ÖÖSINGIMÄED</v>
      </c>
      <c r="N52" s="87" t="str">
        <f t="shared" si="40"/>
        <v>Next voter is: TROLLHEIMR</v>
      </c>
      <c r="O52" s="87" t="str">
        <f t="shared" si="40"/>
        <v>Next voter is: HALITO</v>
      </c>
      <c r="P52" s="87" t="str">
        <f t="shared" si="40"/>
        <v>Next voter is: COMINO</v>
      </c>
      <c r="Q52" s="87" t="str">
        <f t="shared" si="40"/>
        <v>Next voter is: REDWOOD REPUBLIC</v>
      </c>
      <c r="R52" s="87" t="str">
        <f>"Next voter is: " &amp; UPPER(T1)
</f>
        <v>Next voter is: DALISSKA</v>
      </c>
      <c r="S52" s="87" t="str">
        <f>"Next voter is: " &amp; UPPER(AR1)
</f>
        <v>Next voter is: REHI KAITA</v>
      </c>
      <c r="T52" s="87" t="str">
        <f t="shared" ref="T52:AP52" si="41">"Next voter is: " &amp; UPPER(U1)
</f>
        <v>Next voter is: KAMANDÉ</v>
      </c>
      <c r="U52" s="87" t="str">
        <f t="shared" si="41"/>
        <v>Next voter is: GRIFFIN EMPIRE</v>
      </c>
      <c r="V52" s="87" t="str">
        <f t="shared" si="41"/>
        <v>Next voter is: FIERRARIA</v>
      </c>
      <c r="W52" s="87" t="str">
        <f t="shared" si="41"/>
        <v>Next voter is: NEW ACADIA</v>
      </c>
      <c r="X52" s="87" t="str">
        <f t="shared" si="41"/>
        <v>Next voter is: EMSFRYNT</v>
      </c>
      <c r="Y52" s="87" t="str">
        <f t="shared" si="41"/>
        <v>Next voter is: SODERMALM</v>
      </c>
      <c r="Z52" s="87" t="str">
        <f t="shared" si="41"/>
        <v>Next voter is: DWYFORLAND</v>
      </c>
      <c r="AA52" s="87" t="str">
        <f t="shared" si="41"/>
        <v>Next voter is: MARCOBIA</v>
      </c>
      <c r="AB52" s="87" t="str">
        <f t="shared" si="41"/>
        <v>Next voter is: RUMIA</v>
      </c>
      <c r="AC52" s="87" t="str">
        <f t="shared" si="41"/>
        <v>Next voter is: VYLKUZEME</v>
      </c>
      <c r="AD52" s="87" t="str">
        <f t="shared" si="41"/>
        <v>Next voter is: GRAND DUCHY OF STRENCI</v>
      </c>
      <c r="AE52" s="87" t="str">
        <f t="shared" si="41"/>
        <v>Next voter is: AIMŪLLI</v>
      </c>
      <c r="AF52" s="87" t="str">
        <f t="shared" si="41"/>
        <v>Next voter is: REYM-L-DNEURB</v>
      </c>
      <c r="AG52" s="87" t="str">
        <f t="shared" si="41"/>
        <v>Next voter is: YAPONESIA</v>
      </c>
      <c r="AH52" s="87" t="str">
        <f t="shared" si="41"/>
        <v>Next voter is: BEGONIA</v>
      </c>
      <c r="AI52" s="87" t="str">
        <f t="shared" si="41"/>
        <v>Next voter is: SAKURALIA</v>
      </c>
      <c r="AJ52" s="87" t="str">
        <f t="shared" si="41"/>
        <v>Next voter is: UGALY</v>
      </c>
      <c r="AK52" s="87" t="str">
        <f t="shared" si="41"/>
        <v>Next voter is: PAPENDINK</v>
      </c>
      <c r="AL52" s="87" t="str">
        <f t="shared" si="41"/>
        <v>Next voter is: KIMMYSTAN</v>
      </c>
      <c r="AM52" s="87" t="str">
        <f t="shared" si="41"/>
        <v>Next voter is: ROXMA NOVA</v>
      </c>
      <c r="AN52" s="87" t="str">
        <f t="shared" si="41"/>
        <v>Next voter is: CYDONI-GIBBERIA</v>
      </c>
      <c r="AO52" s="87" t="str">
        <f t="shared" si="41"/>
        <v>Next voter is: MATIMATI</v>
      </c>
      <c r="AP52" s="87" t="str">
        <f t="shared" si="41"/>
        <v>Next voter is: XOCHIMILIA</v>
      </c>
      <c r="AQ52" s="87" t="str">
        <f>"Next voter is: " &amp; UPPER(S1)
</f>
        <v>Next voter is: TÍR AN ABHAINN</v>
      </c>
      <c r="AR52" s="87" t="str">
        <f t="shared" ref="AR52:BM52" si="42">"Next voter is: " &amp; UPPER(AS1)
</f>
        <v>Next voter is: NEW BANDER STATE</v>
      </c>
      <c r="AS52" s="87" t="str">
        <f t="shared" si="42"/>
        <v>Next voter is: ZOMBIRA</v>
      </c>
      <c r="AT52" s="87" t="str">
        <f t="shared" si="42"/>
        <v>Next voter is: TANOIRO</v>
      </c>
      <c r="AU52" s="87" t="str">
        <f t="shared" si="42"/>
        <v>Next voter is: KORDAVIAN ISLANDS</v>
      </c>
      <c r="AV52" s="87" t="str">
        <f t="shared" si="42"/>
        <v>Next voter is: INZINIMIRIT</v>
      </c>
      <c r="AW52" s="87" t="str">
        <f t="shared" si="42"/>
        <v>Next voter is: FERVOROSIA</v>
      </c>
      <c r="AX52" s="87" t="str">
        <f t="shared" si="42"/>
        <v>Next voter is: INSOMNEA</v>
      </c>
      <c r="AY52" s="87" t="str">
        <f t="shared" si="42"/>
        <v>Next voter is: CARPENTARIA</v>
      </c>
      <c r="AZ52" s="87" t="str">
        <f t="shared" si="42"/>
        <v>Next voter is: DOIRE</v>
      </c>
      <c r="BA52" s="87" t="str">
        <f t="shared" si="42"/>
        <v>Next voter is: ORSA</v>
      </c>
      <c r="BB52" s="87" t="str">
        <f t="shared" si="42"/>
        <v>Next voter is: TCHER-RACOI</v>
      </c>
      <c r="BC52" s="87" t="str">
        <f t="shared" si="42"/>
        <v>Next voter is: CALYPSO</v>
      </c>
      <c r="BD52" s="87" t="str">
        <f t="shared" si="42"/>
        <v>Next voter is: BIFLOVATIA</v>
      </c>
      <c r="BE52" s="87" t="str">
        <f t="shared" si="42"/>
        <v>Next voter is: TAMAUSIA &amp; DELTANNOR</v>
      </c>
      <c r="BF52" s="87" t="str">
        <f t="shared" si="42"/>
        <v>Next voter is: ENDÓRË</v>
      </c>
      <c r="BG52" s="87" t="str">
        <f t="shared" si="42"/>
        <v>Next voter is: PERRYFORNIA</v>
      </c>
      <c r="BH52" s="87" t="str">
        <f t="shared" si="42"/>
        <v>Next voter is: COLUMN 61</v>
      </c>
      <c r="BI52" s="87" t="str">
        <f t="shared" si="42"/>
        <v>Next voter is: COLUMN 62</v>
      </c>
      <c r="BJ52" s="87" t="str">
        <f t="shared" si="42"/>
        <v>Next voter is: COLUMN 63</v>
      </c>
      <c r="BK52" s="87" t="str">
        <f t="shared" si="42"/>
        <v>Next voter is: COLUMN 64</v>
      </c>
      <c r="BL52" s="87" t="str">
        <f t="shared" si="42"/>
        <v>Next voter is: WAITING LIST</v>
      </c>
      <c r="BM52" s="87" t="str">
        <f t="shared" si="42"/>
        <v>Next voter is: SUM</v>
      </c>
    </row>
    <row r="53">
      <c r="B53" s="84"/>
      <c r="E53" s="84"/>
      <c r="F53" s="89" t="s">
        <v>125</v>
      </c>
      <c r="G53" s="89" t="s">
        <v>125</v>
      </c>
      <c r="H53" s="89" t="s">
        <v>125</v>
      </c>
      <c r="I53" s="89" t="s">
        <v>125</v>
      </c>
      <c r="J53" s="89" t="s">
        <v>125</v>
      </c>
      <c r="K53" s="89" t="s">
        <v>125</v>
      </c>
      <c r="L53" s="89" t="s">
        <v>125</v>
      </c>
      <c r="M53" s="89" t="s">
        <v>125</v>
      </c>
      <c r="N53" s="89" t="s">
        <v>125</v>
      </c>
      <c r="O53" s="89" t="s">
        <v>125</v>
      </c>
      <c r="P53" s="89" t="s">
        <v>125</v>
      </c>
      <c r="Q53" s="89" t="s">
        <v>125</v>
      </c>
      <c r="R53" s="89" t="s">
        <v>125</v>
      </c>
      <c r="S53" s="89" t="s">
        <v>125</v>
      </c>
      <c r="T53" s="89" t="s">
        <v>125</v>
      </c>
      <c r="U53" s="89" t="s">
        <v>125</v>
      </c>
      <c r="V53" s="89" t="s">
        <v>125</v>
      </c>
      <c r="W53" s="89" t="s">
        <v>125</v>
      </c>
      <c r="X53" s="89" t="s">
        <v>125</v>
      </c>
      <c r="Y53" s="89" t="s">
        <v>125</v>
      </c>
      <c r="Z53" s="89" t="s">
        <v>125</v>
      </c>
      <c r="AA53" s="89" t="s">
        <v>125</v>
      </c>
      <c r="AB53" s="89" t="s">
        <v>125</v>
      </c>
      <c r="AC53" s="89" t="s">
        <v>125</v>
      </c>
      <c r="AD53" s="89" t="s">
        <v>125</v>
      </c>
      <c r="AE53" s="89" t="s">
        <v>125</v>
      </c>
      <c r="AF53" s="89" t="s">
        <v>125</v>
      </c>
      <c r="AG53" s="89" t="s">
        <v>125</v>
      </c>
      <c r="AH53" s="89" t="s">
        <v>125</v>
      </c>
      <c r="AI53" s="89" t="s">
        <v>125</v>
      </c>
      <c r="AJ53" s="89" t="s">
        <v>125</v>
      </c>
      <c r="AK53" s="89" t="s">
        <v>125</v>
      </c>
      <c r="AL53" s="89" t="s">
        <v>125</v>
      </c>
      <c r="AM53" s="89" t="s">
        <v>125</v>
      </c>
      <c r="AN53" s="89" t="s">
        <v>125</v>
      </c>
      <c r="AO53" s="89" t="s">
        <v>125</v>
      </c>
      <c r="AP53" s="89" t="s">
        <v>125</v>
      </c>
      <c r="AQ53" s="89" t="s">
        <v>125</v>
      </c>
      <c r="AR53" s="89" t="s">
        <v>125</v>
      </c>
      <c r="AS53" s="89" t="s">
        <v>125</v>
      </c>
      <c r="AT53" s="89" t="s">
        <v>125</v>
      </c>
      <c r="AU53" s="89" t="s">
        <v>125</v>
      </c>
      <c r="AV53" s="89" t="s">
        <v>125</v>
      </c>
      <c r="AW53" s="89" t="s">
        <v>125</v>
      </c>
      <c r="AX53" s="89" t="s">
        <v>125</v>
      </c>
      <c r="AY53" s="89" t="s">
        <v>125</v>
      </c>
      <c r="AZ53" s="89" t="s">
        <v>125</v>
      </c>
      <c r="BA53" s="89" t="s">
        <v>125</v>
      </c>
      <c r="BB53" s="89" t="s">
        <v>125</v>
      </c>
      <c r="BC53" s="89" t="s">
        <v>125</v>
      </c>
      <c r="BD53" s="89" t="s">
        <v>125</v>
      </c>
      <c r="BE53" s="89" t="s">
        <v>125</v>
      </c>
      <c r="BF53" s="89" t="s">
        <v>125</v>
      </c>
      <c r="BG53" s="89" t="s">
        <v>125</v>
      </c>
      <c r="BH53" s="89" t="s">
        <v>125</v>
      </c>
      <c r="BI53" s="89" t="s">
        <v>125</v>
      </c>
      <c r="BJ53" s="89" t="s">
        <v>125</v>
      </c>
      <c r="BK53" s="89" t="s">
        <v>125</v>
      </c>
      <c r="BL53" s="89" t="s">
        <v>125</v>
      </c>
    </row>
    <row r="54">
      <c r="B54" s="84"/>
      <c r="E54" s="84"/>
      <c r="F54" s="87"/>
    </row>
    <row r="55">
      <c r="B55" s="84"/>
      <c r="E55" s="84"/>
      <c r="F55" s="87"/>
    </row>
    <row r="56">
      <c r="B56" s="84"/>
      <c r="E56" s="84"/>
      <c r="F56" s="87"/>
    </row>
    <row r="57">
      <c r="B57" s="84"/>
      <c r="E57" s="84"/>
      <c r="F57" s="87"/>
    </row>
    <row r="58">
      <c r="B58" s="84"/>
      <c r="E58" s="84"/>
    </row>
    <row r="59">
      <c r="B59" s="84"/>
      <c r="E59" s="84"/>
    </row>
    <row r="60">
      <c r="B60" s="84"/>
      <c r="E60" s="84"/>
    </row>
    <row r="61">
      <c r="B61" s="84"/>
      <c r="E61" s="84"/>
    </row>
    <row r="62">
      <c r="B62" s="84"/>
      <c r="E62" s="84"/>
    </row>
    <row r="63">
      <c r="B63" s="84"/>
      <c r="E63" s="84"/>
    </row>
    <row r="64">
      <c r="B64" s="84"/>
      <c r="E64" s="84"/>
    </row>
    <row r="65">
      <c r="B65" s="84"/>
      <c r="E65" s="84"/>
    </row>
    <row r="66">
      <c r="B66" s="84"/>
      <c r="E66" s="84"/>
    </row>
    <row r="67">
      <c r="B67" s="84"/>
      <c r="E67" s="84"/>
    </row>
    <row r="68">
      <c r="B68" s="84"/>
      <c r="E68" s="84"/>
    </row>
    <row r="69">
      <c r="B69" s="84"/>
      <c r="E69" s="84"/>
    </row>
    <row r="70">
      <c r="B70" s="84"/>
      <c r="E70" s="84"/>
    </row>
    <row r="71">
      <c r="B71" s="84"/>
      <c r="E71" s="84"/>
    </row>
    <row r="72">
      <c r="B72" s="84"/>
      <c r="E72" s="84"/>
    </row>
    <row r="73">
      <c r="B73" s="84"/>
      <c r="E73" s="84"/>
    </row>
    <row r="74">
      <c r="B74" s="84"/>
      <c r="E74" s="84"/>
    </row>
    <row r="75">
      <c r="B75" s="84"/>
      <c r="E75" s="84"/>
    </row>
    <row r="76">
      <c r="B76" s="84"/>
      <c r="E76" s="84"/>
    </row>
    <row r="77">
      <c r="B77" s="84"/>
      <c r="E77" s="84"/>
    </row>
    <row r="78">
      <c r="B78" s="84"/>
      <c r="E78" s="84"/>
    </row>
    <row r="79">
      <c r="B79" s="84"/>
      <c r="E79" s="84"/>
    </row>
    <row r="80">
      <c r="B80" s="84"/>
      <c r="E80" s="84"/>
    </row>
    <row r="81">
      <c r="B81" s="84"/>
      <c r="E81" s="84"/>
    </row>
    <row r="82">
      <c r="B82" s="84"/>
      <c r="E82" s="84"/>
    </row>
    <row r="83">
      <c r="B83" s="84"/>
      <c r="E83" s="84"/>
    </row>
    <row r="84">
      <c r="B84" s="84"/>
      <c r="E84" s="84"/>
    </row>
    <row r="85">
      <c r="B85" s="84"/>
      <c r="E85" s="84"/>
    </row>
    <row r="86">
      <c r="B86" s="84"/>
      <c r="E86" s="84"/>
    </row>
    <row r="87">
      <c r="B87" s="84"/>
      <c r="E87" s="84"/>
    </row>
    <row r="88">
      <c r="B88" s="84"/>
      <c r="E88" s="84"/>
    </row>
    <row r="89">
      <c r="B89" s="84"/>
      <c r="E89" s="84"/>
    </row>
    <row r="90">
      <c r="B90" s="84"/>
      <c r="E90" s="84"/>
    </row>
    <row r="91">
      <c r="B91" s="84"/>
      <c r="E91" s="84"/>
    </row>
    <row r="92">
      <c r="B92" s="84"/>
      <c r="E92" s="84"/>
    </row>
    <row r="93">
      <c r="B93" s="84"/>
      <c r="E93" s="84"/>
    </row>
    <row r="94">
      <c r="B94" s="84"/>
      <c r="E94" s="84"/>
    </row>
    <row r="95">
      <c r="B95" s="84"/>
      <c r="E95" s="84"/>
    </row>
    <row r="96">
      <c r="B96" s="84"/>
      <c r="E96" s="84"/>
    </row>
    <row r="97">
      <c r="B97" s="84"/>
      <c r="E97" s="84"/>
    </row>
    <row r="98">
      <c r="B98" s="84"/>
      <c r="E98" s="84"/>
    </row>
    <row r="99">
      <c r="B99" s="84"/>
      <c r="E99" s="84"/>
    </row>
    <row r="100">
      <c r="B100" s="84"/>
      <c r="E100" s="84"/>
    </row>
    <row r="101">
      <c r="B101" s="84"/>
      <c r="E101" s="84"/>
    </row>
    <row r="102">
      <c r="B102" s="84"/>
      <c r="E102" s="84"/>
    </row>
    <row r="103">
      <c r="B103" s="84"/>
      <c r="E103" s="84"/>
    </row>
    <row r="104">
      <c r="B104" s="84"/>
      <c r="E104" s="84"/>
    </row>
    <row r="105">
      <c r="B105" s="84"/>
      <c r="E105" s="84"/>
    </row>
    <row r="106">
      <c r="B106" s="84"/>
      <c r="E106" s="84"/>
    </row>
    <row r="107">
      <c r="B107" s="84"/>
      <c r="E107" s="84"/>
    </row>
    <row r="108">
      <c r="B108" s="84"/>
      <c r="E108" s="84"/>
    </row>
    <row r="109">
      <c r="B109" s="84"/>
      <c r="E109" s="84"/>
    </row>
    <row r="110">
      <c r="B110" s="84"/>
      <c r="E110" s="84"/>
    </row>
    <row r="111">
      <c r="B111" s="84"/>
      <c r="E111" s="84"/>
    </row>
    <row r="112">
      <c r="B112" s="84"/>
      <c r="E112" s="84"/>
    </row>
    <row r="113">
      <c r="B113" s="84"/>
      <c r="E113" s="84"/>
    </row>
    <row r="114">
      <c r="B114" s="84"/>
      <c r="E114" s="84"/>
    </row>
    <row r="115">
      <c r="B115" s="84"/>
      <c r="E115" s="84"/>
    </row>
    <row r="116">
      <c r="B116" s="84"/>
      <c r="E116" s="84"/>
    </row>
    <row r="117">
      <c r="B117" s="84"/>
      <c r="E117" s="84"/>
    </row>
    <row r="118">
      <c r="B118" s="84"/>
      <c r="E118" s="84"/>
    </row>
    <row r="119">
      <c r="B119" s="84"/>
      <c r="E119" s="84"/>
    </row>
    <row r="120">
      <c r="B120" s="84"/>
      <c r="E120" s="84"/>
    </row>
    <row r="121">
      <c r="B121" s="84"/>
      <c r="E121" s="84"/>
    </row>
    <row r="122">
      <c r="B122" s="84"/>
      <c r="E122" s="84"/>
    </row>
    <row r="123">
      <c r="B123" s="84"/>
      <c r="E123" s="84"/>
    </row>
    <row r="124">
      <c r="B124" s="84"/>
      <c r="E124" s="84"/>
    </row>
    <row r="125">
      <c r="B125" s="84"/>
      <c r="E125" s="84"/>
    </row>
    <row r="126">
      <c r="B126" s="84"/>
      <c r="E126" s="84"/>
    </row>
    <row r="127">
      <c r="B127" s="84"/>
      <c r="E127" s="84"/>
    </row>
    <row r="128">
      <c r="B128" s="84"/>
      <c r="E128" s="84"/>
    </row>
    <row r="129">
      <c r="B129" s="84"/>
      <c r="E129" s="84"/>
    </row>
    <row r="130">
      <c r="B130" s="84"/>
      <c r="E130" s="84"/>
    </row>
    <row r="131">
      <c r="B131" s="84"/>
      <c r="E131" s="84"/>
    </row>
    <row r="132">
      <c r="B132" s="84"/>
      <c r="E132" s="84"/>
    </row>
    <row r="133">
      <c r="B133" s="84"/>
      <c r="E133" s="84"/>
    </row>
    <row r="134">
      <c r="B134" s="84"/>
      <c r="E134" s="84"/>
    </row>
    <row r="135">
      <c r="B135" s="84"/>
      <c r="E135" s="84"/>
    </row>
    <row r="136">
      <c r="B136" s="84"/>
      <c r="E136" s="84"/>
    </row>
    <row r="137">
      <c r="B137" s="84"/>
      <c r="E137" s="84"/>
    </row>
    <row r="138">
      <c r="B138" s="84"/>
      <c r="E138" s="84"/>
    </row>
    <row r="139">
      <c r="B139" s="84"/>
      <c r="E139" s="84"/>
    </row>
    <row r="140">
      <c r="B140" s="84"/>
      <c r="E140" s="84"/>
    </row>
    <row r="141">
      <c r="B141" s="84"/>
      <c r="E141" s="84"/>
    </row>
    <row r="142">
      <c r="B142" s="84"/>
      <c r="E142" s="84"/>
    </row>
    <row r="143">
      <c r="B143" s="84"/>
      <c r="E143" s="84"/>
    </row>
    <row r="144">
      <c r="B144" s="84"/>
      <c r="E144" s="84"/>
    </row>
    <row r="145">
      <c r="B145" s="84"/>
      <c r="E145" s="84"/>
    </row>
    <row r="146">
      <c r="B146" s="84"/>
      <c r="E146" s="84"/>
    </row>
    <row r="147">
      <c r="B147" s="84"/>
      <c r="E147" s="84"/>
    </row>
    <row r="148">
      <c r="B148" s="84"/>
      <c r="E148" s="84"/>
    </row>
    <row r="149">
      <c r="B149" s="84"/>
      <c r="E149" s="84"/>
    </row>
    <row r="150">
      <c r="B150" s="84"/>
      <c r="E150" s="84"/>
    </row>
    <row r="151">
      <c r="B151" s="84"/>
      <c r="E151" s="84"/>
    </row>
    <row r="152">
      <c r="B152" s="84"/>
      <c r="E152" s="84"/>
    </row>
    <row r="153">
      <c r="B153" s="84"/>
      <c r="E153" s="84"/>
    </row>
    <row r="154">
      <c r="B154" s="84"/>
      <c r="E154" s="84"/>
    </row>
    <row r="155">
      <c r="B155" s="84"/>
      <c r="E155" s="84"/>
    </row>
    <row r="156">
      <c r="B156" s="84"/>
      <c r="E156" s="84"/>
    </row>
    <row r="157">
      <c r="B157" s="84"/>
      <c r="E157" s="84"/>
    </row>
    <row r="158">
      <c r="B158" s="84"/>
      <c r="E158" s="84"/>
    </row>
    <row r="159">
      <c r="B159" s="84"/>
      <c r="E159" s="84"/>
    </row>
    <row r="160">
      <c r="B160" s="84"/>
      <c r="E160" s="84"/>
    </row>
    <row r="161">
      <c r="B161" s="84"/>
      <c r="E161" s="84"/>
    </row>
    <row r="162">
      <c r="B162" s="84"/>
      <c r="E162" s="84"/>
    </row>
    <row r="163">
      <c r="B163" s="84"/>
      <c r="E163" s="84"/>
    </row>
    <row r="164">
      <c r="B164" s="84"/>
      <c r="E164" s="84"/>
    </row>
    <row r="165">
      <c r="B165" s="84"/>
      <c r="E165" s="84"/>
    </row>
    <row r="166">
      <c r="B166" s="84"/>
      <c r="E166" s="84"/>
    </row>
    <row r="167">
      <c r="B167" s="84"/>
      <c r="E167" s="84"/>
    </row>
    <row r="168">
      <c r="B168" s="84"/>
      <c r="E168" s="84"/>
    </row>
    <row r="169">
      <c r="B169" s="84"/>
      <c r="E169" s="84"/>
    </row>
    <row r="170">
      <c r="B170" s="84"/>
      <c r="E170" s="84"/>
    </row>
    <row r="171">
      <c r="B171" s="84"/>
      <c r="E171" s="84"/>
    </row>
    <row r="172">
      <c r="B172" s="84"/>
      <c r="E172" s="84"/>
    </row>
    <row r="173">
      <c r="B173" s="84"/>
      <c r="E173" s="84"/>
    </row>
    <row r="174">
      <c r="B174" s="84"/>
      <c r="E174" s="84"/>
    </row>
    <row r="175">
      <c r="B175" s="84"/>
      <c r="E175" s="84"/>
    </row>
    <row r="176">
      <c r="B176" s="84"/>
      <c r="E176" s="84"/>
    </row>
    <row r="177">
      <c r="B177" s="84"/>
      <c r="E177" s="84"/>
    </row>
    <row r="178">
      <c r="B178" s="84"/>
      <c r="E178" s="84"/>
    </row>
    <row r="179">
      <c r="B179" s="84"/>
      <c r="E179" s="84"/>
    </row>
    <row r="180">
      <c r="B180" s="84"/>
      <c r="E180" s="84"/>
    </row>
    <row r="181">
      <c r="B181" s="84"/>
      <c r="E181" s="84"/>
    </row>
    <row r="182">
      <c r="B182" s="84"/>
      <c r="E182" s="84"/>
    </row>
    <row r="183">
      <c r="B183" s="84"/>
      <c r="E183" s="84"/>
    </row>
    <row r="184">
      <c r="B184" s="84"/>
      <c r="E184" s="84"/>
    </row>
    <row r="185">
      <c r="B185" s="84"/>
      <c r="E185" s="84"/>
    </row>
    <row r="186">
      <c r="B186" s="84"/>
      <c r="E186" s="84"/>
    </row>
    <row r="187">
      <c r="B187" s="84"/>
      <c r="E187" s="84"/>
    </row>
    <row r="188">
      <c r="B188" s="84"/>
      <c r="E188" s="84"/>
    </row>
    <row r="189">
      <c r="B189" s="84"/>
      <c r="E189" s="84"/>
    </row>
    <row r="190">
      <c r="B190" s="84"/>
      <c r="E190" s="84"/>
    </row>
    <row r="191">
      <c r="B191" s="84"/>
      <c r="E191" s="84"/>
    </row>
    <row r="192">
      <c r="B192" s="84"/>
      <c r="E192" s="84"/>
    </row>
    <row r="193">
      <c r="B193" s="84"/>
      <c r="E193" s="84"/>
    </row>
    <row r="194">
      <c r="B194" s="84"/>
      <c r="E194" s="84"/>
    </row>
    <row r="195">
      <c r="B195" s="84"/>
      <c r="E195" s="84"/>
    </row>
    <row r="196">
      <c r="B196" s="84"/>
      <c r="E196" s="84"/>
    </row>
    <row r="197">
      <c r="B197" s="84"/>
      <c r="E197" s="84"/>
    </row>
    <row r="198">
      <c r="B198" s="84"/>
      <c r="E198" s="84"/>
    </row>
    <row r="199">
      <c r="B199" s="84"/>
      <c r="E199" s="84"/>
    </row>
    <row r="200">
      <c r="B200" s="84"/>
      <c r="E200" s="84"/>
    </row>
    <row r="201">
      <c r="B201" s="84"/>
      <c r="E201" s="84"/>
    </row>
    <row r="202">
      <c r="B202" s="84"/>
      <c r="E202" s="84"/>
    </row>
    <row r="203">
      <c r="B203" s="84"/>
      <c r="E203" s="84"/>
    </row>
    <row r="204">
      <c r="B204" s="84"/>
      <c r="E204" s="84"/>
    </row>
    <row r="205">
      <c r="B205" s="84"/>
      <c r="E205" s="84"/>
    </row>
    <row r="206">
      <c r="B206" s="84"/>
      <c r="E206" s="84"/>
    </row>
    <row r="207">
      <c r="B207" s="84"/>
      <c r="E207" s="84"/>
    </row>
    <row r="208">
      <c r="B208" s="84"/>
      <c r="E208" s="84"/>
    </row>
    <row r="209">
      <c r="B209" s="84"/>
      <c r="E209" s="84"/>
    </row>
    <row r="210">
      <c r="B210" s="84"/>
      <c r="E210" s="84"/>
    </row>
    <row r="211">
      <c r="B211" s="84"/>
      <c r="E211" s="84"/>
    </row>
    <row r="212">
      <c r="B212" s="84"/>
      <c r="E212" s="84"/>
    </row>
    <row r="213">
      <c r="B213" s="84"/>
      <c r="E213" s="84"/>
    </row>
    <row r="214">
      <c r="B214" s="84"/>
      <c r="E214" s="84"/>
    </row>
    <row r="215">
      <c r="B215" s="84"/>
      <c r="E215" s="84"/>
    </row>
    <row r="216">
      <c r="B216" s="84"/>
      <c r="E216" s="84"/>
    </row>
    <row r="217">
      <c r="B217" s="84"/>
      <c r="E217" s="84"/>
    </row>
    <row r="218">
      <c r="B218" s="84"/>
      <c r="E218" s="84"/>
    </row>
    <row r="219">
      <c r="B219" s="84"/>
      <c r="E219" s="84"/>
    </row>
    <row r="220">
      <c r="B220" s="84"/>
      <c r="E220" s="84"/>
    </row>
    <row r="221">
      <c r="B221" s="84"/>
      <c r="E221" s="84"/>
    </row>
    <row r="222">
      <c r="B222" s="84"/>
      <c r="E222" s="84"/>
    </row>
    <row r="223">
      <c r="B223" s="84"/>
      <c r="E223" s="84"/>
    </row>
    <row r="224">
      <c r="B224" s="84"/>
      <c r="E224" s="84"/>
    </row>
    <row r="225">
      <c r="B225" s="84"/>
      <c r="E225" s="84"/>
    </row>
    <row r="226">
      <c r="B226" s="84"/>
      <c r="E226" s="84"/>
    </row>
    <row r="227">
      <c r="B227" s="84"/>
      <c r="E227" s="84"/>
    </row>
    <row r="228">
      <c r="B228" s="84"/>
      <c r="E228" s="84"/>
    </row>
    <row r="229">
      <c r="B229" s="84"/>
      <c r="E229" s="84"/>
    </row>
    <row r="230">
      <c r="B230" s="84"/>
      <c r="E230" s="84"/>
    </row>
    <row r="231">
      <c r="B231" s="84"/>
      <c r="E231" s="84"/>
    </row>
    <row r="232">
      <c r="B232" s="84"/>
      <c r="E232" s="84"/>
    </row>
    <row r="233">
      <c r="B233" s="84"/>
      <c r="E233" s="84"/>
    </row>
    <row r="234">
      <c r="B234" s="84"/>
      <c r="E234" s="84"/>
    </row>
    <row r="235">
      <c r="B235" s="84"/>
      <c r="E235" s="84"/>
    </row>
    <row r="236">
      <c r="B236" s="84"/>
      <c r="E236" s="84"/>
    </row>
    <row r="237">
      <c r="B237" s="84"/>
      <c r="E237" s="84"/>
    </row>
    <row r="238">
      <c r="B238" s="84"/>
      <c r="E238" s="84"/>
    </row>
    <row r="239">
      <c r="B239" s="84"/>
      <c r="E239" s="84"/>
    </row>
    <row r="240">
      <c r="B240" s="84"/>
      <c r="E240" s="84"/>
    </row>
    <row r="241">
      <c r="B241" s="84"/>
      <c r="E241" s="84"/>
    </row>
    <row r="242">
      <c r="B242" s="84"/>
      <c r="E242" s="84"/>
    </row>
    <row r="243">
      <c r="B243" s="84"/>
      <c r="E243" s="84"/>
    </row>
    <row r="244">
      <c r="B244" s="84"/>
      <c r="E244" s="84"/>
    </row>
    <row r="245">
      <c r="B245" s="84"/>
      <c r="E245" s="84"/>
    </row>
    <row r="246">
      <c r="B246" s="84"/>
      <c r="E246" s="84"/>
    </row>
    <row r="247">
      <c r="B247" s="84"/>
      <c r="E247" s="84"/>
    </row>
    <row r="248">
      <c r="B248" s="84"/>
      <c r="E248" s="84"/>
    </row>
    <row r="249">
      <c r="B249" s="84"/>
      <c r="E249" s="84"/>
    </row>
    <row r="250">
      <c r="B250" s="84"/>
      <c r="E250" s="84"/>
    </row>
    <row r="251">
      <c r="B251" s="84"/>
      <c r="E251" s="84"/>
    </row>
    <row r="252">
      <c r="B252" s="84"/>
      <c r="E252" s="84"/>
    </row>
    <row r="253">
      <c r="B253" s="84"/>
      <c r="E253" s="84"/>
    </row>
    <row r="254">
      <c r="B254" s="84"/>
      <c r="E254" s="84"/>
    </row>
    <row r="255">
      <c r="B255" s="84"/>
      <c r="E255" s="84"/>
    </row>
    <row r="256">
      <c r="B256" s="84"/>
      <c r="E256" s="84"/>
    </row>
    <row r="257">
      <c r="B257" s="84"/>
      <c r="E257" s="84"/>
    </row>
    <row r="258">
      <c r="B258" s="84"/>
      <c r="E258" s="84"/>
    </row>
    <row r="259">
      <c r="B259" s="84"/>
      <c r="E259" s="84"/>
    </row>
    <row r="260">
      <c r="B260" s="84"/>
      <c r="E260" s="84"/>
    </row>
    <row r="261">
      <c r="B261" s="84"/>
      <c r="E261" s="84"/>
    </row>
    <row r="262">
      <c r="B262" s="84"/>
      <c r="E262" s="84"/>
    </row>
    <row r="263">
      <c r="B263" s="84"/>
      <c r="E263" s="84"/>
    </row>
    <row r="264">
      <c r="B264" s="84"/>
      <c r="E264" s="84"/>
    </row>
    <row r="265">
      <c r="B265" s="84"/>
      <c r="E265" s="84"/>
    </row>
    <row r="266">
      <c r="B266" s="84"/>
      <c r="E266" s="84"/>
    </row>
    <row r="267">
      <c r="B267" s="84"/>
      <c r="E267" s="84"/>
    </row>
    <row r="268">
      <c r="B268" s="84"/>
      <c r="E268" s="84"/>
    </row>
    <row r="269">
      <c r="B269" s="84"/>
      <c r="E269" s="84"/>
    </row>
    <row r="270">
      <c r="B270" s="84"/>
      <c r="E270" s="84"/>
    </row>
    <row r="271">
      <c r="B271" s="84"/>
      <c r="E271" s="84"/>
    </row>
    <row r="272">
      <c r="B272" s="84"/>
      <c r="E272" s="84"/>
    </row>
    <row r="273">
      <c r="B273" s="84"/>
      <c r="E273" s="84"/>
    </row>
    <row r="274">
      <c r="B274" s="84"/>
      <c r="E274" s="84"/>
    </row>
    <row r="275">
      <c r="B275" s="84"/>
      <c r="E275" s="84"/>
    </row>
    <row r="276">
      <c r="B276" s="84"/>
      <c r="E276" s="84"/>
    </row>
    <row r="277">
      <c r="B277" s="84"/>
      <c r="E277" s="84"/>
    </row>
    <row r="278">
      <c r="B278" s="84"/>
      <c r="E278" s="84"/>
    </row>
    <row r="279">
      <c r="B279" s="84"/>
      <c r="E279" s="84"/>
    </row>
    <row r="280">
      <c r="B280" s="84"/>
      <c r="E280" s="84"/>
    </row>
    <row r="281">
      <c r="B281" s="84"/>
      <c r="E281" s="84"/>
    </row>
    <row r="282">
      <c r="B282" s="84"/>
      <c r="E282" s="84"/>
    </row>
    <row r="283">
      <c r="B283" s="84"/>
      <c r="E283" s="84"/>
    </row>
    <row r="284">
      <c r="B284" s="84"/>
      <c r="E284" s="84"/>
    </row>
    <row r="285">
      <c r="B285" s="84"/>
      <c r="E285" s="84"/>
    </row>
    <row r="286">
      <c r="B286" s="84"/>
      <c r="E286" s="84"/>
    </row>
    <row r="287">
      <c r="B287" s="84"/>
      <c r="E287" s="84"/>
    </row>
    <row r="288">
      <c r="B288" s="84"/>
      <c r="E288" s="84"/>
    </row>
    <row r="289">
      <c r="B289" s="84"/>
      <c r="E289" s="84"/>
    </row>
    <row r="290">
      <c r="B290" s="84"/>
      <c r="E290" s="84"/>
    </row>
    <row r="291">
      <c r="B291" s="84"/>
      <c r="E291" s="84"/>
    </row>
    <row r="292">
      <c r="B292" s="84"/>
      <c r="E292" s="84"/>
    </row>
    <row r="293">
      <c r="B293" s="84"/>
      <c r="E293" s="84"/>
    </row>
    <row r="294">
      <c r="B294" s="84"/>
      <c r="E294" s="84"/>
    </row>
    <row r="295">
      <c r="B295" s="84"/>
      <c r="E295" s="84"/>
    </row>
    <row r="296">
      <c r="B296" s="84"/>
      <c r="E296" s="84"/>
    </row>
    <row r="297">
      <c r="B297" s="84"/>
      <c r="E297" s="84"/>
    </row>
    <row r="298">
      <c r="B298" s="84"/>
      <c r="E298" s="84"/>
    </row>
    <row r="299">
      <c r="B299" s="84"/>
      <c r="E299" s="84"/>
    </row>
    <row r="300">
      <c r="B300" s="84"/>
      <c r="E300" s="84"/>
    </row>
    <row r="301">
      <c r="B301" s="84"/>
      <c r="E301" s="84"/>
    </row>
    <row r="302">
      <c r="B302" s="84"/>
      <c r="E302" s="84"/>
    </row>
    <row r="303">
      <c r="B303" s="84"/>
      <c r="E303" s="84"/>
    </row>
    <row r="304">
      <c r="B304" s="84"/>
      <c r="E304" s="84"/>
    </row>
    <row r="305">
      <c r="B305" s="84"/>
      <c r="E305" s="84"/>
    </row>
    <row r="306">
      <c r="B306" s="84"/>
      <c r="E306" s="84"/>
    </row>
    <row r="307">
      <c r="B307" s="84"/>
      <c r="E307" s="84"/>
    </row>
    <row r="308">
      <c r="B308" s="84"/>
      <c r="E308" s="84"/>
    </row>
    <row r="309">
      <c r="B309" s="84"/>
      <c r="E309" s="84"/>
    </row>
    <row r="310">
      <c r="B310" s="84"/>
      <c r="E310" s="84"/>
    </row>
    <row r="311">
      <c r="B311" s="84"/>
      <c r="E311" s="84"/>
    </row>
    <row r="312">
      <c r="B312" s="84"/>
      <c r="E312" s="84"/>
    </row>
    <row r="313">
      <c r="B313" s="84"/>
      <c r="E313" s="84"/>
    </row>
    <row r="314">
      <c r="B314" s="84"/>
      <c r="E314" s="84"/>
    </row>
    <row r="315">
      <c r="B315" s="84"/>
      <c r="E315" s="84"/>
    </row>
    <row r="316">
      <c r="B316" s="84"/>
      <c r="E316" s="84"/>
    </row>
    <row r="317">
      <c r="B317" s="84"/>
      <c r="E317" s="84"/>
    </row>
    <row r="318">
      <c r="B318" s="84"/>
      <c r="E318" s="84"/>
    </row>
    <row r="319">
      <c r="B319" s="84"/>
      <c r="E319" s="84"/>
    </row>
    <row r="320">
      <c r="B320" s="84"/>
      <c r="E320" s="84"/>
    </row>
    <row r="321">
      <c r="B321" s="84"/>
      <c r="E321" s="84"/>
    </row>
    <row r="322">
      <c r="B322" s="84"/>
      <c r="E322" s="84"/>
    </row>
    <row r="323">
      <c r="B323" s="84"/>
      <c r="E323" s="84"/>
    </row>
    <row r="324">
      <c r="B324" s="84"/>
      <c r="E324" s="84"/>
    </row>
    <row r="325">
      <c r="B325" s="84"/>
      <c r="E325" s="84"/>
    </row>
    <row r="326">
      <c r="B326" s="84"/>
      <c r="E326" s="84"/>
    </row>
    <row r="327">
      <c r="B327" s="84"/>
      <c r="E327" s="84"/>
    </row>
    <row r="328">
      <c r="B328" s="84"/>
      <c r="E328" s="84"/>
    </row>
    <row r="329">
      <c r="B329" s="84"/>
      <c r="E329" s="84"/>
    </row>
    <row r="330">
      <c r="B330" s="84"/>
      <c r="E330" s="84"/>
    </row>
    <row r="331">
      <c r="B331" s="84"/>
      <c r="E331" s="84"/>
    </row>
    <row r="332">
      <c r="B332" s="84"/>
      <c r="E332" s="84"/>
    </row>
    <row r="333">
      <c r="B333" s="84"/>
      <c r="E333" s="84"/>
    </row>
    <row r="334">
      <c r="B334" s="84"/>
      <c r="E334" s="84"/>
    </row>
    <row r="335">
      <c r="B335" s="84"/>
      <c r="E335" s="84"/>
    </row>
    <row r="336">
      <c r="B336" s="84"/>
      <c r="E336" s="84"/>
    </row>
    <row r="337">
      <c r="B337" s="84"/>
      <c r="E337" s="84"/>
    </row>
    <row r="338">
      <c r="B338" s="84"/>
      <c r="E338" s="84"/>
    </row>
    <row r="339">
      <c r="B339" s="84"/>
      <c r="E339" s="84"/>
    </row>
    <row r="340">
      <c r="B340" s="84"/>
      <c r="E340" s="84"/>
    </row>
    <row r="341">
      <c r="B341" s="84"/>
      <c r="E341" s="84"/>
    </row>
    <row r="342">
      <c r="B342" s="84"/>
      <c r="E342" s="84"/>
    </row>
    <row r="343">
      <c r="B343" s="84"/>
      <c r="E343" s="84"/>
    </row>
    <row r="344">
      <c r="B344" s="84"/>
      <c r="E344" s="84"/>
    </row>
    <row r="345">
      <c r="B345" s="84"/>
      <c r="E345" s="84"/>
    </row>
    <row r="346">
      <c r="B346" s="84"/>
      <c r="E346" s="84"/>
    </row>
    <row r="347">
      <c r="B347" s="84"/>
      <c r="E347" s="84"/>
    </row>
    <row r="348">
      <c r="B348" s="84"/>
      <c r="E348" s="84"/>
    </row>
    <row r="349">
      <c r="B349" s="84"/>
      <c r="E349" s="84"/>
    </row>
    <row r="350">
      <c r="B350" s="84"/>
      <c r="E350" s="84"/>
    </row>
    <row r="351">
      <c r="B351" s="84"/>
      <c r="E351" s="84"/>
    </row>
    <row r="352">
      <c r="B352" s="84"/>
      <c r="E352" s="84"/>
    </row>
    <row r="353">
      <c r="B353" s="84"/>
      <c r="E353" s="84"/>
    </row>
    <row r="354">
      <c r="B354" s="84"/>
      <c r="E354" s="84"/>
    </row>
    <row r="355">
      <c r="B355" s="84"/>
      <c r="E355" s="84"/>
    </row>
    <row r="356">
      <c r="B356" s="84"/>
      <c r="E356" s="84"/>
    </row>
    <row r="357">
      <c r="B357" s="84"/>
      <c r="E357" s="84"/>
    </row>
    <row r="358">
      <c r="B358" s="84"/>
      <c r="E358" s="84"/>
    </row>
    <row r="359">
      <c r="B359" s="84"/>
      <c r="E359" s="84"/>
    </row>
    <row r="360">
      <c r="B360" s="84"/>
      <c r="E360" s="84"/>
    </row>
    <row r="361">
      <c r="B361" s="84"/>
      <c r="E361" s="84"/>
    </row>
    <row r="362">
      <c r="B362" s="84"/>
      <c r="E362" s="84"/>
    </row>
    <row r="363">
      <c r="B363" s="84"/>
      <c r="E363" s="84"/>
    </row>
    <row r="364">
      <c r="B364" s="84"/>
      <c r="E364" s="84"/>
    </row>
    <row r="365">
      <c r="B365" s="84"/>
      <c r="E365" s="84"/>
    </row>
    <row r="366">
      <c r="B366" s="84"/>
      <c r="E366" s="84"/>
    </row>
    <row r="367">
      <c r="B367" s="84"/>
      <c r="E367" s="84"/>
    </row>
    <row r="368">
      <c r="B368" s="84"/>
      <c r="E368" s="84"/>
    </row>
    <row r="369">
      <c r="B369" s="84"/>
      <c r="E369" s="84"/>
    </row>
    <row r="370">
      <c r="B370" s="84"/>
      <c r="E370" s="84"/>
    </row>
    <row r="371">
      <c r="B371" s="84"/>
      <c r="E371" s="84"/>
    </row>
    <row r="372">
      <c r="B372" s="84"/>
      <c r="E372" s="84"/>
    </row>
    <row r="373">
      <c r="B373" s="84"/>
      <c r="E373" s="84"/>
    </row>
    <row r="374">
      <c r="B374" s="84"/>
      <c r="E374" s="84"/>
    </row>
    <row r="375">
      <c r="B375" s="84"/>
      <c r="E375" s="84"/>
    </row>
    <row r="376">
      <c r="B376" s="84"/>
      <c r="E376" s="84"/>
    </row>
    <row r="377">
      <c r="B377" s="84"/>
      <c r="E377" s="84"/>
    </row>
    <row r="378">
      <c r="B378" s="84"/>
      <c r="E378" s="84"/>
    </row>
    <row r="379">
      <c r="B379" s="84"/>
      <c r="E379" s="84"/>
    </row>
    <row r="380">
      <c r="B380" s="84"/>
      <c r="E380" s="84"/>
    </row>
    <row r="381">
      <c r="B381" s="84"/>
      <c r="E381" s="84"/>
    </row>
    <row r="382">
      <c r="B382" s="84"/>
      <c r="E382" s="84"/>
    </row>
    <row r="383">
      <c r="B383" s="84"/>
      <c r="E383" s="84"/>
    </row>
    <row r="384">
      <c r="B384" s="84"/>
      <c r="E384" s="84"/>
    </row>
    <row r="385">
      <c r="B385" s="84"/>
      <c r="E385" s="84"/>
    </row>
    <row r="386">
      <c r="B386" s="84"/>
      <c r="E386" s="84"/>
    </row>
    <row r="387">
      <c r="B387" s="84"/>
      <c r="E387" s="84"/>
    </row>
    <row r="388">
      <c r="B388" s="84"/>
      <c r="E388" s="84"/>
    </row>
    <row r="389">
      <c r="B389" s="84"/>
      <c r="E389" s="84"/>
    </row>
    <row r="390">
      <c r="B390" s="84"/>
      <c r="E390" s="84"/>
    </row>
    <row r="391">
      <c r="B391" s="84"/>
      <c r="E391" s="84"/>
    </row>
    <row r="392">
      <c r="B392" s="84"/>
      <c r="E392" s="84"/>
    </row>
    <row r="393">
      <c r="B393" s="84"/>
      <c r="E393" s="84"/>
    </row>
    <row r="394">
      <c r="B394" s="84"/>
      <c r="E394" s="84"/>
    </row>
    <row r="395">
      <c r="B395" s="84"/>
      <c r="E395" s="84"/>
    </row>
    <row r="396">
      <c r="B396" s="84"/>
      <c r="E396" s="84"/>
    </row>
    <row r="397">
      <c r="B397" s="84"/>
      <c r="E397" s="84"/>
    </row>
    <row r="398">
      <c r="B398" s="84"/>
      <c r="E398" s="84"/>
    </row>
    <row r="399">
      <c r="B399" s="84"/>
      <c r="E399" s="84"/>
    </row>
    <row r="400">
      <c r="B400" s="84"/>
      <c r="E400" s="84"/>
    </row>
    <row r="401">
      <c r="B401" s="84"/>
      <c r="E401" s="84"/>
    </row>
    <row r="402">
      <c r="B402" s="84"/>
      <c r="E402" s="84"/>
    </row>
    <row r="403">
      <c r="B403" s="84"/>
      <c r="E403" s="84"/>
    </row>
    <row r="404">
      <c r="B404" s="84"/>
      <c r="E404" s="84"/>
    </row>
    <row r="405">
      <c r="B405" s="84"/>
      <c r="E405" s="84"/>
    </row>
    <row r="406">
      <c r="B406" s="84"/>
      <c r="E406" s="84"/>
    </row>
    <row r="407">
      <c r="B407" s="84"/>
      <c r="E407" s="84"/>
    </row>
    <row r="408">
      <c r="B408" s="84"/>
      <c r="E408" s="84"/>
    </row>
    <row r="409">
      <c r="B409" s="84"/>
      <c r="E409" s="84"/>
    </row>
    <row r="410">
      <c r="B410" s="84"/>
      <c r="E410" s="84"/>
    </row>
    <row r="411">
      <c r="B411" s="84"/>
      <c r="E411" s="84"/>
    </row>
    <row r="412">
      <c r="B412" s="84"/>
      <c r="E412" s="84"/>
    </row>
    <row r="413">
      <c r="B413" s="84"/>
      <c r="E413" s="84"/>
    </row>
    <row r="414">
      <c r="B414" s="84"/>
      <c r="E414" s="84"/>
    </row>
    <row r="415">
      <c r="B415" s="84"/>
      <c r="E415" s="84"/>
    </row>
    <row r="416">
      <c r="B416" s="84"/>
      <c r="E416" s="84"/>
    </row>
    <row r="417">
      <c r="B417" s="84"/>
      <c r="E417" s="84"/>
    </row>
    <row r="418">
      <c r="B418" s="84"/>
      <c r="E418" s="84"/>
    </row>
    <row r="419">
      <c r="B419" s="84"/>
      <c r="E419" s="84"/>
    </row>
    <row r="420">
      <c r="B420" s="84"/>
      <c r="E420" s="84"/>
    </row>
    <row r="421">
      <c r="B421" s="84"/>
      <c r="E421" s="84"/>
    </row>
    <row r="422">
      <c r="B422" s="84"/>
      <c r="E422" s="84"/>
    </row>
    <row r="423">
      <c r="B423" s="84"/>
      <c r="E423" s="84"/>
    </row>
    <row r="424">
      <c r="B424" s="84"/>
      <c r="E424" s="84"/>
    </row>
    <row r="425">
      <c r="B425" s="84"/>
      <c r="E425" s="84"/>
    </row>
    <row r="426">
      <c r="B426" s="84"/>
      <c r="E426" s="84"/>
    </row>
    <row r="427">
      <c r="B427" s="84"/>
      <c r="E427" s="84"/>
    </row>
    <row r="428">
      <c r="B428" s="84"/>
      <c r="E428" s="84"/>
    </row>
    <row r="429">
      <c r="B429" s="84"/>
      <c r="E429" s="84"/>
    </row>
    <row r="430">
      <c r="B430" s="84"/>
      <c r="E430" s="84"/>
    </row>
    <row r="431">
      <c r="B431" s="84"/>
      <c r="E431" s="84"/>
    </row>
    <row r="432">
      <c r="B432" s="84"/>
      <c r="E432" s="84"/>
    </row>
    <row r="433">
      <c r="B433" s="84"/>
      <c r="E433" s="84"/>
    </row>
    <row r="434">
      <c r="B434" s="84"/>
      <c r="E434" s="84"/>
    </row>
    <row r="435">
      <c r="B435" s="84"/>
      <c r="E435" s="84"/>
    </row>
    <row r="436">
      <c r="B436" s="84"/>
      <c r="E436" s="84"/>
    </row>
    <row r="437">
      <c r="B437" s="84"/>
      <c r="E437" s="84"/>
    </row>
    <row r="438">
      <c r="B438" s="84"/>
      <c r="E438" s="84"/>
    </row>
    <row r="439">
      <c r="B439" s="84"/>
      <c r="E439" s="84"/>
    </row>
    <row r="440">
      <c r="B440" s="84"/>
      <c r="E440" s="84"/>
    </row>
    <row r="441">
      <c r="B441" s="84"/>
      <c r="E441" s="84"/>
    </row>
    <row r="442">
      <c r="B442" s="84"/>
      <c r="E442" s="84"/>
    </row>
    <row r="443">
      <c r="B443" s="84"/>
      <c r="E443" s="84"/>
    </row>
    <row r="444">
      <c r="B444" s="84"/>
      <c r="E444" s="84"/>
    </row>
    <row r="445">
      <c r="B445" s="84"/>
      <c r="E445" s="84"/>
    </row>
    <row r="446">
      <c r="B446" s="84"/>
      <c r="E446" s="84"/>
    </row>
    <row r="447">
      <c r="B447" s="84"/>
      <c r="E447" s="84"/>
    </row>
    <row r="448">
      <c r="B448" s="84"/>
      <c r="E448" s="84"/>
    </row>
    <row r="449">
      <c r="B449" s="84"/>
      <c r="E449" s="84"/>
    </row>
    <row r="450">
      <c r="B450" s="84"/>
      <c r="E450" s="84"/>
    </row>
    <row r="451">
      <c r="B451" s="84"/>
      <c r="E451" s="84"/>
    </row>
    <row r="452">
      <c r="B452" s="84"/>
      <c r="E452" s="84"/>
    </row>
    <row r="453">
      <c r="B453" s="84"/>
      <c r="E453" s="84"/>
    </row>
    <row r="454">
      <c r="B454" s="84"/>
      <c r="E454" s="84"/>
    </row>
    <row r="455">
      <c r="B455" s="84"/>
      <c r="E455" s="84"/>
    </row>
    <row r="456">
      <c r="B456" s="84"/>
      <c r="E456" s="84"/>
    </row>
    <row r="457">
      <c r="B457" s="84"/>
      <c r="E457" s="84"/>
    </row>
    <row r="458">
      <c r="B458" s="84"/>
      <c r="E458" s="84"/>
    </row>
    <row r="459">
      <c r="B459" s="84"/>
      <c r="E459" s="84"/>
    </row>
    <row r="460">
      <c r="B460" s="84"/>
      <c r="E460" s="84"/>
    </row>
    <row r="461">
      <c r="B461" s="84"/>
      <c r="E461" s="84"/>
    </row>
    <row r="462">
      <c r="B462" s="84"/>
      <c r="E462" s="84"/>
    </row>
    <row r="463">
      <c r="B463" s="84"/>
      <c r="E463" s="84"/>
    </row>
    <row r="464">
      <c r="B464" s="84"/>
      <c r="E464" s="84"/>
    </row>
    <row r="465">
      <c r="B465" s="84"/>
      <c r="E465" s="84"/>
    </row>
    <row r="466">
      <c r="B466" s="84"/>
      <c r="E466" s="84"/>
    </row>
    <row r="467">
      <c r="B467" s="84"/>
      <c r="E467" s="84"/>
    </row>
    <row r="468">
      <c r="B468" s="84"/>
      <c r="E468" s="84"/>
    </row>
    <row r="469">
      <c r="B469" s="84"/>
      <c r="E469" s="84"/>
    </row>
    <row r="470">
      <c r="B470" s="84"/>
      <c r="E470" s="84"/>
    </row>
    <row r="471">
      <c r="B471" s="84"/>
      <c r="E471" s="84"/>
    </row>
    <row r="472">
      <c r="B472" s="84"/>
      <c r="E472" s="84"/>
    </row>
    <row r="473">
      <c r="B473" s="84"/>
      <c r="E473" s="84"/>
    </row>
    <row r="474">
      <c r="B474" s="84"/>
      <c r="E474" s="84"/>
    </row>
    <row r="475">
      <c r="B475" s="84"/>
      <c r="E475" s="84"/>
    </row>
    <row r="476">
      <c r="B476" s="84"/>
      <c r="E476" s="84"/>
    </row>
    <row r="477">
      <c r="B477" s="84"/>
      <c r="E477" s="84"/>
    </row>
    <row r="478">
      <c r="B478" s="84"/>
      <c r="E478" s="84"/>
    </row>
    <row r="479">
      <c r="B479" s="84"/>
      <c r="E479" s="84"/>
    </row>
    <row r="480">
      <c r="B480" s="84"/>
      <c r="E480" s="84"/>
    </row>
    <row r="481">
      <c r="B481" s="84"/>
      <c r="E481" s="84"/>
    </row>
    <row r="482">
      <c r="B482" s="84"/>
      <c r="E482" s="84"/>
    </row>
    <row r="483">
      <c r="B483" s="84"/>
      <c r="E483" s="84"/>
    </row>
    <row r="484">
      <c r="B484" s="84"/>
      <c r="E484" s="84"/>
    </row>
    <row r="485">
      <c r="B485" s="84"/>
      <c r="E485" s="84"/>
    </row>
    <row r="486">
      <c r="B486" s="84"/>
      <c r="E486" s="84"/>
    </row>
    <row r="487">
      <c r="B487" s="84"/>
      <c r="E487" s="84"/>
    </row>
    <row r="488">
      <c r="B488" s="84"/>
      <c r="E488" s="84"/>
    </row>
    <row r="489">
      <c r="B489" s="84"/>
      <c r="E489" s="84"/>
    </row>
    <row r="490">
      <c r="B490" s="84"/>
      <c r="E490" s="84"/>
    </row>
    <row r="491">
      <c r="B491" s="84"/>
      <c r="E491" s="84"/>
    </row>
    <row r="492">
      <c r="B492" s="84"/>
      <c r="E492" s="84"/>
    </row>
    <row r="493">
      <c r="B493" s="84"/>
      <c r="E493" s="84"/>
    </row>
    <row r="494">
      <c r="B494" s="84"/>
      <c r="E494" s="84"/>
    </row>
    <row r="495">
      <c r="B495" s="84"/>
      <c r="E495" s="84"/>
    </row>
    <row r="496">
      <c r="B496" s="84"/>
      <c r="E496" s="84"/>
    </row>
    <row r="497">
      <c r="B497" s="84"/>
      <c r="E497" s="84"/>
    </row>
    <row r="498">
      <c r="B498" s="84"/>
      <c r="E498" s="84"/>
    </row>
    <row r="499">
      <c r="B499" s="84"/>
      <c r="E499" s="84"/>
    </row>
    <row r="500">
      <c r="B500" s="84"/>
      <c r="E500" s="84"/>
    </row>
    <row r="501">
      <c r="B501" s="84"/>
      <c r="E501" s="84"/>
    </row>
    <row r="502">
      <c r="B502" s="84"/>
      <c r="E502" s="84"/>
    </row>
    <row r="503">
      <c r="B503" s="84"/>
      <c r="E503" s="84"/>
    </row>
    <row r="504">
      <c r="B504" s="84"/>
      <c r="E504" s="84"/>
    </row>
    <row r="505">
      <c r="B505" s="84"/>
      <c r="E505" s="84"/>
    </row>
    <row r="506">
      <c r="B506" s="84"/>
      <c r="E506" s="84"/>
    </row>
    <row r="507">
      <c r="B507" s="84"/>
      <c r="E507" s="84"/>
    </row>
    <row r="508">
      <c r="B508" s="84"/>
      <c r="E508" s="84"/>
    </row>
    <row r="509">
      <c r="B509" s="84"/>
      <c r="E509" s="84"/>
    </row>
    <row r="510">
      <c r="B510" s="84"/>
      <c r="E510" s="84"/>
    </row>
    <row r="511">
      <c r="B511" s="84"/>
      <c r="E511" s="84"/>
    </row>
    <row r="512">
      <c r="B512" s="84"/>
      <c r="E512" s="84"/>
    </row>
    <row r="513">
      <c r="B513" s="84"/>
      <c r="E513" s="84"/>
    </row>
    <row r="514">
      <c r="B514" s="84"/>
      <c r="E514" s="84"/>
    </row>
    <row r="515">
      <c r="B515" s="84"/>
      <c r="E515" s="84"/>
    </row>
    <row r="516">
      <c r="B516" s="84"/>
      <c r="E516" s="84"/>
    </row>
    <row r="517">
      <c r="B517" s="84"/>
      <c r="E517" s="84"/>
    </row>
    <row r="518">
      <c r="B518" s="84"/>
      <c r="E518" s="84"/>
    </row>
    <row r="519">
      <c r="B519" s="84"/>
      <c r="E519" s="84"/>
    </row>
    <row r="520">
      <c r="B520" s="84"/>
      <c r="E520" s="84"/>
    </row>
    <row r="521">
      <c r="B521" s="84"/>
      <c r="E521" s="84"/>
    </row>
    <row r="522">
      <c r="B522" s="84"/>
      <c r="E522" s="84"/>
    </row>
    <row r="523">
      <c r="B523" s="84"/>
      <c r="E523" s="84"/>
    </row>
    <row r="524">
      <c r="B524" s="84"/>
      <c r="E524" s="84"/>
    </row>
    <row r="525">
      <c r="B525" s="84"/>
      <c r="E525" s="84"/>
    </row>
    <row r="526">
      <c r="B526" s="84"/>
      <c r="E526" s="84"/>
    </row>
    <row r="527">
      <c r="B527" s="84"/>
      <c r="E527" s="84"/>
    </row>
    <row r="528">
      <c r="B528" s="84"/>
      <c r="E528" s="84"/>
    </row>
    <row r="529">
      <c r="B529" s="84"/>
      <c r="E529" s="84"/>
    </row>
    <row r="530">
      <c r="B530" s="84"/>
      <c r="E530" s="84"/>
    </row>
    <row r="531">
      <c r="B531" s="84"/>
      <c r="E531" s="84"/>
    </row>
    <row r="532">
      <c r="B532" s="84"/>
      <c r="E532" s="84"/>
    </row>
    <row r="533">
      <c r="B533" s="84"/>
      <c r="E533" s="84"/>
    </row>
    <row r="534">
      <c r="B534" s="84"/>
      <c r="E534" s="84"/>
    </row>
    <row r="535">
      <c r="B535" s="84"/>
      <c r="E535" s="84"/>
    </row>
    <row r="536">
      <c r="B536" s="84"/>
      <c r="E536" s="84"/>
    </row>
    <row r="537">
      <c r="B537" s="84"/>
      <c r="E537" s="84"/>
    </row>
    <row r="538">
      <c r="B538" s="84"/>
      <c r="E538" s="84"/>
    </row>
    <row r="539">
      <c r="B539" s="84"/>
      <c r="E539" s="84"/>
    </row>
    <row r="540">
      <c r="B540" s="84"/>
      <c r="E540" s="84"/>
    </row>
    <row r="541">
      <c r="B541" s="84"/>
      <c r="E541" s="84"/>
    </row>
    <row r="542">
      <c r="B542" s="84"/>
      <c r="E542" s="84"/>
    </row>
    <row r="543">
      <c r="B543" s="84"/>
      <c r="E543" s="84"/>
    </row>
    <row r="544">
      <c r="B544" s="84"/>
      <c r="E544" s="84"/>
    </row>
    <row r="545">
      <c r="B545" s="84"/>
      <c r="E545" s="84"/>
    </row>
    <row r="546">
      <c r="B546" s="84"/>
      <c r="E546" s="84"/>
    </row>
    <row r="547">
      <c r="B547" s="84"/>
      <c r="E547" s="84"/>
    </row>
    <row r="548">
      <c r="B548" s="84"/>
      <c r="E548" s="84"/>
    </row>
    <row r="549">
      <c r="B549" s="84"/>
      <c r="E549" s="84"/>
    </row>
    <row r="550">
      <c r="B550" s="84"/>
      <c r="E550" s="84"/>
    </row>
    <row r="551">
      <c r="B551" s="84"/>
      <c r="E551" s="84"/>
    </row>
    <row r="552">
      <c r="B552" s="84"/>
      <c r="E552" s="84"/>
    </row>
    <row r="553">
      <c r="B553" s="84"/>
      <c r="E553" s="84"/>
    </row>
    <row r="554">
      <c r="B554" s="84"/>
      <c r="E554" s="84"/>
    </row>
    <row r="555">
      <c r="B555" s="84"/>
      <c r="E555" s="84"/>
    </row>
    <row r="556">
      <c r="B556" s="84"/>
      <c r="E556" s="84"/>
    </row>
    <row r="557">
      <c r="B557" s="84"/>
      <c r="E557" s="84"/>
    </row>
    <row r="558">
      <c r="B558" s="84"/>
      <c r="E558" s="84"/>
    </row>
    <row r="559">
      <c r="B559" s="84"/>
      <c r="E559" s="84"/>
    </row>
    <row r="560">
      <c r="B560" s="84"/>
      <c r="E560" s="84"/>
    </row>
    <row r="561">
      <c r="B561" s="84"/>
      <c r="E561" s="84"/>
    </row>
    <row r="562">
      <c r="B562" s="84"/>
      <c r="E562" s="84"/>
    </row>
    <row r="563">
      <c r="B563" s="84"/>
      <c r="E563" s="84"/>
    </row>
    <row r="564">
      <c r="B564" s="84"/>
      <c r="E564" s="84"/>
    </row>
    <row r="565">
      <c r="B565" s="84"/>
      <c r="E565" s="84"/>
    </row>
    <row r="566">
      <c r="B566" s="84"/>
      <c r="E566" s="84"/>
    </row>
    <row r="567">
      <c r="B567" s="84"/>
      <c r="E567" s="84"/>
    </row>
    <row r="568">
      <c r="B568" s="84"/>
      <c r="E568" s="84"/>
    </row>
    <row r="569">
      <c r="B569" s="84"/>
      <c r="E569" s="84"/>
    </row>
    <row r="570">
      <c r="B570" s="84"/>
      <c r="E570" s="84"/>
    </row>
    <row r="571">
      <c r="B571" s="84"/>
      <c r="E571" s="84"/>
    </row>
    <row r="572">
      <c r="B572" s="84"/>
      <c r="E572" s="84"/>
    </row>
    <row r="573">
      <c r="B573" s="84"/>
      <c r="E573" s="84"/>
    </row>
    <row r="574">
      <c r="B574" s="84"/>
      <c r="E574" s="84"/>
    </row>
    <row r="575">
      <c r="B575" s="84"/>
      <c r="E575" s="84"/>
    </row>
    <row r="576">
      <c r="B576" s="84"/>
      <c r="E576" s="84"/>
    </row>
    <row r="577">
      <c r="B577" s="84"/>
      <c r="E577" s="84"/>
    </row>
    <row r="578">
      <c r="B578" s="84"/>
      <c r="E578" s="84"/>
    </row>
    <row r="579">
      <c r="B579" s="84"/>
      <c r="E579" s="84"/>
    </row>
    <row r="580">
      <c r="B580" s="84"/>
      <c r="E580" s="84"/>
    </row>
    <row r="581">
      <c r="B581" s="84"/>
      <c r="E581" s="84"/>
    </row>
    <row r="582">
      <c r="B582" s="84"/>
      <c r="E582" s="84"/>
    </row>
    <row r="583">
      <c r="B583" s="84"/>
      <c r="E583" s="84"/>
    </row>
    <row r="584">
      <c r="B584" s="84"/>
      <c r="E584" s="84"/>
    </row>
    <row r="585">
      <c r="B585" s="84"/>
      <c r="E585" s="84"/>
    </row>
    <row r="586">
      <c r="B586" s="84"/>
      <c r="E586" s="84"/>
    </row>
    <row r="587">
      <c r="B587" s="84"/>
      <c r="E587" s="84"/>
    </row>
    <row r="588">
      <c r="B588" s="84"/>
      <c r="E588" s="84"/>
    </row>
    <row r="589">
      <c r="B589" s="84"/>
      <c r="E589" s="84"/>
    </row>
    <row r="590">
      <c r="B590" s="84"/>
      <c r="E590" s="84"/>
    </row>
    <row r="591">
      <c r="B591" s="84"/>
      <c r="E591" s="84"/>
    </row>
    <row r="592">
      <c r="B592" s="84"/>
      <c r="E592" s="84"/>
    </row>
    <row r="593">
      <c r="B593" s="84"/>
      <c r="E593" s="84"/>
    </row>
    <row r="594">
      <c r="B594" s="84"/>
      <c r="E594" s="84"/>
    </row>
    <row r="595">
      <c r="B595" s="84"/>
      <c r="E595" s="84"/>
    </row>
    <row r="596">
      <c r="B596" s="84"/>
      <c r="E596" s="84"/>
    </row>
    <row r="597">
      <c r="B597" s="84"/>
      <c r="E597" s="84"/>
    </row>
    <row r="598">
      <c r="B598" s="84"/>
      <c r="E598" s="84"/>
    </row>
    <row r="599">
      <c r="B599" s="84"/>
      <c r="E599" s="84"/>
    </row>
    <row r="600">
      <c r="B600" s="84"/>
      <c r="E600" s="84"/>
    </row>
    <row r="601">
      <c r="B601" s="84"/>
      <c r="E601" s="84"/>
    </row>
    <row r="602">
      <c r="B602" s="84"/>
      <c r="E602" s="84"/>
    </row>
    <row r="603">
      <c r="B603" s="84"/>
      <c r="E603" s="84"/>
    </row>
    <row r="604">
      <c r="B604" s="84"/>
      <c r="E604" s="84"/>
    </row>
    <row r="605">
      <c r="B605" s="84"/>
      <c r="E605" s="84"/>
    </row>
    <row r="606">
      <c r="B606" s="84"/>
      <c r="E606" s="84"/>
    </row>
    <row r="607">
      <c r="B607" s="84"/>
      <c r="E607" s="84"/>
    </row>
    <row r="608">
      <c r="B608" s="84"/>
      <c r="E608" s="84"/>
    </row>
    <row r="609">
      <c r="B609" s="84"/>
      <c r="E609" s="84"/>
    </row>
    <row r="610">
      <c r="B610" s="84"/>
      <c r="E610" s="84"/>
    </row>
    <row r="611">
      <c r="B611" s="84"/>
      <c r="E611" s="84"/>
    </row>
    <row r="612">
      <c r="B612" s="84"/>
      <c r="E612" s="84"/>
    </row>
    <row r="613">
      <c r="B613" s="84"/>
      <c r="E613" s="84"/>
    </row>
    <row r="614">
      <c r="B614" s="84"/>
      <c r="E614" s="84"/>
    </row>
    <row r="615">
      <c r="B615" s="84"/>
      <c r="E615" s="84"/>
    </row>
    <row r="616">
      <c r="B616" s="84"/>
      <c r="E616" s="84"/>
    </row>
    <row r="617">
      <c r="B617" s="84"/>
      <c r="E617" s="84"/>
    </row>
    <row r="618">
      <c r="B618" s="84"/>
      <c r="E618" s="84"/>
    </row>
    <row r="619">
      <c r="B619" s="84"/>
      <c r="E619" s="84"/>
    </row>
    <row r="620">
      <c r="B620" s="84"/>
      <c r="E620" s="84"/>
    </row>
    <row r="621">
      <c r="B621" s="84"/>
      <c r="E621" s="84"/>
    </row>
    <row r="622">
      <c r="B622" s="84"/>
      <c r="E622" s="84"/>
    </row>
    <row r="623">
      <c r="B623" s="84"/>
      <c r="E623" s="84"/>
    </row>
    <row r="624">
      <c r="B624" s="84"/>
      <c r="E624" s="84"/>
    </row>
    <row r="625">
      <c r="B625" s="84"/>
      <c r="E625" s="84"/>
    </row>
    <row r="626">
      <c r="B626" s="84"/>
      <c r="E626" s="84"/>
    </row>
    <row r="627">
      <c r="B627" s="84"/>
      <c r="E627" s="84"/>
    </row>
    <row r="628">
      <c r="B628" s="84"/>
      <c r="E628" s="84"/>
    </row>
    <row r="629">
      <c r="B629" s="84"/>
      <c r="E629" s="84"/>
    </row>
    <row r="630">
      <c r="B630" s="84"/>
      <c r="E630" s="84"/>
    </row>
    <row r="631">
      <c r="B631" s="84"/>
      <c r="E631" s="84"/>
    </row>
    <row r="632">
      <c r="B632" s="84"/>
      <c r="E632" s="84"/>
    </row>
    <row r="633">
      <c r="B633" s="84"/>
      <c r="E633" s="84"/>
    </row>
    <row r="634">
      <c r="B634" s="84"/>
      <c r="E634" s="84"/>
    </row>
    <row r="635">
      <c r="B635" s="84"/>
      <c r="E635" s="84"/>
    </row>
    <row r="636">
      <c r="B636" s="84"/>
      <c r="E636" s="84"/>
    </row>
    <row r="637">
      <c r="B637" s="84"/>
      <c r="E637" s="84"/>
    </row>
    <row r="638">
      <c r="B638" s="84"/>
      <c r="E638" s="84"/>
    </row>
    <row r="639">
      <c r="B639" s="84"/>
      <c r="E639" s="84"/>
    </row>
    <row r="640">
      <c r="B640" s="84"/>
      <c r="E640" s="84"/>
    </row>
    <row r="641">
      <c r="B641" s="84"/>
      <c r="E641" s="84"/>
    </row>
    <row r="642">
      <c r="B642" s="84"/>
      <c r="E642" s="84"/>
    </row>
    <row r="643">
      <c r="B643" s="84"/>
      <c r="E643" s="84"/>
    </row>
    <row r="644">
      <c r="B644" s="84"/>
      <c r="E644" s="84"/>
    </row>
    <row r="645">
      <c r="B645" s="84"/>
      <c r="E645" s="84"/>
    </row>
    <row r="646">
      <c r="B646" s="84"/>
      <c r="E646" s="84"/>
    </row>
    <row r="647">
      <c r="B647" s="84"/>
      <c r="E647" s="84"/>
    </row>
    <row r="648">
      <c r="B648" s="84"/>
      <c r="E648" s="84"/>
    </row>
    <row r="649">
      <c r="B649" s="84"/>
      <c r="E649" s="84"/>
    </row>
    <row r="650">
      <c r="B650" s="84"/>
      <c r="E650" s="84"/>
    </row>
    <row r="651">
      <c r="B651" s="84"/>
      <c r="E651" s="84"/>
    </row>
    <row r="652">
      <c r="B652" s="84"/>
      <c r="E652" s="84"/>
    </row>
    <row r="653">
      <c r="B653" s="84"/>
      <c r="E653" s="84"/>
    </row>
    <row r="654">
      <c r="B654" s="84"/>
      <c r="E654" s="84"/>
    </row>
    <row r="655">
      <c r="B655" s="84"/>
      <c r="E655" s="84"/>
    </row>
    <row r="656">
      <c r="B656" s="84"/>
      <c r="E656" s="84"/>
    </row>
    <row r="657">
      <c r="B657" s="84"/>
      <c r="E657" s="84"/>
    </row>
    <row r="658">
      <c r="B658" s="84"/>
      <c r="E658" s="84"/>
    </row>
    <row r="659">
      <c r="B659" s="84"/>
      <c r="E659" s="84"/>
    </row>
    <row r="660">
      <c r="B660" s="84"/>
      <c r="E660" s="84"/>
    </row>
    <row r="661">
      <c r="B661" s="84"/>
      <c r="E661" s="84"/>
    </row>
    <row r="662">
      <c r="B662" s="84"/>
      <c r="E662" s="84"/>
    </row>
    <row r="663">
      <c r="B663" s="84"/>
      <c r="E663" s="84"/>
    </row>
    <row r="664">
      <c r="B664" s="84"/>
      <c r="E664" s="84"/>
    </row>
    <row r="665">
      <c r="B665" s="84"/>
      <c r="E665" s="84"/>
    </row>
    <row r="666">
      <c r="B666" s="84"/>
      <c r="E666" s="84"/>
    </row>
    <row r="667">
      <c r="B667" s="84"/>
      <c r="E667" s="84"/>
    </row>
    <row r="668">
      <c r="B668" s="84"/>
      <c r="E668" s="84"/>
    </row>
    <row r="669">
      <c r="B669" s="84"/>
      <c r="E669" s="84"/>
    </row>
    <row r="670">
      <c r="B670" s="84"/>
      <c r="E670" s="84"/>
    </row>
    <row r="671">
      <c r="B671" s="84"/>
      <c r="E671" s="84"/>
    </row>
    <row r="672">
      <c r="B672" s="84"/>
      <c r="E672" s="84"/>
    </row>
    <row r="673">
      <c r="B673" s="84"/>
      <c r="E673" s="84"/>
    </row>
    <row r="674">
      <c r="B674" s="84"/>
      <c r="E674" s="84"/>
    </row>
    <row r="675">
      <c r="B675" s="84"/>
      <c r="E675" s="84"/>
    </row>
    <row r="676">
      <c r="B676" s="84"/>
      <c r="E676" s="84"/>
    </row>
    <row r="677">
      <c r="B677" s="84"/>
      <c r="E677" s="84"/>
    </row>
    <row r="678">
      <c r="B678" s="84"/>
      <c r="E678" s="84"/>
    </row>
    <row r="679">
      <c r="B679" s="84"/>
      <c r="E679" s="84"/>
    </row>
    <row r="680">
      <c r="B680" s="84"/>
      <c r="E680" s="84"/>
    </row>
    <row r="681">
      <c r="B681" s="84"/>
      <c r="E681" s="84"/>
    </row>
    <row r="682">
      <c r="B682" s="84"/>
      <c r="E682" s="84"/>
    </row>
    <row r="683">
      <c r="B683" s="84"/>
      <c r="E683" s="84"/>
    </row>
    <row r="684">
      <c r="B684" s="84"/>
      <c r="E684" s="84"/>
    </row>
    <row r="685">
      <c r="B685" s="84"/>
      <c r="E685" s="84"/>
    </row>
    <row r="686">
      <c r="B686" s="84"/>
      <c r="E686" s="84"/>
    </row>
    <row r="687">
      <c r="B687" s="84"/>
      <c r="E687" s="84"/>
    </row>
    <row r="688">
      <c r="B688" s="84"/>
      <c r="E688" s="84"/>
    </row>
    <row r="689">
      <c r="B689" s="84"/>
      <c r="E689" s="84"/>
    </row>
    <row r="690">
      <c r="B690" s="84"/>
      <c r="E690" s="84"/>
    </row>
    <row r="691">
      <c r="B691" s="84"/>
      <c r="E691" s="84"/>
    </row>
    <row r="692">
      <c r="B692" s="84"/>
      <c r="E692" s="84"/>
    </row>
    <row r="693">
      <c r="B693" s="84"/>
      <c r="E693" s="84"/>
    </row>
    <row r="694">
      <c r="B694" s="84"/>
      <c r="E694" s="84"/>
    </row>
    <row r="695">
      <c r="B695" s="84"/>
      <c r="E695" s="84"/>
    </row>
    <row r="696">
      <c r="B696" s="84"/>
      <c r="E696" s="84"/>
    </row>
    <row r="697">
      <c r="B697" s="84"/>
      <c r="E697" s="84"/>
    </row>
    <row r="698">
      <c r="B698" s="84"/>
      <c r="E698" s="84"/>
    </row>
    <row r="699">
      <c r="B699" s="84"/>
      <c r="E699" s="84"/>
    </row>
    <row r="700">
      <c r="B700" s="84"/>
      <c r="E700" s="84"/>
    </row>
    <row r="701">
      <c r="B701" s="84"/>
      <c r="E701" s="84"/>
    </row>
    <row r="702">
      <c r="B702" s="84"/>
      <c r="E702" s="84"/>
    </row>
    <row r="703">
      <c r="B703" s="84"/>
      <c r="E703" s="84"/>
    </row>
    <row r="704">
      <c r="B704" s="84"/>
      <c r="E704" s="84"/>
    </row>
    <row r="705">
      <c r="B705" s="84"/>
      <c r="E705" s="84"/>
    </row>
    <row r="706">
      <c r="B706" s="84"/>
      <c r="E706" s="84"/>
    </row>
    <row r="707">
      <c r="B707" s="84"/>
      <c r="E707" s="84"/>
    </row>
    <row r="708">
      <c r="B708" s="84"/>
      <c r="E708" s="84"/>
    </row>
    <row r="709">
      <c r="B709" s="84"/>
      <c r="E709" s="84"/>
    </row>
    <row r="710">
      <c r="B710" s="84"/>
      <c r="E710" s="84"/>
    </row>
    <row r="711">
      <c r="B711" s="84"/>
      <c r="E711" s="84"/>
    </row>
    <row r="712">
      <c r="B712" s="84"/>
      <c r="E712" s="84"/>
    </row>
    <row r="713">
      <c r="B713" s="84"/>
      <c r="E713" s="84"/>
    </row>
    <row r="714">
      <c r="B714" s="84"/>
      <c r="E714" s="84"/>
    </row>
    <row r="715">
      <c r="B715" s="84"/>
      <c r="E715" s="84"/>
    </row>
    <row r="716">
      <c r="B716" s="84"/>
      <c r="E716" s="84"/>
    </row>
    <row r="717">
      <c r="B717" s="84"/>
      <c r="E717" s="84"/>
    </row>
    <row r="718">
      <c r="B718" s="84"/>
      <c r="E718" s="84"/>
    </row>
    <row r="719">
      <c r="B719" s="84"/>
      <c r="E719" s="84"/>
    </row>
    <row r="720">
      <c r="B720" s="84"/>
      <c r="E720" s="84"/>
    </row>
    <row r="721">
      <c r="B721" s="84"/>
      <c r="E721" s="84"/>
    </row>
    <row r="722">
      <c r="B722" s="84"/>
      <c r="E722" s="84"/>
    </row>
    <row r="723">
      <c r="B723" s="84"/>
      <c r="E723" s="84"/>
    </row>
    <row r="724">
      <c r="B724" s="84"/>
      <c r="E724" s="84"/>
    </row>
    <row r="725">
      <c r="B725" s="84"/>
      <c r="E725" s="84"/>
    </row>
    <row r="726">
      <c r="B726" s="84"/>
      <c r="E726" s="84"/>
    </row>
    <row r="727">
      <c r="B727" s="84"/>
      <c r="E727" s="84"/>
    </row>
    <row r="728">
      <c r="B728" s="84"/>
      <c r="E728" s="84"/>
    </row>
    <row r="729">
      <c r="B729" s="84"/>
      <c r="E729" s="84"/>
    </row>
    <row r="730">
      <c r="B730" s="84"/>
      <c r="E730" s="84"/>
    </row>
    <row r="731">
      <c r="B731" s="84"/>
      <c r="E731" s="84"/>
    </row>
    <row r="732">
      <c r="B732" s="84"/>
      <c r="E732" s="84"/>
    </row>
    <row r="733">
      <c r="B733" s="84"/>
      <c r="E733" s="84"/>
    </row>
    <row r="734">
      <c r="B734" s="84"/>
      <c r="E734" s="84"/>
    </row>
    <row r="735">
      <c r="B735" s="84"/>
      <c r="E735" s="84"/>
    </row>
    <row r="736">
      <c r="B736" s="84"/>
      <c r="E736" s="84"/>
    </row>
    <row r="737">
      <c r="B737" s="84"/>
      <c r="E737" s="84"/>
    </row>
    <row r="738">
      <c r="B738" s="84"/>
      <c r="E738" s="84"/>
    </row>
    <row r="739">
      <c r="B739" s="84"/>
      <c r="E739" s="84"/>
    </row>
    <row r="740">
      <c r="B740" s="84"/>
      <c r="E740" s="84"/>
    </row>
    <row r="741">
      <c r="B741" s="84"/>
      <c r="E741" s="84"/>
    </row>
    <row r="742">
      <c r="B742" s="84"/>
      <c r="E742" s="84"/>
    </row>
    <row r="743">
      <c r="B743" s="84"/>
      <c r="E743" s="84"/>
    </row>
    <row r="744">
      <c r="B744" s="84"/>
      <c r="E744" s="84"/>
    </row>
    <row r="745">
      <c r="B745" s="84"/>
      <c r="E745" s="84"/>
    </row>
    <row r="746">
      <c r="B746" s="84"/>
      <c r="E746" s="84"/>
    </row>
    <row r="747">
      <c r="B747" s="84"/>
      <c r="E747" s="84"/>
    </row>
    <row r="748">
      <c r="B748" s="84"/>
      <c r="E748" s="84"/>
    </row>
    <row r="749">
      <c r="B749" s="84"/>
      <c r="E749" s="84"/>
    </row>
    <row r="750">
      <c r="B750" s="84"/>
      <c r="E750" s="84"/>
    </row>
    <row r="751">
      <c r="B751" s="84"/>
      <c r="E751" s="84"/>
    </row>
    <row r="752">
      <c r="B752" s="84"/>
      <c r="E752" s="84"/>
    </row>
    <row r="753">
      <c r="B753" s="84"/>
      <c r="E753" s="84"/>
    </row>
    <row r="754">
      <c r="B754" s="84"/>
      <c r="E754" s="84"/>
    </row>
    <row r="755">
      <c r="B755" s="84"/>
      <c r="E755" s="84"/>
    </row>
    <row r="756">
      <c r="B756" s="84"/>
      <c r="E756" s="84"/>
    </row>
    <row r="757">
      <c r="B757" s="84"/>
      <c r="E757" s="84"/>
    </row>
    <row r="758">
      <c r="B758" s="84"/>
      <c r="E758" s="84"/>
    </row>
    <row r="759">
      <c r="B759" s="84"/>
      <c r="E759" s="84"/>
    </row>
    <row r="760">
      <c r="B760" s="84"/>
      <c r="E760" s="84"/>
    </row>
    <row r="761">
      <c r="B761" s="84"/>
      <c r="E761" s="84"/>
    </row>
    <row r="762">
      <c r="B762" s="84"/>
      <c r="E762" s="84"/>
    </row>
    <row r="763">
      <c r="B763" s="84"/>
      <c r="E763" s="84"/>
    </row>
    <row r="764">
      <c r="B764" s="84"/>
      <c r="E764" s="84"/>
    </row>
    <row r="765">
      <c r="B765" s="84"/>
      <c r="E765" s="84"/>
    </row>
    <row r="766">
      <c r="B766" s="84"/>
      <c r="E766" s="84"/>
    </row>
    <row r="767">
      <c r="B767" s="84"/>
      <c r="E767" s="84"/>
    </row>
    <row r="768">
      <c r="B768" s="84"/>
      <c r="E768" s="84"/>
    </row>
    <row r="769">
      <c r="B769" s="84"/>
      <c r="E769" s="84"/>
    </row>
    <row r="770">
      <c r="B770" s="84"/>
      <c r="E770" s="84"/>
    </row>
    <row r="771">
      <c r="B771" s="84"/>
      <c r="E771" s="84"/>
    </row>
    <row r="772">
      <c r="B772" s="84"/>
      <c r="E772" s="84"/>
    </row>
    <row r="773">
      <c r="B773" s="84"/>
      <c r="E773" s="84"/>
    </row>
    <row r="774">
      <c r="B774" s="84"/>
      <c r="E774" s="84"/>
    </row>
    <row r="775">
      <c r="B775" s="84"/>
      <c r="E775" s="84"/>
    </row>
    <row r="776">
      <c r="B776" s="84"/>
      <c r="E776" s="84"/>
    </row>
    <row r="777">
      <c r="B777" s="84"/>
      <c r="E777" s="84"/>
    </row>
    <row r="778">
      <c r="B778" s="84"/>
      <c r="E778" s="84"/>
    </row>
    <row r="779">
      <c r="B779" s="84"/>
      <c r="E779" s="84"/>
    </row>
    <row r="780">
      <c r="B780" s="84"/>
      <c r="E780" s="84"/>
    </row>
    <row r="781">
      <c r="B781" s="84"/>
      <c r="E781" s="84"/>
    </row>
    <row r="782">
      <c r="B782" s="84"/>
      <c r="E782" s="84"/>
    </row>
    <row r="783">
      <c r="B783" s="84"/>
      <c r="E783" s="84"/>
    </row>
    <row r="784">
      <c r="B784" s="84"/>
      <c r="E784" s="84"/>
    </row>
    <row r="785">
      <c r="B785" s="84"/>
      <c r="E785" s="84"/>
    </row>
    <row r="786">
      <c r="B786" s="84"/>
      <c r="E786" s="84"/>
    </row>
    <row r="787">
      <c r="B787" s="84"/>
      <c r="E787" s="84"/>
    </row>
    <row r="788">
      <c r="B788" s="84"/>
      <c r="E788" s="84"/>
    </row>
    <row r="789">
      <c r="B789" s="84"/>
      <c r="E789" s="84"/>
    </row>
    <row r="790">
      <c r="B790" s="84"/>
      <c r="E790" s="84"/>
    </row>
    <row r="791">
      <c r="B791" s="84"/>
      <c r="E791" s="84"/>
    </row>
    <row r="792">
      <c r="B792" s="84"/>
      <c r="E792" s="84"/>
    </row>
    <row r="793">
      <c r="B793" s="84"/>
      <c r="E793" s="84"/>
    </row>
    <row r="794">
      <c r="B794" s="84"/>
      <c r="E794" s="84"/>
    </row>
    <row r="795">
      <c r="B795" s="84"/>
      <c r="E795" s="84"/>
    </row>
    <row r="796">
      <c r="B796" s="84"/>
      <c r="E796" s="84"/>
    </row>
    <row r="797">
      <c r="B797" s="84"/>
      <c r="E797" s="84"/>
    </row>
    <row r="798">
      <c r="B798" s="84"/>
      <c r="E798" s="84"/>
    </row>
    <row r="799">
      <c r="B799" s="84"/>
      <c r="E799" s="84"/>
    </row>
    <row r="800">
      <c r="B800" s="84"/>
      <c r="E800" s="84"/>
    </row>
    <row r="801">
      <c r="B801" s="84"/>
      <c r="E801" s="84"/>
    </row>
    <row r="802">
      <c r="B802" s="84"/>
      <c r="E802" s="84"/>
    </row>
    <row r="803">
      <c r="B803" s="84"/>
      <c r="E803" s="84"/>
    </row>
    <row r="804">
      <c r="B804" s="84"/>
      <c r="E804" s="84"/>
    </row>
    <row r="805">
      <c r="B805" s="84"/>
      <c r="E805" s="84"/>
    </row>
    <row r="806">
      <c r="B806" s="84"/>
      <c r="E806" s="84"/>
    </row>
    <row r="807">
      <c r="B807" s="84"/>
      <c r="E807" s="84"/>
    </row>
    <row r="808">
      <c r="B808" s="84"/>
      <c r="E808" s="84"/>
    </row>
    <row r="809">
      <c r="B809" s="84"/>
      <c r="E809" s="84"/>
    </row>
    <row r="810">
      <c r="B810" s="84"/>
      <c r="E810" s="84"/>
    </row>
    <row r="811">
      <c r="B811" s="84"/>
      <c r="E811" s="84"/>
    </row>
    <row r="812">
      <c r="B812" s="84"/>
      <c r="E812" s="84"/>
    </row>
    <row r="813">
      <c r="B813" s="84"/>
      <c r="E813" s="84"/>
    </row>
    <row r="814">
      <c r="B814" s="84"/>
      <c r="E814" s="84"/>
    </row>
    <row r="815">
      <c r="B815" s="84"/>
      <c r="E815" s="84"/>
    </row>
    <row r="816">
      <c r="B816" s="84"/>
      <c r="E816" s="84"/>
    </row>
    <row r="817">
      <c r="B817" s="84"/>
      <c r="E817" s="84"/>
    </row>
    <row r="818">
      <c r="B818" s="84"/>
      <c r="E818" s="84"/>
    </row>
    <row r="819">
      <c r="B819" s="84"/>
      <c r="E819" s="84"/>
    </row>
    <row r="820">
      <c r="B820" s="84"/>
      <c r="E820" s="84"/>
    </row>
    <row r="821">
      <c r="B821" s="84"/>
      <c r="E821" s="84"/>
    </row>
    <row r="822">
      <c r="B822" s="84"/>
      <c r="E822" s="84"/>
    </row>
    <row r="823">
      <c r="B823" s="84"/>
      <c r="E823" s="84"/>
    </row>
    <row r="824">
      <c r="B824" s="84"/>
      <c r="E824" s="84"/>
    </row>
    <row r="825">
      <c r="B825" s="84"/>
      <c r="E825" s="84"/>
    </row>
    <row r="826">
      <c r="B826" s="84"/>
      <c r="E826" s="84"/>
    </row>
    <row r="827">
      <c r="B827" s="84"/>
      <c r="E827" s="84"/>
    </row>
    <row r="828">
      <c r="B828" s="84"/>
      <c r="E828" s="84"/>
    </row>
    <row r="829">
      <c r="B829" s="84"/>
      <c r="E829" s="84"/>
    </row>
    <row r="830">
      <c r="B830" s="84"/>
      <c r="E830" s="84"/>
    </row>
    <row r="831">
      <c r="B831" s="84"/>
      <c r="E831" s="84"/>
    </row>
    <row r="832">
      <c r="B832" s="84"/>
      <c r="E832" s="84"/>
    </row>
    <row r="833">
      <c r="B833" s="84"/>
      <c r="E833" s="84"/>
    </row>
    <row r="834">
      <c r="B834" s="84"/>
      <c r="E834" s="84"/>
    </row>
    <row r="835">
      <c r="B835" s="84"/>
      <c r="E835" s="84"/>
    </row>
    <row r="836">
      <c r="B836" s="84"/>
      <c r="E836" s="84"/>
    </row>
    <row r="837">
      <c r="B837" s="84"/>
      <c r="E837" s="84"/>
    </row>
    <row r="838">
      <c r="B838" s="84"/>
      <c r="E838" s="84"/>
    </row>
    <row r="839">
      <c r="B839" s="84"/>
      <c r="E839" s="84"/>
    </row>
    <row r="840">
      <c r="B840" s="84"/>
      <c r="E840" s="84"/>
    </row>
    <row r="841">
      <c r="B841" s="84"/>
      <c r="E841" s="84"/>
    </row>
    <row r="842">
      <c r="B842" s="84"/>
      <c r="E842" s="84"/>
    </row>
    <row r="843">
      <c r="B843" s="84"/>
      <c r="E843" s="84"/>
    </row>
    <row r="844">
      <c r="B844" s="84"/>
      <c r="E844" s="84"/>
    </row>
    <row r="845">
      <c r="B845" s="84"/>
      <c r="E845" s="84"/>
    </row>
    <row r="846">
      <c r="B846" s="84"/>
      <c r="E846" s="84"/>
    </row>
    <row r="847">
      <c r="B847" s="84"/>
      <c r="E847" s="84"/>
    </row>
    <row r="848">
      <c r="B848" s="84"/>
      <c r="E848" s="84"/>
    </row>
    <row r="849">
      <c r="B849" s="84"/>
      <c r="E849" s="84"/>
    </row>
    <row r="850">
      <c r="B850" s="84"/>
      <c r="E850" s="84"/>
    </row>
    <row r="851">
      <c r="B851" s="84"/>
      <c r="E851" s="84"/>
    </row>
    <row r="852">
      <c r="B852" s="84"/>
      <c r="E852" s="84"/>
    </row>
    <row r="853">
      <c r="B853" s="84"/>
      <c r="E853" s="84"/>
    </row>
    <row r="854">
      <c r="B854" s="84"/>
      <c r="E854" s="84"/>
    </row>
    <row r="855">
      <c r="B855" s="84"/>
      <c r="E855" s="84"/>
    </row>
    <row r="856">
      <c r="B856" s="84"/>
      <c r="E856" s="84"/>
    </row>
    <row r="857">
      <c r="B857" s="84"/>
      <c r="E857" s="84"/>
    </row>
    <row r="858">
      <c r="B858" s="84"/>
      <c r="E858" s="84"/>
    </row>
    <row r="859">
      <c r="B859" s="84"/>
      <c r="E859" s="84"/>
    </row>
    <row r="860">
      <c r="B860" s="84"/>
      <c r="E860" s="84"/>
    </row>
    <row r="861">
      <c r="B861" s="84"/>
      <c r="E861" s="84"/>
    </row>
    <row r="862">
      <c r="B862" s="84"/>
      <c r="E862" s="84"/>
    </row>
    <row r="863">
      <c r="B863" s="84"/>
      <c r="E863" s="84"/>
    </row>
    <row r="864">
      <c r="B864" s="84"/>
      <c r="E864" s="84"/>
    </row>
    <row r="865">
      <c r="B865" s="84"/>
      <c r="E865" s="84"/>
    </row>
    <row r="866">
      <c r="B866" s="84"/>
      <c r="E866" s="84"/>
    </row>
    <row r="867">
      <c r="B867" s="84"/>
      <c r="E867" s="84"/>
    </row>
    <row r="868">
      <c r="B868" s="84"/>
      <c r="E868" s="84"/>
    </row>
    <row r="869">
      <c r="B869" s="84"/>
      <c r="E869" s="84"/>
    </row>
    <row r="870">
      <c r="B870" s="84"/>
      <c r="E870" s="84"/>
    </row>
    <row r="871">
      <c r="B871" s="84"/>
      <c r="E871" s="84"/>
    </row>
    <row r="872">
      <c r="B872" s="84"/>
      <c r="E872" s="84"/>
    </row>
    <row r="873">
      <c r="B873" s="84"/>
      <c r="E873" s="84"/>
    </row>
    <row r="874">
      <c r="B874" s="84"/>
      <c r="E874" s="84"/>
    </row>
    <row r="875">
      <c r="B875" s="84"/>
      <c r="E875" s="84"/>
    </row>
    <row r="876">
      <c r="B876" s="84"/>
      <c r="E876" s="84"/>
    </row>
    <row r="877">
      <c r="B877" s="84"/>
      <c r="E877" s="84"/>
    </row>
    <row r="878">
      <c r="B878" s="84"/>
      <c r="E878" s="84"/>
    </row>
    <row r="879">
      <c r="B879" s="84"/>
      <c r="E879" s="84"/>
    </row>
    <row r="880">
      <c r="B880" s="84"/>
      <c r="E880" s="84"/>
    </row>
    <row r="881">
      <c r="B881" s="84"/>
      <c r="E881" s="84"/>
    </row>
    <row r="882">
      <c r="B882" s="84"/>
      <c r="E882" s="84"/>
    </row>
    <row r="883">
      <c r="B883" s="84"/>
      <c r="E883" s="84"/>
    </row>
    <row r="884">
      <c r="B884" s="84"/>
      <c r="E884" s="84"/>
    </row>
    <row r="885">
      <c r="B885" s="84"/>
      <c r="E885" s="84"/>
    </row>
    <row r="886">
      <c r="B886" s="84"/>
      <c r="E886" s="84"/>
    </row>
    <row r="887">
      <c r="B887" s="84"/>
      <c r="E887" s="84"/>
    </row>
    <row r="888">
      <c r="B888" s="84"/>
      <c r="E888" s="84"/>
    </row>
    <row r="889">
      <c r="B889" s="84"/>
      <c r="E889" s="84"/>
    </row>
    <row r="890">
      <c r="B890" s="84"/>
      <c r="E890" s="84"/>
    </row>
    <row r="891">
      <c r="B891" s="84"/>
      <c r="E891" s="84"/>
    </row>
    <row r="892">
      <c r="B892" s="84"/>
      <c r="E892" s="84"/>
    </row>
    <row r="893">
      <c r="B893" s="84"/>
      <c r="E893" s="84"/>
    </row>
    <row r="894">
      <c r="B894" s="84"/>
      <c r="E894" s="84"/>
    </row>
    <row r="895">
      <c r="B895" s="84"/>
      <c r="E895" s="84"/>
    </row>
    <row r="896">
      <c r="B896" s="84"/>
      <c r="E896" s="84"/>
    </row>
    <row r="897">
      <c r="B897" s="84"/>
      <c r="E897" s="84"/>
    </row>
    <row r="898">
      <c r="B898" s="84"/>
      <c r="E898" s="84"/>
    </row>
    <row r="899">
      <c r="B899" s="84"/>
      <c r="E899" s="84"/>
    </row>
    <row r="900">
      <c r="B900" s="84"/>
      <c r="E900" s="84"/>
    </row>
    <row r="901">
      <c r="B901" s="84"/>
      <c r="E901" s="84"/>
    </row>
    <row r="902">
      <c r="B902" s="84"/>
      <c r="E902" s="84"/>
    </row>
    <row r="903">
      <c r="B903" s="84"/>
      <c r="E903" s="84"/>
    </row>
    <row r="904">
      <c r="B904" s="84"/>
      <c r="E904" s="84"/>
    </row>
    <row r="905">
      <c r="B905" s="84"/>
      <c r="E905" s="84"/>
    </row>
    <row r="906">
      <c r="B906" s="84"/>
      <c r="E906" s="84"/>
    </row>
    <row r="907">
      <c r="B907" s="84"/>
      <c r="E907" s="84"/>
    </row>
    <row r="908">
      <c r="B908" s="84"/>
      <c r="E908" s="84"/>
    </row>
    <row r="909">
      <c r="B909" s="84"/>
      <c r="E909" s="84"/>
    </row>
    <row r="910">
      <c r="B910" s="84"/>
      <c r="E910" s="84"/>
    </row>
    <row r="911">
      <c r="B911" s="84"/>
      <c r="E911" s="84"/>
    </row>
    <row r="912">
      <c r="B912" s="84"/>
      <c r="E912" s="84"/>
    </row>
    <row r="913">
      <c r="B913" s="84"/>
      <c r="E913" s="84"/>
    </row>
    <row r="914">
      <c r="B914" s="84"/>
      <c r="E914" s="84"/>
    </row>
    <row r="915">
      <c r="B915" s="84"/>
      <c r="E915" s="84"/>
    </row>
    <row r="916">
      <c r="B916" s="84"/>
      <c r="E916" s="84"/>
    </row>
    <row r="917">
      <c r="B917" s="84"/>
      <c r="E917" s="84"/>
    </row>
    <row r="918">
      <c r="B918" s="84"/>
      <c r="E918" s="84"/>
    </row>
    <row r="919">
      <c r="B919" s="84"/>
      <c r="E919" s="84"/>
    </row>
    <row r="920">
      <c r="B920" s="84"/>
      <c r="E920" s="84"/>
    </row>
    <row r="921">
      <c r="B921" s="84"/>
      <c r="E921" s="84"/>
    </row>
    <row r="922">
      <c r="B922" s="84"/>
      <c r="E922" s="84"/>
    </row>
    <row r="923">
      <c r="B923" s="84"/>
      <c r="E923" s="84"/>
    </row>
    <row r="924">
      <c r="B924" s="84"/>
      <c r="E924" s="84"/>
    </row>
    <row r="925">
      <c r="B925" s="84"/>
      <c r="E925" s="84"/>
    </row>
    <row r="926">
      <c r="B926" s="84"/>
      <c r="E926" s="84"/>
    </row>
    <row r="927">
      <c r="B927" s="84"/>
      <c r="E927" s="84"/>
    </row>
    <row r="928">
      <c r="B928" s="84"/>
      <c r="E928" s="84"/>
    </row>
    <row r="929">
      <c r="B929" s="84"/>
      <c r="E929" s="84"/>
    </row>
    <row r="930">
      <c r="B930" s="84"/>
      <c r="E930" s="84"/>
    </row>
    <row r="931">
      <c r="B931" s="84"/>
      <c r="E931" s="84"/>
    </row>
    <row r="932">
      <c r="B932" s="84"/>
      <c r="E932" s="84"/>
    </row>
    <row r="933">
      <c r="B933" s="84"/>
      <c r="E933" s="84"/>
    </row>
    <row r="934">
      <c r="B934" s="84"/>
      <c r="E934" s="84"/>
    </row>
    <row r="935">
      <c r="B935" s="84"/>
      <c r="E935" s="84"/>
    </row>
    <row r="936">
      <c r="B936" s="84"/>
      <c r="E936" s="84"/>
    </row>
    <row r="937">
      <c r="B937" s="84"/>
      <c r="E937" s="84"/>
    </row>
    <row r="938">
      <c r="B938" s="84"/>
      <c r="E938" s="84"/>
    </row>
    <row r="939">
      <c r="B939" s="84"/>
      <c r="E939" s="84"/>
    </row>
    <row r="940">
      <c r="B940" s="84"/>
      <c r="E940" s="84"/>
    </row>
    <row r="941">
      <c r="B941" s="84"/>
      <c r="E941" s="84"/>
    </row>
    <row r="942">
      <c r="B942" s="84"/>
      <c r="E942" s="84"/>
    </row>
    <row r="943">
      <c r="B943" s="84"/>
      <c r="E943" s="84"/>
    </row>
    <row r="944">
      <c r="B944" s="84"/>
      <c r="E944" s="84"/>
    </row>
    <row r="945">
      <c r="B945" s="84"/>
      <c r="E945" s="84"/>
    </row>
    <row r="946">
      <c r="B946" s="84"/>
      <c r="E946" s="84"/>
    </row>
    <row r="947">
      <c r="B947" s="84"/>
      <c r="E947" s="84"/>
    </row>
    <row r="948">
      <c r="B948" s="84"/>
      <c r="E948" s="84"/>
    </row>
    <row r="949">
      <c r="B949" s="84"/>
      <c r="E949" s="84"/>
    </row>
    <row r="950">
      <c r="B950" s="84"/>
      <c r="E950" s="84"/>
    </row>
    <row r="951">
      <c r="B951" s="84"/>
      <c r="E951" s="84"/>
    </row>
    <row r="952">
      <c r="B952" s="84"/>
      <c r="E952" s="84"/>
    </row>
    <row r="953">
      <c r="B953" s="84"/>
      <c r="E953" s="84"/>
    </row>
    <row r="954">
      <c r="B954" s="84"/>
      <c r="E954" s="84"/>
    </row>
    <row r="955">
      <c r="B955" s="84"/>
      <c r="E955" s="84"/>
    </row>
    <row r="956">
      <c r="B956" s="84"/>
      <c r="E956" s="84"/>
    </row>
    <row r="957">
      <c r="B957" s="84"/>
      <c r="E957" s="84"/>
    </row>
    <row r="958">
      <c r="B958" s="84"/>
      <c r="E958" s="84"/>
    </row>
    <row r="959">
      <c r="B959" s="84"/>
      <c r="E959" s="84"/>
    </row>
    <row r="960">
      <c r="B960" s="84"/>
      <c r="E960" s="84"/>
    </row>
    <row r="961">
      <c r="B961" s="84"/>
      <c r="E961" s="84"/>
    </row>
    <row r="962">
      <c r="B962" s="84"/>
      <c r="E962" s="84"/>
    </row>
    <row r="963">
      <c r="B963" s="84"/>
      <c r="E963" s="84"/>
    </row>
    <row r="964">
      <c r="B964" s="84"/>
      <c r="E964" s="84"/>
    </row>
    <row r="965">
      <c r="B965" s="84"/>
      <c r="E965" s="84"/>
    </row>
    <row r="966">
      <c r="B966" s="84"/>
      <c r="E966" s="84"/>
    </row>
    <row r="967">
      <c r="B967" s="84"/>
      <c r="E967" s="84"/>
    </row>
    <row r="968">
      <c r="B968" s="84"/>
      <c r="E968" s="84"/>
    </row>
    <row r="969">
      <c r="B969" s="84"/>
      <c r="E969" s="84"/>
    </row>
    <row r="970">
      <c r="B970" s="84"/>
      <c r="E970" s="84"/>
    </row>
    <row r="971">
      <c r="B971" s="84"/>
      <c r="E971" s="84"/>
    </row>
    <row r="972">
      <c r="B972" s="84"/>
      <c r="E972" s="84"/>
    </row>
    <row r="973">
      <c r="B973" s="84"/>
      <c r="E973" s="84"/>
    </row>
    <row r="974">
      <c r="B974" s="84"/>
      <c r="E974" s="84"/>
    </row>
    <row r="975">
      <c r="B975" s="84"/>
      <c r="E975" s="84"/>
    </row>
    <row r="976">
      <c r="B976" s="84"/>
      <c r="E976" s="84"/>
    </row>
    <row r="977">
      <c r="B977" s="84"/>
      <c r="E977" s="84"/>
    </row>
    <row r="978">
      <c r="B978" s="84"/>
      <c r="E978" s="84"/>
    </row>
    <row r="979">
      <c r="B979" s="84"/>
      <c r="E979" s="84"/>
    </row>
    <row r="980">
      <c r="B980" s="84"/>
      <c r="E980" s="84"/>
    </row>
    <row r="981">
      <c r="B981" s="84"/>
      <c r="E981" s="84"/>
    </row>
    <row r="982">
      <c r="B982" s="84"/>
      <c r="E982" s="84"/>
    </row>
    <row r="983">
      <c r="B983" s="84"/>
      <c r="E983" s="84"/>
    </row>
    <row r="984">
      <c r="B984" s="84"/>
      <c r="E984" s="84"/>
    </row>
    <row r="985">
      <c r="B985" s="84"/>
      <c r="E985" s="84"/>
    </row>
    <row r="986">
      <c r="B986" s="84"/>
      <c r="E986" s="84"/>
    </row>
    <row r="987">
      <c r="B987" s="84"/>
      <c r="E987" s="84"/>
    </row>
    <row r="988">
      <c r="B988" s="84"/>
      <c r="E988" s="84"/>
    </row>
    <row r="989">
      <c r="B989" s="84"/>
      <c r="E989" s="84"/>
    </row>
    <row r="990">
      <c r="B990" s="84"/>
      <c r="E990" s="84"/>
    </row>
    <row r="991">
      <c r="B991" s="84"/>
      <c r="E991" s="84"/>
    </row>
    <row r="992">
      <c r="B992" s="84"/>
      <c r="E992" s="84"/>
    </row>
    <row r="993">
      <c r="B993" s="84"/>
      <c r="E993" s="84"/>
    </row>
    <row r="994">
      <c r="B994" s="84"/>
      <c r="E994" s="84"/>
    </row>
    <row r="995">
      <c r="B995" s="84"/>
      <c r="E995" s="84"/>
    </row>
    <row r="996">
      <c r="B996" s="84"/>
      <c r="E996" s="84"/>
    </row>
    <row r="997">
      <c r="B997" s="84"/>
      <c r="E997" s="84"/>
    </row>
    <row r="998">
      <c r="B998" s="84"/>
      <c r="E998" s="84"/>
    </row>
    <row r="999">
      <c r="B999" s="84"/>
      <c r="E999" s="84"/>
    </row>
    <row r="1000">
      <c r="B1000" s="84"/>
      <c r="E1000" s="84"/>
    </row>
    <row r="1001">
      <c r="B1001" s="84"/>
      <c r="E1001" s="84"/>
    </row>
    <row r="1002">
      <c r="B1002" s="84"/>
      <c r="E1002" s="84"/>
    </row>
    <row r="1003">
      <c r="B1003" s="84"/>
      <c r="E1003" s="84"/>
    </row>
    <row r="1004">
      <c r="B1004" s="84"/>
      <c r="E1004" s="84"/>
    </row>
    <row r="1005">
      <c r="B1005" s="84"/>
      <c r="E1005" s="84"/>
    </row>
    <row r="1006">
      <c r="B1006" s="84"/>
      <c r="E1006" s="8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2.63"/>
    <col customWidth="1" min="2" max="2" width="6.63"/>
    <col customWidth="1" min="3" max="3" width="6.5"/>
    <col customWidth="1" min="4" max="4" width="10.13"/>
    <col customWidth="1" min="5" max="5" width="18.5"/>
    <col customWidth="1" min="6" max="13" width="5.75"/>
    <col customWidth="1" min="14" max="14" width="8.88"/>
    <col customWidth="1" min="15" max="15" width="9.25"/>
    <col customWidth="1" min="16" max="16" width="10.38"/>
    <col customWidth="1" min="17" max="18" width="8.25"/>
    <col customWidth="1" min="19" max="22" width="7.25"/>
  </cols>
  <sheetData>
    <row r="1" ht="69.0" customHeight="1">
      <c r="A1" s="1" t="s">
        <v>101</v>
      </c>
      <c r="B1" s="65" t="s">
        <v>102</v>
      </c>
      <c r="C1" s="1" t="s">
        <v>103</v>
      </c>
      <c r="D1" s="1" t="s">
        <v>126</v>
      </c>
      <c r="E1" s="1" t="s">
        <v>2</v>
      </c>
      <c r="F1" s="57" t="s">
        <v>127</v>
      </c>
      <c r="G1" s="57" t="s">
        <v>128</v>
      </c>
      <c r="H1" s="57" t="s">
        <v>129</v>
      </c>
      <c r="I1" s="57" t="s">
        <v>130</v>
      </c>
      <c r="J1" s="57" t="s">
        <v>131</v>
      </c>
      <c r="K1" s="57" t="s">
        <v>132</v>
      </c>
      <c r="L1" s="57" t="s">
        <v>133</v>
      </c>
      <c r="M1" s="57" t="s">
        <v>134</v>
      </c>
      <c r="N1" s="7" t="s">
        <v>32</v>
      </c>
      <c r="O1" s="7" t="s">
        <v>33</v>
      </c>
      <c r="P1" s="7" t="s">
        <v>34</v>
      </c>
      <c r="Q1" s="7" t="s">
        <v>35</v>
      </c>
      <c r="R1" s="7" t="s">
        <v>36</v>
      </c>
      <c r="S1" s="7" t="s">
        <v>37</v>
      </c>
      <c r="T1" s="57" t="s">
        <v>135</v>
      </c>
      <c r="U1" s="8" t="s">
        <v>38</v>
      </c>
      <c r="V1" s="8" t="s">
        <v>39</v>
      </c>
    </row>
    <row r="2" ht="16.5" customHeight="1">
      <c r="A2" s="18">
        <v>1.0</v>
      </c>
      <c r="B2" s="79">
        <f t="shared" ref="B2:C2" si="1">N2</f>
        <v>0</v>
      </c>
      <c r="C2" s="80">
        <f t="shared" si="1"/>
        <v>1</v>
      </c>
      <c r="D2" s="18">
        <v>1.0</v>
      </c>
      <c r="E2" s="28" t="s">
        <v>47</v>
      </c>
      <c r="F2" s="17"/>
      <c r="G2" s="17"/>
      <c r="H2" s="17"/>
      <c r="I2" s="18"/>
      <c r="J2" s="18"/>
      <c r="K2" s="18"/>
      <c r="L2" s="18"/>
      <c r="M2" s="18"/>
      <c r="N2" s="18">
        <f t="shared" ref="N2:N29" si="3">SUM(F2:M2)</f>
        <v>0</v>
      </c>
      <c r="O2" s="18">
        <f t="shared" ref="O2:O29" si="4">RANK(N2, $N$2:$N$29)
</f>
        <v>1</v>
      </c>
      <c r="P2" s="18">
        <f t="shared" ref="P2:P29" si="5">COUNTIF($F2:$M2, "&gt;0")</f>
        <v>0</v>
      </c>
      <c r="Q2" s="18">
        <f t="shared" ref="Q2:Q29" si="6">COUNTIF(F2:M2, "12")</f>
        <v>0</v>
      </c>
      <c r="R2" s="18">
        <f t="shared" ref="R2:R29" si="7">COUNTIF(F2:M2, "10")</f>
        <v>0</v>
      </c>
      <c r="S2" s="18">
        <f t="shared" ref="S2:S29" si="8">COUNTIF(F2:M2, "8")</f>
        <v>0</v>
      </c>
      <c r="U2" s="19">
        <f t="shared" ref="U2:U29" si="9">VALUE(N2 &amp; TEXT(P2, "00") &amp; TEXT(Q2, "00") &amp; TEXT(R2, "00") &amp; TEXT(S2, "00") &amp; TEXT(T2, "0"))
</f>
        <v>0</v>
      </c>
      <c r="V2" s="18">
        <f t="shared" ref="V2:V29" si="10">RANK(U2, $U$2:$U$29)
</f>
        <v>3</v>
      </c>
    </row>
    <row r="3" ht="16.5" customHeight="1">
      <c r="A3" s="18">
        <v>2.0</v>
      </c>
      <c r="B3" s="79">
        <f t="shared" ref="B3:C3" si="2">N3</f>
        <v>0</v>
      </c>
      <c r="C3" s="80">
        <f t="shared" si="2"/>
        <v>1</v>
      </c>
      <c r="D3" s="18">
        <v>2.0</v>
      </c>
      <c r="E3" s="28" t="s">
        <v>8</v>
      </c>
      <c r="F3" s="17"/>
      <c r="G3" s="17"/>
      <c r="H3" s="17"/>
      <c r="I3" s="17"/>
      <c r="J3" s="17"/>
      <c r="K3" s="17"/>
      <c r="L3" s="17"/>
      <c r="M3" s="17"/>
      <c r="N3" s="18">
        <f t="shared" si="3"/>
        <v>0</v>
      </c>
      <c r="O3" s="18">
        <f t="shared" si="4"/>
        <v>1</v>
      </c>
      <c r="P3" s="18">
        <f t="shared" si="5"/>
        <v>0</v>
      </c>
      <c r="Q3" s="18">
        <f t="shared" si="6"/>
        <v>0</v>
      </c>
      <c r="R3" s="18">
        <f t="shared" si="7"/>
        <v>0</v>
      </c>
      <c r="S3" s="18">
        <f t="shared" si="8"/>
        <v>0</v>
      </c>
      <c r="U3" s="19">
        <f t="shared" si="9"/>
        <v>0</v>
      </c>
      <c r="V3" s="18">
        <f t="shared" si="10"/>
        <v>3</v>
      </c>
    </row>
    <row r="4" ht="16.5" customHeight="1">
      <c r="A4" s="23">
        <v>3.0</v>
      </c>
      <c r="B4" s="79">
        <f t="shared" ref="B4:C4" si="11">N4</f>
        <v>0</v>
      </c>
      <c r="C4" s="80">
        <f t="shared" si="11"/>
        <v>1</v>
      </c>
      <c r="D4" s="23">
        <v>3.0</v>
      </c>
      <c r="E4" s="28" t="s">
        <v>72</v>
      </c>
      <c r="F4" s="22"/>
      <c r="G4" s="22"/>
      <c r="H4" s="22"/>
      <c r="I4" s="23"/>
      <c r="J4" s="23"/>
      <c r="K4" s="23"/>
      <c r="L4" s="23"/>
      <c r="M4" s="23"/>
      <c r="N4" s="23">
        <f t="shared" si="3"/>
        <v>0</v>
      </c>
      <c r="O4" s="23">
        <f t="shared" si="4"/>
        <v>1</v>
      </c>
      <c r="P4" s="18">
        <f t="shared" si="5"/>
        <v>0</v>
      </c>
      <c r="Q4" s="23">
        <f t="shared" si="6"/>
        <v>0</v>
      </c>
      <c r="R4" s="23">
        <f t="shared" si="7"/>
        <v>0</v>
      </c>
      <c r="S4" s="23">
        <f t="shared" si="8"/>
        <v>0</v>
      </c>
      <c r="T4" s="54"/>
      <c r="U4" s="24">
        <f t="shared" si="9"/>
        <v>0</v>
      </c>
      <c r="V4" s="23">
        <f t="shared" si="10"/>
        <v>3</v>
      </c>
    </row>
    <row r="5" ht="16.5" customHeight="1">
      <c r="A5" s="23">
        <v>4.0</v>
      </c>
      <c r="B5" s="79">
        <f t="shared" ref="B5:C5" si="12">N5</f>
        <v>0</v>
      </c>
      <c r="C5" s="80">
        <f t="shared" si="12"/>
        <v>1</v>
      </c>
      <c r="D5" s="23">
        <v>4.0</v>
      </c>
      <c r="E5" s="28" t="s">
        <v>28</v>
      </c>
      <c r="F5" s="22"/>
      <c r="G5" s="22"/>
      <c r="H5" s="23"/>
      <c r="I5" s="22"/>
      <c r="J5" s="23"/>
      <c r="K5" s="23"/>
      <c r="L5" s="23"/>
      <c r="M5" s="23"/>
      <c r="N5" s="23">
        <f t="shared" si="3"/>
        <v>0</v>
      </c>
      <c r="O5" s="23">
        <f t="shared" si="4"/>
        <v>1</v>
      </c>
      <c r="P5" s="18">
        <f t="shared" si="5"/>
        <v>0</v>
      </c>
      <c r="Q5" s="23">
        <f t="shared" si="6"/>
        <v>0</v>
      </c>
      <c r="R5" s="23">
        <f t="shared" si="7"/>
        <v>0</v>
      </c>
      <c r="S5" s="23">
        <f t="shared" si="8"/>
        <v>0</v>
      </c>
      <c r="T5" s="54"/>
      <c r="U5" s="24">
        <f t="shared" si="9"/>
        <v>0</v>
      </c>
      <c r="V5" s="23">
        <f t="shared" si="10"/>
        <v>3</v>
      </c>
    </row>
    <row r="6" ht="16.5" customHeight="1">
      <c r="A6" s="23">
        <v>5.0</v>
      </c>
      <c r="B6" s="79">
        <f t="shared" ref="B6:C6" si="13">N6</f>
        <v>0</v>
      </c>
      <c r="C6" s="80">
        <f t="shared" si="13"/>
        <v>1</v>
      </c>
      <c r="D6" s="23">
        <v>5.0</v>
      </c>
      <c r="E6" s="28" t="s">
        <v>19</v>
      </c>
      <c r="F6" s="22"/>
      <c r="G6" s="23"/>
      <c r="H6" s="23"/>
      <c r="I6" s="22"/>
      <c r="J6" s="23"/>
      <c r="K6" s="23"/>
      <c r="L6" s="23"/>
      <c r="M6" s="23"/>
      <c r="N6" s="23">
        <f t="shared" si="3"/>
        <v>0</v>
      </c>
      <c r="O6" s="23">
        <f t="shared" si="4"/>
        <v>1</v>
      </c>
      <c r="P6" s="18">
        <f t="shared" si="5"/>
        <v>0</v>
      </c>
      <c r="Q6" s="23">
        <f t="shared" si="6"/>
        <v>0</v>
      </c>
      <c r="R6" s="23">
        <f t="shared" si="7"/>
        <v>0</v>
      </c>
      <c r="S6" s="23">
        <f t="shared" si="8"/>
        <v>0</v>
      </c>
      <c r="T6" s="54"/>
      <c r="U6" s="24">
        <f t="shared" si="9"/>
        <v>0</v>
      </c>
      <c r="V6" s="23">
        <f t="shared" si="10"/>
        <v>3</v>
      </c>
    </row>
    <row r="7" ht="16.5" customHeight="1">
      <c r="A7" s="23">
        <v>6.0</v>
      </c>
      <c r="B7" s="79">
        <f t="shared" ref="B7:C7" si="14">N7</f>
        <v>0</v>
      </c>
      <c r="C7" s="80">
        <f t="shared" si="14"/>
        <v>1</v>
      </c>
      <c r="D7" s="23">
        <v>6.0</v>
      </c>
      <c r="E7" s="28" t="s">
        <v>66</v>
      </c>
      <c r="F7" s="22"/>
      <c r="G7" s="22"/>
      <c r="H7" s="22"/>
      <c r="I7" s="23"/>
      <c r="J7" s="22"/>
      <c r="K7" s="22"/>
      <c r="L7" s="22"/>
      <c r="M7" s="22"/>
      <c r="N7" s="23">
        <f t="shared" si="3"/>
        <v>0</v>
      </c>
      <c r="O7" s="23">
        <f t="shared" si="4"/>
        <v>1</v>
      </c>
      <c r="P7" s="18">
        <f t="shared" si="5"/>
        <v>0</v>
      </c>
      <c r="Q7" s="23">
        <f t="shared" si="6"/>
        <v>0</v>
      </c>
      <c r="R7" s="23">
        <f t="shared" si="7"/>
        <v>0</v>
      </c>
      <c r="S7" s="23">
        <f t="shared" si="8"/>
        <v>0</v>
      </c>
      <c r="T7" s="54"/>
      <c r="U7" s="24">
        <f t="shared" si="9"/>
        <v>0</v>
      </c>
      <c r="V7" s="23">
        <f t="shared" si="10"/>
        <v>3</v>
      </c>
    </row>
    <row r="8" ht="16.5" customHeight="1">
      <c r="A8" s="18">
        <v>7.0</v>
      </c>
      <c r="B8" s="79">
        <f t="shared" ref="B8:C8" si="15">N8</f>
        <v>0</v>
      </c>
      <c r="C8" s="80">
        <f t="shared" si="15"/>
        <v>1</v>
      </c>
      <c r="D8" s="18">
        <v>7.0</v>
      </c>
      <c r="E8" s="28" t="s">
        <v>9</v>
      </c>
      <c r="F8" s="17"/>
      <c r="G8" s="17"/>
      <c r="H8" s="17"/>
      <c r="I8" s="17"/>
      <c r="J8" s="17"/>
      <c r="K8" s="17"/>
      <c r="L8" s="17"/>
      <c r="M8" s="17"/>
      <c r="N8" s="18">
        <f t="shared" si="3"/>
        <v>0</v>
      </c>
      <c r="O8" s="18">
        <f t="shared" si="4"/>
        <v>1</v>
      </c>
      <c r="P8" s="18">
        <f t="shared" si="5"/>
        <v>0</v>
      </c>
      <c r="Q8" s="18">
        <f t="shared" si="6"/>
        <v>0</v>
      </c>
      <c r="R8" s="18">
        <f t="shared" si="7"/>
        <v>0</v>
      </c>
      <c r="S8" s="18">
        <f t="shared" si="8"/>
        <v>0</v>
      </c>
      <c r="U8" s="19">
        <f t="shared" si="9"/>
        <v>0</v>
      </c>
      <c r="V8" s="18">
        <f t="shared" si="10"/>
        <v>3</v>
      </c>
    </row>
    <row r="9" ht="16.5" customHeight="1">
      <c r="A9" s="23">
        <v>8.0</v>
      </c>
      <c r="B9" s="79">
        <f t="shared" ref="B9:C9" si="16">N9</f>
        <v>0</v>
      </c>
      <c r="C9" s="80">
        <f t="shared" si="16"/>
        <v>1</v>
      </c>
      <c r="D9" s="23">
        <v>8.0</v>
      </c>
      <c r="E9" s="28" t="s">
        <v>17</v>
      </c>
      <c r="F9" s="22"/>
      <c r="G9" s="22"/>
      <c r="H9" s="22"/>
      <c r="I9" s="22"/>
      <c r="J9" s="23"/>
      <c r="K9" s="23"/>
      <c r="L9" s="23"/>
      <c r="M9" s="23"/>
      <c r="N9" s="23">
        <f t="shared" si="3"/>
        <v>0</v>
      </c>
      <c r="O9" s="23">
        <f t="shared" si="4"/>
        <v>1</v>
      </c>
      <c r="P9" s="18">
        <f t="shared" si="5"/>
        <v>0</v>
      </c>
      <c r="Q9" s="23">
        <f t="shared" si="6"/>
        <v>0</v>
      </c>
      <c r="R9" s="23">
        <f t="shared" si="7"/>
        <v>0</v>
      </c>
      <c r="S9" s="23">
        <f t="shared" si="8"/>
        <v>0</v>
      </c>
      <c r="T9" s="24"/>
      <c r="U9" s="24">
        <f t="shared" si="9"/>
        <v>0</v>
      </c>
      <c r="V9" s="23">
        <f t="shared" si="10"/>
        <v>3</v>
      </c>
    </row>
    <row r="10" ht="16.5" customHeight="1">
      <c r="A10" s="18">
        <v>9.0</v>
      </c>
      <c r="B10" s="79">
        <f t="shared" ref="B10:C10" si="17">N10</f>
        <v>0</v>
      </c>
      <c r="C10" s="80">
        <f t="shared" si="17"/>
        <v>1</v>
      </c>
      <c r="D10" s="18">
        <v>9.0</v>
      </c>
      <c r="E10" s="28" t="s">
        <v>60</v>
      </c>
      <c r="F10" s="17"/>
      <c r="G10" s="17"/>
      <c r="H10" s="17"/>
      <c r="I10" s="17"/>
      <c r="J10" s="17"/>
      <c r="K10" s="17"/>
      <c r="L10" s="17"/>
      <c r="M10" s="17"/>
      <c r="N10" s="18">
        <f t="shared" si="3"/>
        <v>0</v>
      </c>
      <c r="O10" s="18">
        <f t="shared" si="4"/>
        <v>1</v>
      </c>
      <c r="P10" s="18">
        <f t="shared" si="5"/>
        <v>0</v>
      </c>
      <c r="Q10" s="18">
        <f t="shared" si="6"/>
        <v>0</v>
      </c>
      <c r="R10" s="18">
        <f t="shared" si="7"/>
        <v>0</v>
      </c>
      <c r="S10" s="18">
        <f t="shared" si="8"/>
        <v>0</v>
      </c>
      <c r="U10" s="19">
        <f t="shared" si="9"/>
        <v>0</v>
      </c>
      <c r="V10" s="18">
        <f t="shared" si="10"/>
        <v>3</v>
      </c>
    </row>
    <row r="11" ht="16.5" customHeight="1">
      <c r="A11" s="18">
        <v>10.0</v>
      </c>
      <c r="B11" s="79">
        <f t="shared" ref="B11:C11" si="18">N11</f>
        <v>0</v>
      </c>
      <c r="C11" s="80">
        <f t="shared" si="18"/>
        <v>1</v>
      </c>
      <c r="D11" s="18">
        <v>10.0</v>
      </c>
      <c r="E11" s="28" t="s">
        <v>30</v>
      </c>
      <c r="F11" s="17"/>
      <c r="G11" s="17"/>
      <c r="H11" s="17"/>
      <c r="I11" s="17"/>
      <c r="J11" s="18"/>
      <c r="K11" s="18"/>
      <c r="L11" s="18"/>
      <c r="M11" s="18"/>
      <c r="N11" s="18">
        <f t="shared" si="3"/>
        <v>0</v>
      </c>
      <c r="O11" s="18">
        <f t="shared" si="4"/>
        <v>1</v>
      </c>
      <c r="P11" s="18">
        <f t="shared" si="5"/>
        <v>0</v>
      </c>
      <c r="Q11" s="18">
        <f t="shared" si="6"/>
        <v>0</v>
      </c>
      <c r="R11" s="18">
        <f t="shared" si="7"/>
        <v>0</v>
      </c>
      <c r="S11" s="18">
        <f t="shared" si="8"/>
        <v>0</v>
      </c>
      <c r="U11" s="19">
        <f t="shared" si="9"/>
        <v>0</v>
      </c>
      <c r="V11" s="18">
        <f t="shared" si="10"/>
        <v>3</v>
      </c>
    </row>
    <row r="12" ht="16.5" customHeight="1">
      <c r="A12" s="18">
        <v>11.0</v>
      </c>
      <c r="B12" s="79">
        <f t="shared" ref="B12:C12" si="19">N12</f>
        <v>0</v>
      </c>
      <c r="C12" s="80">
        <f t="shared" si="19"/>
        <v>1</v>
      </c>
      <c r="D12" s="18">
        <v>11.0</v>
      </c>
      <c r="E12" s="28" t="s">
        <v>64</v>
      </c>
      <c r="F12" s="17"/>
      <c r="G12" s="17"/>
      <c r="H12" s="17"/>
      <c r="I12" s="18"/>
      <c r="J12" s="17"/>
      <c r="K12" s="17"/>
      <c r="L12" s="17"/>
      <c r="M12" s="17"/>
      <c r="N12" s="18">
        <f t="shared" si="3"/>
        <v>0</v>
      </c>
      <c r="O12" s="18">
        <f t="shared" si="4"/>
        <v>1</v>
      </c>
      <c r="P12" s="18">
        <f t="shared" si="5"/>
        <v>0</v>
      </c>
      <c r="Q12" s="18">
        <f t="shared" si="6"/>
        <v>0</v>
      </c>
      <c r="R12" s="18">
        <f t="shared" si="7"/>
        <v>0</v>
      </c>
      <c r="S12" s="18">
        <f t="shared" si="8"/>
        <v>0</v>
      </c>
      <c r="U12" s="19">
        <f t="shared" si="9"/>
        <v>0</v>
      </c>
      <c r="V12" s="18">
        <f t="shared" si="10"/>
        <v>3</v>
      </c>
    </row>
    <row r="13" ht="16.5" customHeight="1">
      <c r="A13" s="23">
        <v>12.0</v>
      </c>
      <c r="B13" s="79">
        <f t="shared" ref="B13:C13" si="20">N13</f>
        <v>0</v>
      </c>
      <c r="C13" s="80">
        <f t="shared" si="20"/>
        <v>1</v>
      </c>
      <c r="D13" s="23">
        <v>12.0</v>
      </c>
      <c r="E13" s="28" t="s">
        <v>75</v>
      </c>
      <c r="F13" s="22"/>
      <c r="G13" s="22"/>
      <c r="H13" s="23"/>
      <c r="I13" s="23"/>
      <c r="J13" s="23"/>
      <c r="K13" s="23"/>
      <c r="L13" s="23"/>
      <c r="M13" s="23"/>
      <c r="N13" s="23">
        <f t="shared" si="3"/>
        <v>0</v>
      </c>
      <c r="O13" s="23">
        <f t="shared" si="4"/>
        <v>1</v>
      </c>
      <c r="P13" s="18">
        <f t="shared" si="5"/>
        <v>0</v>
      </c>
      <c r="Q13" s="23">
        <f t="shared" si="6"/>
        <v>0</v>
      </c>
      <c r="R13" s="23">
        <f t="shared" si="7"/>
        <v>0</v>
      </c>
      <c r="S13" s="23">
        <f t="shared" si="8"/>
        <v>0</v>
      </c>
      <c r="T13" s="24"/>
      <c r="U13" s="24">
        <f t="shared" si="9"/>
        <v>0</v>
      </c>
      <c r="V13" s="23">
        <f t="shared" si="10"/>
        <v>3</v>
      </c>
    </row>
    <row r="14" ht="16.5" customHeight="1">
      <c r="A14" s="18">
        <v>13.0</v>
      </c>
      <c r="B14" s="79">
        <f t="shared" ref="B14:C14" si="21">N14</f>
        <v>0</v>
      </c>
      <c r="C14" s="80">
        <f t="shared" si="21"/>
        <v>1</v>
      </c>
      <c r="D14" s="18">
        <v>13.0</v>
      </c>
      <c r="E14" s="28" t="s">
        <v>67</v>
      </c>
      <c r="F14" s="17"/>
      <c r="G14" s="17"/>
      <c r="H14" s="17"/>
      <c r="I14" s="17"/>
      <c r="J14" s="17"/>
      <c r="K14" s="17"/>
      <c r="L14" s="17"/>
      <c r="M14" s="17"/>
      <c r="N14" s="18">
        <f t="shared" si="3"/>
        <v>0</v>
      </c>
      <c r="O14" s="18">
        <f t="shared" si="4"/>
        <v>1</v>
      </c>
      <c r="P14" s="18">
        <f t="shared" si="5"/>
        <v>0</v>
      </c>
      <c r="Q14" s="18">
        <f t="shared" si="6"/>
        <v>0</v>
      </c>
      <c r="R14" s="18">
        <f t="shared" si="7"/>
        <v>0</v>
      </c>
      <c r="S14" s="18">
        <f t="shared" si="8"/>
        <v>0</v>
      </c>
      <c r="U14" s="19">
        <f t="shared" si="9"/>
        <v>0</v>
      </c>
      <c r="V14" s="18">
        <f t="shared" si="10"/>
        <v>3</v>
      </c>
    </row>
    <row r="15" ht="16.5" customHeight="1">
      <c r="A15" s="18">
        <v>14.0</v>
      </c>
      <c r="B15" s="79">
        <f t="shared" ref="B15:C15" si="22">N15</f>
        <v>0</v>
      </c>
      <c r="C15" s="80">
        <f t="shared" si="22"/>
        <v>1</v>
      </c>
      <c r="D15" s="18">
        <v>14.0</v>
      </c>
      <c r="E15" s="28" t="s">
        <v>26</v>
      </c>
      <c r="F15" s="18"/>
      <c r="G15" s="17"/>
      <c r="H15" s="18"/>
      <c r="I15" s="17"/>
      <c r="J15" s="18"/>
      <c r="K15" s="18"/>
      <c r="L15" s="18"/>
      <c r="M15" s="18"/>
      <c r="N15" s="18">
        <f t="shared" si="3"/>
        <v>0</v>
      </c>
      <c r="O15" s="18">
        <f t="shared" si="4"/>
        <v>1</v>
      </c>
      <c r="P15" s="18">
        <f t="shared" si="5"/>
        <v>0</v>
      </c>
      <c r="Q15" s="18">
        <f t="shared" si="6"/>
        <v>0</v>
      </c>
      <c r="R15" s="18">
        <f t="shared" si="7"/>
        <v>0</v>
      </c>
      <c r="S15" s="18">
        <f t="shared" si="8"/>
        <v>0</v>
      </c>
      <c r="U15" s="19">
        <f t="shared" si="9"/>
        <v>0</v>
      </c>
      <c r="V15" s="18">
        <f t="shared" si="10"/>
        <v>3</v>
      </c>
    </row>
    <row r="16" ht="16.5" customHeight="1">
      <c r="A16" s="23">
        <v>15.0</v>
      </c>
      <c r="B16" s="79">
        <f t="shared" ref="B16:C16" si="23">N16</f>
        <v>0</v>
      </c>
      <c r="C16" s="80">
        <f t="shared" si="23"/>
        <v>1</v>
      </c>
      <c r="D16" s="23">
        <v>15.0</v>
      </c>
      <c r="E16" s="28" t="s">
        <v>18</v>
      </c>
      <c r="F16" s="23"/>
      <c r="G16" s="22"/>
      <c r="H16" s="22"/>
      <c r="I16" s="22"/>
      <c r="J16" s="23"/>
      <c r="K16" s="23"/>
      <c r="L16" s="23"/>
      <c r="M16" s="23"/>
      <c r="N16" s="23">
        <f t="shared" si="3"/>
        <v>0</v>
      </c>
      <c r="O16" s="23">
        <f t="shared" si="4"/>
        <v>1</v>
      </c>
      <c r="P16" s="18">
        <f t="shared" si="5"/>
        <v>0</v>
      </c>
      <c r="Q16" s="23">
        <f t="shared" si="6"/>
        <v>0</v>
      </c>
      <c r="R16" s="23">
        <f t="shared" si="7"/>
        <v>0</v>
      </c>
      <c r="S16" s="23">
        <f t="shared" si="8"/>
        <v>0</v>
      </c>
      <c r="T16" s="24"/>
      <c r="U16" s="24">
        <f t="shared" si="9"/>
        <v>0</v>
      </c>
      <c r="V16" s="23">
        <f t="shared" si="10"/>
        <v>3</v>
      </c>
    </row>
    <row r="17" ht="16.5" customHeight="1">
      <c r="A17" s="23">
        <v>16.0</v>
      </c>
      <c r="B17" s="79">
        <f t="shared" ref="B17:C17" si="24">N17</f>
        <v>0</v>
      </c>
      <c r="C17" s="80">
        <f t="shared" si="24"/>
        <v>1</v>
      </c>
      <c r="D17" s="23">
        <v>16.0</v>
      </c>
      <c r="E17" s="28" t="s">
        <v>56</v>
      </c>
      <c r="F17" s="23"/>
      <c r="G17" s="22"/>
      <c r="H17" s="22"/>
      <c r="I17" s="22"/>
      <c r="J17" s="22"/>
      <c r="K17" s="22"/>
      <c r="L17" s="22"/>
      <c r="M17" s="22"/>
      <c r="N17" s="23">
        <f t="shared" si="3"/>
        <v>0</v>
      </c>
      <c r="O17" s="23">
        <f t="shared" si="4"/>
        <v>1</v>
      </c>
      <c r="P17" s="18">
        <f t="shared" si="5"/>
        <v>0</v>
      </c>
      <c r="Q17" s="23">
        <f t="shared" si="6"/>
        <v>0</v>
      </c>
      <c r="R17" s="23">
        <f t="shared" si="7"/>
        <v>0</v>
      </c>
      <c r="S17" s="23">
        <f t="shared" si="8"/>
        <v>0</v>
      </c>
      <c r="T17" s="54"/>
      <c r="U17" s="24">
        <f t="shared" si="9"/>
        <v>0</v>
      </c>
      <c r="V17" s="23">
        <f t="shared" si="10"/>
        <v>3</v>
      </c>
    </row>
    <row r="18" ht="16.5" customHeight="1">
      <c r="A18" s="23">
        <v>17.0</v>
      </c>
      <c r="B18" s="79">
        <f t="shared" ref="B18:C18" si="25">N18</f>
        <v>0</v>
      </c>
      <c r="C18" s="80">
        <f t="shared" si="25"/>
        <v>1</v>
      </c>
      <c r="D18" s="23">
        <v>17.0</v>
      </c>
      <c r="E18" s="28" t="s">
        <v>74</v>
      </c>
      <c r="F18" s="22"/>
      <c r="G18" s="22"/>
      <c r="H18" s="23"/>
      <c r="I18" s="22"/>
      <c r="J18" s="23"/>
      <c r="K18" s="23"/>
      <c r="L18" s="23"/>
      <c r="M18" s="23"/>
      <c r="N18" s="23">
        <f t="shared" si="3"/>
        <v>0</v>
      </c>
      <c r="O18" s="23">
        <f t="shared" si="4"/>
        <v>1</v>
      </c>
      <c r="P18" s="18">
        <f t="shared" si="5"/>
        <v>0</v>
      </c>
      <c r="Q18" s="23">
        <f t="shared" si="6"/>
        <v>0</v>
      </c>
      <c r="R18" s="23">
        <f t="shared" si="7"/>
        <v>0</v>
      </c>
      <c r="S18" s="23">
        <f t="shared" si="8"/>
        <v>0</v>
      </c>
      <c r="T18" s="54">
        <v>1.0</v>
      </c>
      <c r="U18" s="24">
        <f t="shared" si="9"/>
        <v>1</v>
      </c>
      <c r="V18" s="23">
        <f t="shared" si="10"/>
        <v>1</v>
      </c>
    </row>
    <row r="19" ht="16.5" customHeight="1">
      <c r="A19" s="23">
        <v>18.0</v>
      </c>
      <c r="B19" s="82">
        <f t="shared" ref="B19:C19" si="26">N19</f>
        <v>0</v>
      </c>
      <c r="C19" s="83">
        <f t="shared" si="26"/>
        <v>1</v>
      </c>
      <c r="D19" s="23">
        <v>18.0</v>
      </c>
      <c r="E19" s="28" t="s">
        <v>24</v>
      </c>
      <c r="F19" s="22"/>
      <c r="G19" s="23"/>
      <c r="H19" s="22"/>
      <c r="I19" s="23"/>
      <c r="J19" s="22"/>
      <c r="K19" s="22"/>
      <c r="L19" s="22"/>
      <c r="M19" s="22"/>
      <c r="N19" s="23">
        <f t="shared" si="3"/>
        <v>0</v>
      </c>
      <c r="O19" s="23">
        <f t="shared" si="4"/>
        <v>1</v>
      </c>
      <c r="P19" s="18">
        <f t="shared" si="5"/>
        <v>0</v>
      </c>
      <c r="Q19" s="23">
        <f t="shared" si="6"/>
        <v>0</v>
      </c>
      <c r="R19" s="23">
        <f t="shared" si="7"/>
        <v>0</v>
      </c>
      <c r="S19" s="23">
        <f t="shared" si="8"/>
        <v>0</v>
      </c>
      <c r="T19" s="24"/>
      <c r="U19" s="24">
        <f t="shared" si="9"/>
        <v>0</v>
      </c>
      <c r="V19" s="23">
        <f t="shared" si="10"/>
        <v>3</v>
      </c>
    </row>
    <row r="20" ht="16.5" customHeight="1">
      <c r="A20" s="18">
        <v>19.0</v>
      </c>
      <c r="B20" s="79">
        <f t="shared" ref="B20:C20" si="27">N20</f>
        <v>0</v>
      </c>
      <c r="C20" s="80">
        <f t="shared" si="27"/>
        <v>1</v>
      </c>
      <c r="D20" s="18">
        <v>19.0</v>
      </c>
      <c r="E20" s="28" t="s">
        <v>52</v>
      </c>
      <c r="F20" s="17"/>
      <c r="G20" s="18"/>
      <c r="H20" s="17"/>
      <c r="I20" s="17"/>
      <c r="J20" s="18"/>
      <c r="K20" s="18"/>
      <c r="L20" s="18"/>
      <c r="M20" s="18"/>
      <c r="N20" s="18">
        <f t="shared" si="3"/>
        <v>0</v>
      </c>
      <c r="O20" s="18">
        <f t="shared" si="4"/>
        <v>1</v>
      </c>
      <c r="P20" s="18">
        <f t="shared" si="5"/>
        <v>0</v>
      </c>
      <c r="Q20" s="18">
        <f t="shared" si="6"/>
        <v>0</v>
      </c>
      <c r="R20" s="18">
        <f t="shared" si="7"/>
        <v>0</v>
      </c>
      <c r="S20" s="18">
        <f t="shared" si="8"/>
        <v>0</v>
      </c>
      <c r="U20" s="19">
        <f t="shared" si="9"/>
        <v>0</v>
      </c>
      <c r="V20" s="18">
        <f t="shared" si="10"/>
        <v>3</v>
      </c>
    </row>
    <row r="21" ht="16.5" customHeight="1">
      <c r="A21" s="18">
        <v>20.0</v>
      </c>
      <c r="B21" s="79">
        <f t="shared" ref="B21:C21" si="28">N21</f>
        <v>0</v>
      </c>
      <c r="C21" s="80">
        <f t="shared" si="28"/>
        <v>1</v>
      </c>
      <c r="D21" s="18">
        <v>20.0</v>
      </c>
      <c r="E21" s="28" t="s">
        <v>73</v>
      </c>
      <c r="F21" s="17"/>
      <c r="G21" s="17"/>
      <c r="H21" s="17"/>
      <c r="I21" s="17"/>
      <c r="J21" s="17"/>
      <c r="K21" s="17"/>
      <c r="L21" s="17"/>
      <c r="M21" s="17"/>
      <c r="N21" s="18">
        <f t="shared" si="3"/>
        <v>0</v>
      </c>
      <c r="O21" s="18">
        <f t="shared" si="4"/>
        <v>1</v>
      </c>
      <c r="P21" s="18">
        <f t="shared" si="5"/>
        <v>0</v>
      </c>
      <c r="Q21" s="18">
        <f t="shared" si="6"/>
        <v>0</v>
      </c>
      <c r="R21" s="18">
        <f t="shared" si="7"/>
        <v>0</v>
      </c>
      <c r="S21" s="18">
        <f t="shared" si="8"/>
        <v>0</v>
      </c>
      <c r="U21" s="19">
        <f t="shared" si="9"/>
        <v>0</v>
      </c>
      <c r="V21" s="18">
        <f t="shared" si="10"/>
        <v>3</v>
      </c>
    </row>
    <row r="22" ht="16.5" customHeight="1">
      <c r="A22" s="23">
        <v>21.0</v>
      </c>
      <c r="B22" s="79">
        <f t="shared" ref="B22:C22" si="29">N22</f>
        <v>0</v>
      </c>
      <c r="C22" s="80">
        <f t="shared" si="29"/>
        <v>1</v>
      </c>
      <c r="D22" s="23">
        <v>21.0</v>
      </c>
      <c r="E22" s="28" t="s">
        <v>12</v>
      </c>
      <c r="F22" s="22"/>
      <c r="G22" s="23"/>
      <c r="H22" s="22"/>
      <c r="I22" s="22"/>
      <c r="J22" s="23"/>
      <c r="K22" s="23"/>
      <c r="L22" s="23"/>
      <c r="M22" s="23"/>
      <c r="N22" s="23">
        <f t="shared" si="3"/>
        <v>0</v>
      </c>
      <c r="O22" s="23">
        <f t="shared" si="4"/>
        <v>1</v>
      </c>
      <c r="P22" s="18">
        <f t="shared" si="5"/>
        <v>0</v>
      </c>
      <c r="Q22" s="23">
        <f t="shared" si="6"/>
        <v>0</v>
      </c>
      <c r="R22" s="23">
        <f t="shared" si="7"/>
        <v>0</v>
      </c>
      <c r="S22" s="23">
        <f t="shared" si="8"/>
        <v>0</v>
      </c>
      <c r="T22" s="24"/>
      <c r="U22" s="24">
        <f t="shared" si="9"/>
        <v>0</v>
      </c>
      <c r="V22" s="23">
        <f t="shared" si="10"/>
        <v>3</v>
      </c>
    </row>
    <row r="23" ht="16.5" customHeight="1">
      <c r="A23" s="23">
        <v>22.0</v>
      </c>
      <c r="B23" s="79">
        <f t="shared" ref="B23:C23" si="30">N23</f>
        <v>0</v>
      </c>
      <c r="C23" s="80">
        <f t="shared" si="30"/>
        <v>1</v>
      </c>
      <c r="D23" s="23">
        <v>22.0</v>
      </c>
      <c r="E23" s="28" t="s">
        <v>57</v>
      </c>
      <c r="F23" s="23"/>
      <c r="G23" s="22"/>
      <c r="H23" s="23"/>
      <c r="I23" s="22"/>
      <c r="J23" s="23"/>
      <c r="K23" s="23"/>
      <c r="L23" s="23"/>
      <c r="M23" s="23"/>
      <c r="N23" s="23">
        <f t="shared" si="3"/>
        <v>0</v>
      </c>
      <c r="O23" s="23">
        <f t="shared" si="4"/>
        <v>1</v>
      </c>
      <c r="P23" s="18">
        <f t="shared" si="5"/>
        <v>0</v>
      </c>
      <c r="Q23" s="23">
        <f t="shared" si="6"/>
        <v>0</v>
      </c>
      <c r="R23" s="23">
        <f t="shared" si="7"/>
        <v>0</v>
      </c>
      <c r="S23" s="23">
        <f t="shared" si="8"/>
        <v>0</v>
      </c>
      <c r="T23" s="24"/>
      <c r="U23" s="24">
        <f t="shared" si="9"/>
        <v>0</v>
      </c>
      <c r="V23" s="23">
        <f t="shared" si="10"/>
        <v>3</v>
      </c>
    </row>
    <row r="24" ht="16.5" customHeight="1">
      <c r="A24" s="23">
        <v>23.0</v>
      </c>
      <c r="B24" s="79">
        <f t="shared" ref="B24:C24" si="31">N24</f>
        <v>0</v>
      </c>
      <c r="C24" s="80">
        <f t="shared" si="31"/>
        <v>1</v>
      </c>
      <c r="D24" s="23">
        <v>23.0</v>
      </c>
      <c r="E24" s="28" t="s">
        <v>61</v>
      </c>
      <c r="F24" s="22"/>
      <c r="G24" s="23"/>
      <c r="H24" s="22"/>
      <c r="I24" s="22"/>
      <c r="J24" s="22"/>
      <c r="K24" s="22"/>
      <c r="L24" s="22"/>
      <c r="M24" s="22"/>
      <c r="N24" s="23">
        <f t="shared" si="3"/>
        <v>0</v>
      </c>
      <c r="O24" s="23">
        <f t="shared" si="4"/>
        <v>1</v>
      </c>
      <c r="P24" s="18">
        <f t="shared" si="5"/>
        <v>0</v>
      </c>
      <c r="Q24" s="23">
        <f t="shared" si="6"/>
        <v>0</v>
      </c>
      <c r="R24" s="23">
        <f t="shared" si="7"/>
        <v>0</v>
      </c>
      <c r="S24" s="23">
        <f t="shared" si="8"/>
        <v>0</v>
      </c>
      <c r="T24" s="54"/>
      <c r="U24" s="24">
        <f t="shared" si="9"/>
        <v>0</v>
      </c>
      <c r="V24" s="23">
        <f t="shared" si="10"/>
        <v>3</v>
      </c>
    </row>
    <row r="25" ht="16.5" customHeight="1">
      <c r="A25" s="22">
        <v>24.0</v>
      </c>
      <c r="B25" s="79">
        <f t="shared" ref="B25:C25" si="32">N25</f>
        <v>0</v>
      </c>
      <c r="C25" s="80">
        <f t="shared" si="32"/>
        <v>1</v>
      </c>
      <c r="D25" s="22">
        <v>24.0</v>
      </c>
      <c r="E25" s="28" t="s">
        <v>13</v>
      </c>
      <c r="F25" s="22"/>
      <c r="G25" s="22"/>
      <c r="H25" s="23"/>
      <c r="I25" s="23"/>
      <c r="J25" s="23"/>
      <c r="K25" s="23"/>
      <c r="L25" s="23"/>
      <c r="M25" s="23"/>
      <c r="N25" s="23">
        <f t="shared" si="3"/>
        <v>0</v>
      </c>
      <c r="O25" s="23">
        <f t="shared" si="4"/>
        <v>1</v>
      </c>
      <c r="P25" s="18">
        <f t="shared" si="5"/>
        <v>0</v>
      </c>
      <c r="Q25" s="23">
        <f t="shared" si="6"/>
        <v>0</v>
      </c>
      <c r="R25" s="23">
        <f t="shared" si="7"/>
        <v>0</v>
      </c>
      <c r="S25" s="23">
        <f t="shared" si="8"/>
        <v>0</v>
      </c>
      <c r="T25" s="54"/>
      <c r="U25" s="24">
        <f t="shared" si="9"/>
        <v>0</v>
      </c>
      <c r="V25" s="23">
        <f t="shared" si="10"/>
        <v>3</v>
      </c>
    </row>
    <row r="26" ht="16.5" customHeight="1">
      <c r="A26" s="22">
        <v>25.0</v>
      </c>
      <c r="B26" s="90">
        <f t="shared" ref="B26:C26" si="33">N26</f>
        <v>0</v>
      </c>
      <c r="C26" s="80">
        <f t="shared" si="33"/>
        <v>1</v>
      </c>
      <c r="D26" s="22">
        <v>25.0</v>
      </c>
      <c r="E26" s="28" t="s">
        <v>23</v>
      </c>
      <c r="F26" s="23"/>
      <c r="G26" s="23"/>
      <c r="H26" s="22"/>
      <c r="I26" s="23"/>
      <c r="J26" s="22"/>
      <c r="K26" s="23"/>
      <c r="L26" s="23"/>
      <c r="M26" s="91"/>
      <c r="N26" s="92">
        <f t="shared" si="3"/>
        <v>0</v>
      </c>
      <c r="O26" s="23">
        <f t="shared" si="4"/>
        <v>1</v>
      </c>
      <c r="P26" s="18">
        <f t="shared" si="5"/>
        <v>0</v>
      </c>
      <c r="Q26" s="23">
        <f t="shared" si="6"/>
        <v>0</v>
      </c>
      <c r="R26" s="23">
        <f t="shared" si="7"/>
        <v>0</v>
      </c>
      <c r="S26" s="23">
        <f t="shared" si="8"/>
        <v>0</v>
      </c>
      <c r="T26" s="54"/>
      <c r="U26" s="24">
        <f t="shared" si="9"/>
        <v>0</v>
      </c>
      <c r="V26" s="23">
        <f t="shared" si="10"/>
        <v>3</v>
      </c>
    </row>
    <row r="27" ht="16.5" customHeight="1">
      <c r="A27" s="22">
        <v>26.0</v>
      </c>
      <c r="B27" s="79">
        <f t="shared" ref="B27:C27" si="34">N27</f>
        <v>0</v>
      </c>
      <c r="C27" s="80">
        <f t="shared" si="34"/>
        <v>1</v>
      </c>
      <c r="D27" s="22">
        <v>26.0</v>
      </c>
      <c r="E27" s="28" t="s">
        <v>29</v>
      </c>
      <c r="F27" s="22"/>
      <c r="G27" s="22"/>
      <c r="H27" s="23"/>
      <c r="I27" s="22"/>
      <c r="J27" s="23"/>
      <c r="K27" s="23"/>
      <c r="L27" s="23"/>
      <c r="M27" s="23"/>
      <c r="N27" s="23">
        <f t="shared" si="3"/>
        <v>0</v>
      </c>
      <c r="O27" s="23">
        <f t="shared" si="4"/>
        <v>1</v>
      </c>
      <c r="P27" s="18">
        <f t="shared" si="5"/>
        <v>0</v>
      </c>
      <c r="Q27" s="23">
        <f t="shared" si="6"/>
        <v>0</v>
      </c>
      <c r="R27" s="23">
        <f t="shared" si="7"/>
        <v>0</v>
      </c>
      <c r="S27" s="23">
        <f t="shared" si="8"/>
        <v>0</v>
      </c>
      <c r="T27" s="24"/>
      <c r="U27" s="24">
        <f t="shared" si="9"/>
        <v>0</v>
      </c>
      <c r="V27" s="23">
        <f t="shared" si="10"/>
        <v>3</v>
      </c>
    </row>
    <row r="28" ht="16.5" customHeight="1">
      <c r="A28" s="22">
        <v>27.0</v>
      </c>
      <c r="B28" s="79">
        <f t="shared" ref="B28:C28" si="35">N28</f>
        <v>0</v>
      </c>
      <c r="C28" s="80">
        <f t="shared" si="35"/>
        <v>1</v>
      </c>
      <c r="D28" s="22">
        <v>27.0</v>
      </c>
      <c r="E28" s="28" t="s">
        <v>22</v>
      </c>
      <c r="F28" s="23"/>
      <c r="G28" s="23"/>
      <c r="H28" s="22"/>
      <c r="I28" s="22"/>
      <c r="J28" s="23"/>
      <c r="K28" s="23"/>
      <c r="L28" s="23"/>
      <c r="M28" s="23"/>
      <c r="N28" s="23">
        <f t="shared" si="3"/>
        <v>0</v>
      </c>
      <c r="O28" s="23">
        <f t="shared" si="4"/>
        <v>1</v>
      </c>
      <c r="P28" s="18">
        <f t="shared" si="5"/>
        <v>0</v>
      </c>
      <c r="Q28" s="23">
        <f t="shared" si="6"/>
        <v>0</v>
      </c>
      <c r="R28" s="23">
        <f t="shared" si="7"/>
        <v>0</v>
      </c>
      <c r="S28" s="23">
        <f t="shared" si="8"/>
        <v>0</v>
      </c>
      <c r="T28" s="24"/>
      <c r="U28" s="24">
        <f t="shared" si="9"/>
        <v>0</v>
      </c>
      <c r="V28" s="23">
        <f t="shared" si="10"/>
        <v>3</v>
      </c>
    </row>
    <row r="29" ht="16.5" customHeight="1">
      <c r="A29" s="17">
        <v>28.0</v>
      </c>
      <c r="B29" s="82">
        <f t="shared" ref="B29:C29" si="36">N29</f>
        <v>0</v>
      </c>
      <c r="C29" s="83">
        <f t="shared" si="36"/>
        <v>1</v>
      </c>
      <c r="D29" s="17">
        <v>28.0</v>
      </c>
      <c r="E29" s="28" t="s">
        <v>54</v>
      </c>
      <c r="F29" s="17"/>
      <c r="G29" s="17"/>
      <c r="H29" s="17"/>
      <c r="I29" s="18"/>
      <c r="J29" s="18"/>
      <c r="K29" s="18"/>
      <c r="L29" s="18"/>
      <c r="M29" s="18"/>
      <c r="N29" s="18">
        <f t="shared" si="3"/>
        <v>0</v>
      </c>
      <c r="O29" s="18">
        <f t="shared" si="4"/>
        <v>1</v>
      </c>
      <c r="P29" s="18">
        <f t="shared" si="5"/>
        <v>0</v>
      </c>
      <c r="Q29" s="18">
        <f t="shared" si="6"/>
        <v>0</v>
      </c>
      <c r="R29" s="18">
        <f t="shared" si="7"/>
        <v>0</v>
      </c>
      <c r="S29" s="18">
        <f t="shared" si="8"/>
        <v>0</v>
      </c>
      <c r="T29" s="93">
        <v>1.0</v>
      </c>
      <c r="U29" s="19">
        <f t="shared" si="9"/>
        <v>1</v>
      </c>
      <c r="V29" s="18">
        <f t="shared" si="10"/>
        <v>1</v>
      </c>
    </row>
    <row r="30">
      <c r="B30" s="84"/>
    </row>
    <row r="31">
      <c r="B31" s="85"/>
      <c r="C31" s="29"/>
      <c r="D31" s="29"/>
      <c r="E31" s="29" t="s">
        <v>40</v>
      </c>
      <c r="F31" s="30">
        <f t="shared" ref="F31:L31" si="37">SUM(F2:F29)</f>
        <v>0</v>
      </c>
      <c r="G31" s="30">
        <f t="shared" si="37"/>
        <v>0</v>
      </c>
      <c r="H31" s="30">
        <f t="shared" si="37"/>
        <v>0</v>
      </c>
      <c r="I31" s="30">
        <f t="shared" si="37"/>
        <v>0</v>
      </c>
      <c r="J31" s="30">
        <f t="shared" si="37"/>
        <v>0</v>
      </c>
      <c r="K31" s="30">
        <f t="shared" si="37"/>
        <v>0</v>
      </c>
      <c r="L31" s="30">
        <f t="shared" si="37"/>
        <v>0</v>
      </c>
    </row>
    <row r="32">
      <c r="B32" s="85"/>
      <c r="C32" s="29"/>
      <c r="D32" s="29"/>
      <c r="E32" s="29" t="s">
        <v>42</v>
      </c>
      <c r="F32" s="30" t="b">
        <f>IFERROR(__xludf.DUMMYFUNCTION("AND(COUNTIF(F2:F29, 1) = 1, 
    COUNTIF(F2:F29, 2) = 1, 
    COUNTIF(F2:F29, 3) = 1, 
    COUNTIF(F2:F29, 4) = 1, 
    COUNTIF(F2:F29, 5) = 1, 
    COUNTIF(F2:F29, 6) = 1, 
    COUNTIF(F2:F29, 7) = 1, 
    COUNTIF(F2:F29, 8) = 1, 
    COUNTIF(F2:F29, 10)"&amp;" = 1, 
    COUNTIF(F2:F29, 12) = 1, 
    COUNTUNIQUE(F2:F29) = 10)"),FALSE)</f>
        <v>0</v>
      </c>
      <c r="G32" s="30" t="b">
        <f>IFERROR(__xludf.DUMMYFUNCTION("AND(COUNTIF(G2:G29, 1) = 1, 
    COUNTIF(G2:G29, 2) = 1, 
    COUNTIF(G2:G29, 3) = 1, 
    COUNTIF(G2:G29, 4) = 1, 
    COUNTIF(G2:G29, 5) = 1, 
    COUNTIF(G2:G29, 6) = 1, 
    COUNTIF(G2:G29, 7) = 1, 
    COUNTIF(G2:G29, 8) = 1, 
    COUNTIF(G2:G29, 10)"&amp;" = 1, 
    COUNTIF(G2:G29, 12) = 1, 
    COUNTUNIQUE(G2:G29) = 10)"),FALSE)</f>
        <v>0</v>
      </c>
      <c r="H32" s="30" t="b">
        <f>IFERROR(__xludf.DUMMYFUNCTION("AND(COUNTIF(H2:H29, 1) = 1, 
    COUNTIF(H2:H29, 2) = 1, 
    COUNTIF(H2:H29, 3) = 1, 
    COUNTIF(H2:H29, 4) = 1, 
    COUNTIF(H2:H29, 5) = 1, 
    COUNTIF(H2:H29, 6) = 1, 
    COUNTIF(H2:H29, 7) = 1, 
    COUNTIF(H2:H29, 8) = 1, 
    COUNTIF(H2:H29, 10)"&amp;" = 1, 
    COUNTIF(H2:H29, 12) = 1, 
    COUNTUNIQUE(H2:H29) = 10)"),FALSE)</f>
        <v>0</v>
      </c>
      <c r="I32" s="30" t="b">
        <f>IFERROR(__xludf.DUMMYFUNCTION("AND(COUNTIF(I2:I29, 1) = 1, 
    COUNTIF(I2:I29, 2) = 1, 
    COUNTIF(I2:I29, 3) = 1, 
    COUNTIF(I2:I29, 4) = 1, 
    COUNTIF(I2:I29, 5) = 1, 
    COUNTIF(I2:I29, 6) = 1, 
    COUNTIF(I2:I29, 7) = 1, 
    COUNTIF(I2:I29, 8) = 1, 
    COUNTIF(I2:I29, 10)"&amp;" = 1, 
    COUNTIF(I2:I29, 12) = 1, 
    COUNTUNIQUE(I2:I29) = 10)"),FALSE)</f>
        <v>0</v>
      </c>
      <c r="J32" s="30" t="b">
        <f>IFERROR(__xludf.DUMMYFUNCTION("AND(COUNTIF(J2:J29, 1) = 1, 
    COUNTIF(J2:J29, 2) = 1, 
    COUNTIF(J2:J29, 3) = 1, 
    COUNTIF(J2:J29, 4) = 1, 
    COUNTIF(J2:J29, 5) = 1, 
    COUNTIF(J2:J29, 6) = 1, 
    COUNTIF(J2:J29, 7) = 1, 
    COUNTIF(J2:J29, 8) = 1, 
    COUNTIF(J2:J29, 10)"&amp;" = 1, 
    COUNTIF(J2:J29, 12) = 1, 
    COUNTUNIQUE(J2:J29) = 10)"),FALSE)</f>
        <v>0</v>
      </c>
      <c r="K32" s="30" t="b">
        <f>IFERROR(__xludf.DUMMYFUNCTION("AND(COUNTIF(K2:K29, 1) = 1, 
    COUNTIF(K2:K29, 2) = 1, 
    COUNTIF(K2:K29, 3) = 1, 
    COUNTIF(K2:K29, 4) = 1, 
    COUNTIF(K2:K29, 5) = 1, 
    COUNTIF(K2:K29, 6) = 1, 
    COUNTIF(K2:K29, 7) = 1, 
    COUNTIF(K2:K29, 8) = 1, 
    COUNTIF(K2:K29, 10)"&amp;" = 1, 
    COUNTIF(K2:K29, 12) = 1, 
    COUNTUNIQUE(K2:K29) = 10)"),FALSE)</f>
        <v>0</v>
      </c>
      <c r="L32" s="30" t="b">
        <f>IFERROR(__xludf.DUMMYFUNCTION("AND(COUNTIF(L2:L29, 1) = 1, 
    COUNTIF(L2:L29, 2) = 1, 
    COUNTIF(L2:L29, 3) = 1, 
    COUNTIF(L2:L29, 4) = 1, 
    COUNTIF(L2:L29, 5) = 1, 
    COUNTIF(L2:L29, 6) = 1, 
    COUNTIF(L2:L29, 7) = 1, 
    COUNTIF(L2:L29, 8) = 1, 
    COUNTIF(L2:L29, 10)"&amp;" = 1, 
    COUNTIF(L2:L29, 12) = 1, 
    COUNTUNIQUE(L2:L29) = 10)"),FALSE)</f>
        <v>0</v>
      </c>
    </row>
    <row r="33">
      <c r="B33" s="85"/>
      <c r="C33" s="29"/>
      <c r="D33" s="29"/>
      <c r="E33" s="29" t="s">
        <v>43</v>
      </c>
      <c r="F33" s="30">
        <f t="shared" ref="F33:L33" si="38">COUNT(F2:F29)</f>
        <v>0</v>
      </c>
      <c r="G33" s="30">
        <f t="shared" si="38"/>
        <v>0</v>
      </c>
      <c r="H33" s="30">
        <f t="shared" si="38"/>
        <v>0</v>
      </c>
      <c r="I33" s="30">
        <f t="shared" si="38"/>
        <v>0</v>
      </c>
      <c r="J33" s="30">
        <f t="shared" si="38"/>
        <v>0</v>
      </c>
      <c r="K33" s="30">
        <f t="shared" si="38"/>
        <v>0</v>
      </c>
      <c r="L33" s="30">
        <f t="shared" si="38"/>
        <v>0</v>
      </c>
    </row>
    <row r="34">
      <c r="B34" s="84"/>
    </row>
    <row r="35">
      <c r="B35" s="84"/>
    </row>
    <row r="36">
      <c r="B36" s="84"/>
    </row>
    <row r="37">
      <c r="B37" s="84"/>
    </row>
    <row r="38">
      <c r="B38" s="84"/>
    </row>
    <row r="39">
      <c r="B39" s="84"/>
    </row>
    <row r="40">
      <c r="B40" s="84"/>
    </row>
    <row r="41">
      <c r="B41" s="84"/>
    </row>
    <row r="42">
      <c r="B42" s="84"/>
    </row>
    <row r="43">
      <c r="B43" s="84"/>
    </row>
    <row r="44">
      <c r="B44" s="84"/>
    </row>
    <row r="45">
      <c r="B45" s="84"/>
    </row>
    <row r="46">
      <c r="B46" s="84"/>
    </row>
    <row r="47">
      <c r="B47" s="84"/>
    </row>
    <row r="48">
      <c r="B48" s="84"/>
    </row>
    <row r="49">
      <c r="B49" s="84"/>
    </row>
    <row r="50">
      <c r="B50" s="84"/>
    </row>
    <row r="51">
      <c r="B51" s="84"/>
    </row>
    <row r="52">
      <c r="B52" s="84"/>
    </row>
    <row r="53">
      <c r="B53" s="84"/>
    </row>
    <row r="54">
      <c r="B54" s="84"/>
    </row>
    <row r="55">
      <c r="B55" s="84"/>
    </row>
    <row r="56">
      <c r="B56" s="84"/>
    </row>
    <row r="57">
      <c r="B57" s="84"/>
    </row>
    <row r="58">
      <c r="B58" s="84"/>
    </row>
    <row r="59">
      <c r="B59" s="84"/>
    </row>
    <row r="60">
      <c r="B60" s="84"/>
    </row>
    <row r="61">
      <c r="B61" s="84"/>
    </row>
    <row r="62">
      <c r="B62" s="84"/>
    </row>
    <row r="63">
      <c r="B63" s="84"/>
    </row>
    <row r="64">
      <c r="B64" s="84"/>
    </row>
    <row r="65">
      <c r="B65" s="84"/>
    </row>
    <row r="66">
      <c r="B66" s="84"/>
    </row>
    <row r="67">
      <c r="B67" s="84"/>
    </row>
    <row r="68">
      <c r="B68" s="84"/>
    </row>
    <row r="69">
      <c r="B69" s="84"/>
    </row>
    <row r="70">
      <c r="B70" s="84"/>
    </row>
    <row r="71">
      <c r="B71" s="84"/>
    </row>
    <row r="72">
      <c r="B72" s="84"/>
    </row>
    <row r="73">
      <c r="B73" s="84"/>
    </row>
    <row r="74">
      <c r="B74" s="84"/>
    </row>
    <row r="75">
      <c r="B75" s="84"/>
    </row>
    <row r="76">
      <c r="B76" s="84"/>
    </row>
    <row r="77">
      <c r="B77" s="84"/>
    </row>
    <row r="78">
      <c r="B78" s="84"/>
    </row>
    <row r="79">
      <c r="B79" s="84"/>
    </row>
    <row r="80">
      <c r="B80" s="84"/>
    </row>
    <row r="81">
      <c r="B81" s="84"/>
    </row>
    <row r="82">
      <c r="B82" s="84"/>
    </row>
    <row r="83">
      <c r="B83" s="84"/>
    </row>
    <row r="84">
      <c r="B84" s="84"/>
    </row>
    <row r="85">
      <c r="B85" s="84"/>
    </row>
    <row r="86">
      <c r="B86" s="84"/>
    </row>
    <row r="87">
      <c r="B87" s="84"/>
    </row>
    <row r="88">
      <c r="B88" s="84"/>
    </row>
    <row r="89">
      <c r="B89" s="84"/>
    </row>
    <row r="90">
      <c r="B90" s="84"/>
    </row>
    <row r="91">
      <c r="B91" s="84"/>
    </row>
    <row r="92">
      <c r="B92" s="84"/>
    </row>
    <row r="93">
      <c r="B93" s="84"/>
    </row>
    <row r="94">
      <c r="B94" s="84"/>
    </row>
    <row r="95">
      <c r="B95" s="84"/>
    </row>
    <row r="96">
      <c r="B96" s="84"/>
    </row>
    <row r="97">
      <c r="B97" s="84"/>
    </row>
    <row r="98">
      <c r="B98" s="84"/>
    </row>
    <row r="99">
      <c r="B99" s="84"/>
    </row>
    <row r="100">
      <c r="B100" s="84"/>
    </row>
    <row r="101">
      <c r="B101" s="84"/>
    </row>
    <row r="102">
      <c r="B102" s="84"/>
    </row>
    <row r="103">
      <c r="B103" s="84"/>
    </row>
    <row r="104">
      <c r="B104" s="84"/>
    </row>
    <row r="105">
      <c r="B105" s="84"/>
    </row>
    <row r="106">
      <c r="B106" s="84"/>
    </row>
    <row r="107">
      <c r="B107" s="84"/>
    </row>
    <row r="108">
      <c r="B108" s="84"/>
    </row>
    <row r="109">
      <c r="B109" s="84"/>
    </row>
    <row r="110">
      <c r="B110" s="84"/>
    </row>
    <row r="111">
      <c r="B111" s="84"/>
    </row>
    <row r="112">
      <c r="B112" s="84"/>
    </row>
    <row r="113">
      <c r="B113" s="84"/>
    </row>
    <row r="114">
      <c r="B114" s="84"/>
    </row>
    <row r="115">
      <c r="B115" s="84"/>
    </row>
    <row r="116">
      <c r="B116" s="84"/>
    </row>
    <row r="117">
      <c r="B117" s="84"/>
    </row>
    <row r="118">
      <c r="B118" s="84"/>
    </row>
    <row r="119">
      <c r="B119" s="84"/>
    </row>
    <row r="120">
      <c r="B120" s="84"/>
    </row>
    <row r="121">
      <c r="B121" s="84"/>
    </row>
    <row r="122">
      <c r="B122" s="84"/>
    </row>
    <row r="123">
      <c r="B123" s="84"/>
    </row>
    <row r="124">
      <c r="B124" s="84"/>
    </row>
    <row r="125">
      <c r="B125" s="84"/>
    </row>
    <row r="126">
      <c r="B126" s="84"/>
    </row>
    <row r="127">
      <c r="B127" s="84"/>
    </row>
    <row r="128">
      <c r="B128" s="84"/>
    </row>
    <row r="129">
      <c r="B129" s="84"/>
    </row>
    <row r="130">
      <c r="B130" s="84"/>
    </row>
    <row r="131">
      <c r="B131" s="84"/>
    </row>
    <row r="132">
      <c r="B132" s="84"/>
    </row>
    <row r="133">
      <c r="B133" s="84"/>
    </row>
    <row r="134">
      <c r="B134" s="84"/>
    </row>
    <row r="135">
      <c r="B135" s="84"/>
    </row>
    <row r="136">
      <c r="B136" s="84"/>
    </row>
    <row r="137">
      <c r="B137" s="84"/>
    </row>
    <row r="138">
      <c r="B138" s="84"/>
    </row>
    <row r="139">
      <c r="B139" s="84"/>
    </row>
    <row r="140">
      <c r="B140" s="84"/>
    </row>
    <row r="141">
      <c r="B141" s="84"/>
    </row>
    <row r="142">
      <c r="B142" s="84"/>
    </row>
    <row r="143">
      <c r="B143" s="84"/>
    </row>
    <row r="144">
      <c r="B144" s="84"/>
    </row>
    <row r="145">
      <c r="B145" s="84"/>
    </row>
    <row r="146">
      <c r="B146" s="84"/>
    </row>
    <row r="147">
      <c r="B147" s="84"/>
    </row>
    <row r="148">
      <c r="B148" s="84"/>
    </row>
    <row r="149">
      <c r="B149" s="84"/>
    </row>
    <row r="150">
      <c r="B150" s="84"/>
    </row>
    <row r="151">
      <c r="B151" s="84"/>
    </row>
    <row r="152">
      <c r="B152" s="84"/>
    </row>
    <row r="153">
      <c r="B153" s="84"/>
    </row>
    <row r="154">
      <c r="B154" s="84"/>
    </row>
    <row r="155">
      <c r="B155" s="84"/>
    </row>
    <row r="156">
      <c r="B156" s="84"/>
    </row>
    <row r="157">
      <c r="B157" s="84"/>
    </row>
    <row r="158">
      <c r="B158" s="84"/>
    </row>
    <row r="159">
      <c r="B159" s="84"/>
    </row>
    <row r="160">
      <c r="B160" s="84"/>
    </row>
    <row r="161">
      <c r="B161" s="84"/>
    </row>
    <row r="162">
      <c r="B162" s="84"/>
    </row>
    <row r="163">
      <c r="B163" s="84"/>
    </row>
    <row r="164">
      <c r="B164" s="84"/>
    </row>
    <row r="165">
      <c r="B165" s="84"/>
    </row>
    <row r="166">
      <c r="B166" s="84"/>
    </row>
    <row r="167">
      <c r="B167" s="84"/>
    </row>
    <row r="168">
      <c r="B168" s="84"/>
    </row>
    <row r="169">
      <c r="B169" s="84"/>
    </row>
    <row r="170">
      <c r="B170" s="84"/>
    </row>
    <row r="171">
      <c r="B171" s="84"/>
    </row>
    <row r="172">
      <c r="B172" s="84"/>
    </row>
    <row r="173">
      <c r="B173" s="84"/>
    </row>
    <row r="174">
      <c r="B174" s="84"/>
    </row>
    <row r="175">
      <c r="B175" s="84"/>
    </row>
    <row r="176">
      <c r="B176" s="84"/>
    </row>
    <row r="177">
      <c r="B177" s="84"/>
    </row>
    <row r="178">
      <c r="B178" s="84"/>
    </row>
    <row r="179">
      <c r="B179" s="84"/>
    </row>
    <row r="180">
      <c r="B180" s="84"/>
    </row>
    <row r="181">
      <c r="B181" s="84"/>
    </row>
    <row r="182">
      <c r="B182" s="84"/>
    </row>
    <row r="183">
      <c r="B183" s="84"/>
    </row>
    <row r="184">
      <c r="B184" s="84"/>
    </row>
    <row r="185">
      <c r="B185" s="84"/>
    </row>
    <row r="186">
      <c r="B186" s="84"/>
    </row>
    <row r="187">
      <c r="B187" s="84"/>
    </row>
    <row r="188">
      <c r="B188" s="84"/>
    </row>
    <row r="189">
      <c r="B189" s="84"/>
    </row>
    <row r="190">
      <c r="B190" s="84"/>
    </row>
    <row r="191">
      <c r="B191" s="84"/>
    </row>
    <row r="192">
      <c r="B192" s="84"/>
    </row>
    <row r="193">
      <c r="B193" s="84"/>
    </row>
    <row r="194">
      <c r="B194" s="84"/>
    </row>
    <row r="195">
      <c r="B195" s="84"/>
    </row>
    <row r="196">
      <c r="B196" s="84"/>
    </row>
    <row r="197">
      <c r="B197" s="84"/>
    </row>
    <row r="198">
      <c r="B198" s="84"/>
    </row>
    <row r="199">
      <c r="B199" s="84"/>
    </row>
    <row r="200">
      <c r="B200" s="84"/>
    </row>
    <row r="201">
      <c r="B201" s="84"/>
    </row>
    <row r="202">
      <c r="B202" s="84"/>
    </row>
    <row r="203">
      <c r="B203" s="84"/>
    </row>
    <row r="204">
      <c r="B204" s="84"/>
    </row>
    <row r="205">
      <c r="B205" s="84"/>
    </row>
    <row r="206">
      <c r="B206" s="84"/>
    </row>
    <row r="207">
      <c r="B207" s="84"/>
    </row>
    <row r="208">
      <c r="B208" s="84"/>
    </row>
    <row r="209">
      <c r="B209" s="84"/>
    </row>
    <row r="210">
      <c r="B210" s="84"/>
    </row>
    <row r="211">
      <c r="B211" s="84"/>
    </row>
    <row r="212">
      <c r="B212" s="84"/>
    </row>
    <row r="213">
      <c r="B213" s="84"/>
    </row>
    <row r="214">
      <c r="B214" s="84"/>
    </row>
    <row r="215">
      <c r="B215" s="84"/>
    </row>
    <row r="216">
      <c r="B216" s="84"/>
    </row>
    <row r="217">
      <c r="B217" s="84"/>
    </row>
    <row r="218">
      <c r="B218" s="84"/>
    </row>
    <row r="219">
      <c r="B219" s="84"/>
    </row>
    <row r="220">
      <c r="B220" s="84"/>
    </row>
    <row r="221">
      <c r="B221" s="84"/>
    </row>
    <row r="222">
      <c r="B222" s="84"/>
    </row>
    <row r="223">
      <c r="B223" s="84"/>
    </row>
    <row r="224">
      <c r="B224" s="84"/>
    </row>
    <row r="225">
      <c r="B225" s="84"/>
    </row>
    <row r="226">
      <c r="B226" s="84"/>
    </row>
    <row r="227">
      <c r="B227" s="84"/>
    </row>
    <row r="228">
      <c r="B228" s="84"/>
    </row>
    <row r="229">
      <c r="B229" s="84"/>
    </row>
    <row r="230">
      <c r="B230" s="84"/>
    </row>
    <row r="231">
      <c r="B231" s="84"/>
    </row>
    <row r="232">
      <c r="B232" s="84"/>
    </row>
    <row r="233">
      <c r="B233" s="84"/>
    </row>
    <row r="234">
      <c r="B234" s="84"/>
    </row>
    <row r="235">
      <c r="B235" s="84"/>
    </row>
    <row r="236">
      <c r="B236" s="84"/>
    </row>
    <row r="237">
      <c r="B237" s="84"/>
    </row>
    <row r="238">
      <c r="B238" s="84"/>
    </row>
    <row r="239">
      <c r="B239" s="84"/>
    </row>
    <row r="240">
      <c r="B240" s="84"/>
    </row>
    <row r="241">
      <c r="B241" s="84"/>
    </row>
    <row r="242">
      <c r="B242" s="84"/>
    </row>
    <row r="243">
      <c r="B243" s="84"/>
    </row>
    <row r="244">
      <c r="B244" s="84"/>
    </row>
    <row r="245">
      <c r="B245" s="84"/>
    </row>
    <row r="246">
      <c r="B246" s="84"/>
    </row>
    <row r="247">
      <c r="B247" s="84"/>
    </row>
    <row r="248">
      <c r="B248" s="84"/>
    </row>
    <row r="249">
      <c r="B249" s="84"/>
    </row>
    <row r="250">
      <c r="B250" s="84"/>
    </row>
    <row r="251">
      <c r="B251" s="84"/>
    </row>
    <row r="252">
      <c r="B252" s="84"/>
    </row>
    <row r="253">
      <c r="B253" s="84"/>
    </row>
    <row r="254">
      <c r="B254" s="84"/>
    </row>
    <row r="255">
      <c r="B255" s="84"/>
    </row>
    <row r="256">
      <c r="B256" s="84"/>
    </row>
    <row r="257">
      <c r="B257" s="84"/>
    </row>
    <row r="258">
      <c r="B258" s="84"/>
    </row>
    <row r="259">
      <c r="B259" s="84"/>
    </row>
    <row r="260">
      <c r="B260" s="84"/>
    </row>
    <row r="261">
      <c r="B261" s="84"/>
    </row>
    <row r="262">
      <c r="B262" s="84"/>
    </row>
    <row r="263">
      <c r="B263" s="84"/>
    </row>
    <row r="264">
      <c r="B264" s="84"/>
    </row>
    <row r="265">
      <c r="B265" s="84"/>
    </row>
    <row r="266">
      <c r="B266" s="84"/>
    </row>
    <row r="267">
      <c r="B267" s="84"/>
    </row>
    <row r="268">
      <c r="B268" s="84"/>
    </row>
    <row r="269">
      <c r="B269" s="84"/>
    </row>
    <row r="270">
      <c r="B270" s="84"/>
    </row>
    <row r="271">
      <c r="B271" s="84"/>
    </row>
    <row r="272">
      <c r="B272" s="84"/>
    </row>
    <row r="273">
      <c r="B273" s="84"/>
    </row>
    <row r="274">
      <c r="B274" s="84"/>
    </row>
    <row r="275">
      <c r="B275" s="84"/>
    </row>
    <row r="276">
      <c r="B276" s="84"/>
    </row>
    <row r="277">
      <c r="B277" s="84"/>
    </row>
    <row r="278">
      <c r="B278" s="84"/>
    </row>
    <row r="279">
      <c r="B279" s="84"/>
    </row>
    <row r="280">
      <c r="B280" s="84"/>
    </row>
    <row r="281">
      <c r="B281" s="84"/>
    </row>
    <row r="282">
      <c r="B282" s="84"/>
    </row>
    <row r="283">
      <c r="B283" s="84"/>
    </row>
    <row r="284">
      <c r="B284" s="84"/>
    </row>
    <row r="285">
      <c r="B285" s="84"/>
    </row>
    <row r="286">
      <c r="B286" s="84"/>
    </row>
    <row r="287">
      <c r="B287" s="84"/>
    </row>
    <row r="288">
      <c r="B288" s="84"/>
    </row>
    <row r="289">
      <c r="B289" s="84"/>
    </row>
    <row r="290">
      <c r="B290" s="84"/>
    </row>
    <row r="291">
      <c r="B291" s="84"/>
    </row>
    <row r="292">
      <c r="B292" s="84"/>
    </row>
    <row r="293">
      <c r="B293" s="84"/>
    </row>
    <row r="294">
      <c r="B294" s="84"/>
    </row>
    <row r="295">
      <c r="B295" s="84"/>
    </row>
    <row r="296">
      <c r="B296" s="84"/>
    </row>
    <row r="297">
      <c r="B297" s="84"/>
    </row>
    <row r="298">
      <c r="B298" s="84"/>
    </row>
    <row r="299">
      <c r="B299" s="84"/>
    </row>
    <row r="300">
      <c r="B300" s="84"/>
    </row>
    <row r="301">
      <c r="B301" s="84"/>
    </row>
    <row r="302">
      <c r="B302" s="84"/>
    </row>
    <row r="303">
      <c r="B303" s="84"/>
    </row>
    <row r="304">
      <c r="B304" s="84"/>
    </row>
    <row r="305">
      <c r="B305" s="84"/>
    </row>
    <row r="306">
      <c r="B306" s="84"/>
    </row>
    <row r="307">
      <c r="B307" s="84"/>
    </row>
    <row r="308">
      <c r="B308" s="84"/>
    </row>
    <row r="309">
      <c r="B309" s="84"/>
    </row>
    <row r="310">
      <c r="B310" s="84"/>
    </row>
    <row r="311">
      <c r="B311" s="84"/>
    </row>
    <row r="312">
      <c r="B312" s="84"/>
    </row>
    <row r="313">
      <c r="B313" s="84"/>
    </row>
    <row r="314">
      <c r="B314" s="84"/>
    </row>
    <row r="315">
      <c r="B315" s="84"/>
    </row>
    <row r="316">
      <c r="B316" s="84"/>
    </row>
    <row r="317">
      <c r="B317" s="84"/>
    </row>
    <row r="318">
      <c r="B318" s="84"/>
    </row>
    <row r="319">
      <c r="B319" s="84"/>
    </row>
    <row r="320">
      <c r="B320" s="84"/>
    </row>
    <row r="321">
      <c r="B321" s="84"/>
    </row>
    <row r="322">
      <c r="B322" s="84"/>
    </row>
    <row r="323">
      <c r="B323" s="84"/>
    </row>
    <row r="324">
      <c r="B324" s="84"/>
    </row>
    <row r="325">
      <c r="B325" s="84"/>
    </row>
    <row r="326">
      <c r="B326" s="84"/>
    </row>
    <row r="327">
      <c r="B327" s="84"/>
    </row>
    <row r="328">
      <c r="B328" s="84"/>
    </row>
    <row r="329">
      <c r="B329" s="84"/>
    </row>
    <row r="330">
      <c r="B330" s="84"/>
    </row>
    <row r="331">
      <c r="B331" s="84"/>
    </row>
    <row r="332">
      <c r="B332" s="84"/>
    </row>
    <row r="333">
      <c r="B333" s="84"/>
    </row>
    <row r="334">
      <c r="B334" s="84"/>
    </row>
    <row r="335">
      <c r="B335" s="84"/>
    </row>
    <row r="336">
      <c r="B336" s="84"/>
    </row>
    <row r="337">
      <c r="B337" s="84"/>
    </row>
    <row r="338">
      <c r="B338" s="84"/>
    </row>
    <row r="339">
      <c r="B339" s="84"/>
    </row>
    <row r="340">
      <c r="B340" s="84"/>
    </row>
    <row r="341">
      <c r="B341" s="84"/>
    </row>
    <row r="342">
      <c r="B342" s="84"/>
    </row>
    <row r="343">
      <c r="B343" s="84"/>
    </row>
    <row r="344">
      <c r="B344" s="84"/>
    </row>
    <row r="345">
      <c r="B345" s="84"/>
    </row>
    <row r="346">
      <c r="B346" s="84"/>
    </row>
    <row r="347">
      <c r="B347" s="84"/>
    </row>
    <row r="348">
      <c r="B348" s="84"/>
    </row>
    <row r="349">
      <c r="B349" s="84"/>
    </row>
    <row r="350">
      <c r="B350" s="84"/>
    </row>
    <row r="351">
      <c r="B351" s="84"/>
    </row>
    <row r="352">
      <c r="B352" s="84"/>
    </row>
    <row r="353">
      <c r="B353" s="84"/>
    </row>
    <row r="354">
      <c r="B354" s="84"/>
    </row>
    <row r="355">
      <c r="B355" s="84"/>
    </row>
    <row r="356">
      <c r="B356" s="84"/>
    </row>
    <row r="357">
      <c r="B357" s="84"/>
    </row>
    <row r="358">
      <c r="B358" s="84"/>
    </row>
    <row r="359">
      <c r="B359" s="84"/>
    </row>
    <row r="360">
      <c r="B360" s="84"/>
    </row>
    <row r="361">
      <c r="B361" s="84"/>
    </row>
    <row r="362">
      <c r="B362" s="84"/>
    </row>
    <row r="363">
      <c r="B363" s="84"/>
    </row>
    <row r="364">
      <c r="B364" s="84"/>
    </row>
    <row r="365">
      <c r="B365" s="84"/>
    </row>
    <row r="366">
      <c r="B366" s="84"/>
    </row>
    <row r="367">
      <c r="B367" s="84"/>
    </row>
    <row r="368">
      <c r="B368" s="84"/>
    </row>
    <row r="369">
      <c r="B369" s="84"/>
    </row>
    <row r="370">
      <c r="B370" s="84"/>
    </row>
    <row r="371">
      <c r="B371" s="84"/>
    </row>
    <row r="372">
      <c r="B372" s="84"/>
    </row>
    <row r="373">
      <c r="B373" s="84"/>
    </row>
    <row r="374">
      <c r="B374" s="84"/>
    </row>
    <row r="375">
      <c r="B375" s="84"/>
    </row>
    <row r="376">
      <c r="B376" s="84"/>
    </row>
    <row r="377">
      <c r="B377" s="84"/>
    </row>
    <row r="378">
      <c r="B378" s="84"/>
    </row>
    <row r="379">
      <c r="B379" s="84"/>
    </row>
    <row r="380">
      <c r="B380" s="84"/>
    </row>
    <row r="381">
      <c r="B381" s="84"/>
    </row>
    <row r="382">
      <c r="B382" s="84"/>
    </row>
    <row r="383">
      <c r="B383" s="84"/>
    </row>
    <row r="384">
      <c r="B384" s="84"/>
    </row>
    <row r="385">
      <c r="B385" s="84"/>
    </row>
    <row r="386">
      <c r="B386" s="84"/>
    </row>
    <row r="387">
      <c r="B387" s="84"/>
    </row>
    <row r="388">
      <c r="B388" s="84"/>
    </row>
    <row r="389">
      <c r="B389" s="84"/>
    </row>
    <row r="390">
      <c r="B390" s="84"/>
    </row>
    <row r="391">
      <c r="B391" s="84"/>
    </row>
    <row r="392">
      <c r="B392" s="84"/>
    </row>
    <row r="393">
      <c r="B393" s="84"/>
    </row>
    <row r="394">
      <c r="B394" s="84"/>
    </row>
    <row r="395">
      <c r="B395" s="84"/>
    </row>
    <row r="396">
      <c r="B396" s="84"/>
    </row>
    <row r="397">
      <c r="B397" s="84"/>
    </row>
    <row r="398">
      <c r="B398" s="84"/>
    </row>
    <row r="399">
      <c r="B399" s="84"/>
    </row>
    <row r="400">
      <c r="B400" s="84"/>
    </row>
    <row r="401">
      <c r="B401" s="84"/>
    </row>
    <row r="402">
      <c r="B402" s="84"/>
    </row>
    <row r="403">
      <c r="B403" s="84"/>
    </row>
    <row r="404">
      <c r="B404" s="84"/>
    </row>
    <row r="405">
      <c r="B405" s="84"/>
    </row>
    <row r="406">
      <c r="B406" s="84"/>
    </row>
    <row r="407">
      <c r="B407" s="84"/>
    </row>
    <row r="408">
      <c r="B408" s="84"/>
    </row>
    <row r="409">
      <c r="B409" s="84"/>
    </row>
    <row r="410">
      <c r="B410" s="84"/>
    </row>
    <row r="411">
      <c r="B411" s="84"/>
    </row>
    <row r="412">
      <c r="B412" s="84"/>
    </row>
    <row r="413">
      <c r="B413" s="84"/>
    </row>
    <row r="414">
      <c r="B414" s="84"/>
    </row>
    <row r="415">
      <c r="B415" s="84"/>
    </row>
    <row r="416">
      <c r="B416" s="84"/>
    </row>
    <row r="417">
      <c r="B417" s="84"/>
    </row>
    <row r="418">
      <c r="B418" s="84"/>
    </row>
    <row r="419">
      <c r="B419" s="84"/>
    </row>
    <row r="420">
      <c r="B420" s="84"/>
    </row>
    <row r="421">
      <c r="B421" s="84"/>
    </row>
    <row r="422">
      <c r="B422" s="84"/>
    </row>
    <row r="423">
      <c r="B423" s="84"/>
    </row>
    <row r="424">
      <c r="B424" s="84"/>
    </row>
    <row r="425">
      <c r="B425" s="84"/>
    </row>
    <row r="426">
      <c r="B426" s="84"/>
    </row>
    <row r="427">
      <c r="B427" s="84"/>
    </row>
    <row r="428">
      <c r="B428" s="84"/>
    </row>
    <row r="429">
      <c r="B429" s="84"/>
    </row>
    <row r="430">
      <c r="B430" s="84"/>
    </row>
    <row r="431">
      <c r="B431" s="84"/>
    </row>
    <row r="432">
      <c r="B432" s="84"/>
    </row>
    <row r="433">
      <c r="B433" s="84"/>
    </row>
    <row r="434">
      <c r="B434" s="84"/>
    </row>
    <row r="435">
      <c r="B435" s="84"/>
    </row>
    <row r="436">
      <c r="B436" s="84"/>
    </row>
    <row r="437">
      <c r="B437" s="84"/>
    </row>
    <row r="438">
      <c r="B438" s="84"/>
    </row>
    <row r="439">
      <c r="B439" s="84"/>
    </row>
    <row r="440">
      <c r="B440" s="84"/>
    </row>
    <row r="441">
      <c r="B441" s="84"/>
    </row>
    <row r="442">
      <c r="B442" s="84"/>
    </row>
    <row r="443">
      <c r="B443" s="84"/>
    </row>
    <row r="444">
      <c r="B444" s="84"/>
    </row>
    <row r="445">
      <c r="B445" s="84"/>
    </row>
    <row r="446">
      <c r="B446" s="84"/>
    </row>
    <row r="447">
      <c r="B447" s="84"/>
    </row>
    <row r="448">
      <c r="B448" s="84"/>
    </row>
    <row r="449">
      <c r="B449" s="84"/>
    </row>
    <row r="450">
      <c r="B450" s="84"/>
    </row>
    <row r="451">
      <c r="B451" s="84"/>
    </row>
    <row r="452">
      <c r="B452" s="84"/>
    </row>
    <row r="453">
      <c r="B453" s="84"/>
    </row>
    <row r="454">
      <c r="B454" s="84"/>
    </row>
    <row r="455">
      <c r="B455" s="84"/>
    </row>
    <row r="456">
      <c r="B456" s="84"/>
    </row>
    <row r="457">
      <c r="B457" s="84"/>
    </row>
    <row r="458">
      <c r="B458" s="84"/>
    </row>
    <row r="459">
      <c r="B459" s="84"/>
    </row>
    <row r="460">
      <c r="B460" s="84"/>
    </row>
    <row r="461">
      <c r="B461" s="84"/>
    </row>
    <row r="462">
      <c r="B462" s="84"/>
    </row>
    <row r="463">
      <c r="B463" s="84"/>
    </row>
    <row r="464">
      <c r="B464" s="84"/>
    </row>
    <row r="465">
      <c r="B465" s="84"/>
    </row>
    <row r="466">
      <c r="B466" s="84"/>
    </row>
    <row r="467">
      <c r="B467" s="84"/>
    </row>
    <row r="468">
      <c r="B468" s="84"/>
    </row>
    <row r="469">
      <c r="B469" s="84"/>
    </row>
    <row r="470">
      <c r="B470" s="84"/>
    </row>
    <row r="471">
      <c r="B471" s="84"/>
    </row>
    <row r="472">
      <c r="B472" s="84"/>
    </row>
    <row r="473">
      <c r="B473" s="84"/>
    </row>
    <row r="474">
      <c r="B474" s="84"/>
    </row>
    <row r="475">
      <c r="B475" s="84"/>
    </row>
    <row r="476">
      <c r="B476" s="84"/>
    </row>
    <row r="477">
      <c r="B477" s="84"/>
    </row>
    <row r="478">
      <c r="B478" s="84"/>
    </row>
    <row r="479">
      <c r="B479" s="84"/>
    </row>
    <row r="480">
      <c r="B480" s="84"/>
    </row>
    <row r="481">
      <c r="B481" s="84"/>
    </row>
    <row r="482">
      <c r="B482" s="84"/>
    </row>
    <row r="483">
      <c r="B483" s="84"/>
    </row>
    <row r="484">
      <c r="B484" s="84"/>
    </row>
    <row r="485">
      <c r="B485" s="84"/>
    </row>
    <row r="486">
      <c r="B486" s="84"/>
    </row>
    <row r="487">
      <c r="B487" s="84"/>
    </row>
    <row r="488">
      <c r="B488" s="84"/>
    </row>
    <row r="489">
      <c r="B489" s="84"/>
    </row>
    <row r="490">
      <c r="B490" s="84"/>
    </row>
    <row r="491">
      <c r="B491" s="84"/>
    </row>
    <row r="492">
      <c r="B492" s="84"/>
    </row>
    <row r="493">
      <c r="B493" s="84"/>
    </row>
    <row r="494">
      <c r="B494" s="84"/>
    </row>
    <row r="495">
      <c r="B495" s="84"/>
    </row>
    <row r="496">
      <c r="B496" s="84"/>
    </row>
    <row r="497">
      <c r="B497" s="84"/>
    </row>
    <row r="498">
      <c r="B498" s="84"/>
    </row>
    <row r="499">
      <c r="B499" s="84"/>
    </row>
    <row r="500">
      <c r="B500" s="84"/>
    </row>
    <row r="501">
      <c r="B501" s="84"/>
    </row>
    <row r="502">
      <c r="B502" s="84"/>
    </row>
    <row r="503">
      <c r="B503" s="84"/>
    </row>
    <row r="504">
      <c r="B504" s="84"/>
    </row>
    <row r="505">
      <c r="B505" s="84"/>
    </row>
    <row r="506">
      <c r="B506" s="84"/>
    </row>
    <row r="507">
      <c r="B507" s="84"/>
    </row>
    <row r="508">
      <c r="B508" s="84"/>
    </row>
    <row r="509">
      <c r="B509" s="84"/>
    </row>
    <row r="510">
      <c r="B510" s="84"/>
    </row>
    <row r="511">
      <c r="B511" s="84"/>
    </row>
    <row r="512">
      <c r="B512" s="84"/>
    </row>
    <row r="513">
      <c r="B513" s="84"/>
    </row>
    <row r="514">
      <c r="B514" s="84"/>
    </row>
    <row r="515">
      <c r="B515" s="84"/>
    </row>
    <row r="516">
      <c r="B516" s="84"/>
    </row>
    <row r="517">
      <c r="B517" s="84"/>
    </row>
    <row r="518">
      <c r="B518" s="84"/>
    </row>
    <row r="519">
      <c r="B519" s="84"/>
    </row>
    <row r="520">
      <c r="B520" s="84"/>
    </row>
    <row r="521">
      <c r="B521" s="84"/>
    </row>
    <row r="522">
      <c r="B522" s="84"/>
    </row>
    <row r="523">
      <c r="B523" s="84"/>
    </row>
    <row r="524">
      <c r="B524" s="84"/>
    </row>
    <row r="525">
      <c r="B525" s="84"/>
    </row>
    <row r="526">
      <c r="B526" s="84"/>
    </row>
    <row r="527">
      <c r="B527" s="84"/>
    </row>
    <row r="528">
      <c r="B528" s="84"/>
    </row>
    <row r="529">
      <c r="B529" s="84"/>
    </row>
    <row r="530">
      <c r="B530" s="84"/>
    </row>
    <row r="531">
      <c r="B531" s="84"/>
    </row>
    <row r="532">
      <c r="B532" s="84"/>
    </row>
    <row r="533">
      <c r="B533" s="84"/>
    </row>
    <row r="534">
      <c r="B534" s="84"/>
    </row>
    <row r="535">
      <c r="B535" s="84"/>
    </row>
    <row r="536">
      <c r="B536" s="84"/>
    </row>
    <row r="537">
      <c r="B537" s="84"/>
    </row>
    <row r="538">
      <c r="B538" s="84"/>
    </row>
    <row r="539">
      <c r="B539" s="84"/>
    </row>
    <row r="540">
      <c r="B540" s="84"/>
    </row>
    <row r="541">
      <c r="B541" s="84"/>
    </row>
    <row r="542">
      <c r="B542" s="84"/>
    </row>
    <row r="543">
      <c r="B543" s="84"/>
    </row>
    <row r="544">
      <c r="B544" s="84"/>
    </row>
    <row r="545">
      <c r="B545" s="84"/>
    </row>
    <row r="546">
      <c r="B546" s="84"/>
    </row>
    <row r="547">
      <c r="B547" s="84"/>
    </row>
    <row r="548">
      <c r="B548" s="84"/>
    </row>
    <row r="549">
      <c r="B549" s="84"/>
    </row>
    <row r="550">
      <c r="B550" s="84"/>
    </row>
    <row r="551">
      <c r="B551" s="84"/>
    </row>
    <row r="552">
      <c r="B552" s="84"/>
    </row>
    <row r="553">
      <c r="B553" s="84"/>
    </row>
    <row r="554">
      <c r="B554" s="84"/>
    </row>
    <row r="555">
      <c r="B555" s="84"/>
    </row>
    <row r="556">
      <c r="B556" s="84"/>
    </row>
    <row r="557">
      <c r="B557" s="84"/>
    </row>
    <row r="558">
      <c r="B558" s="84"/>
    </row>
    <row r="559">
      <c r="B559" s="84"/>
    </row>
    <row r="560">
      <c r="B560" s="84"/>
    </row>
    <row r="561">
      <c r="B561" s="84"/>
    </row>
    <row r="562">
      <c r="B562" s="84"/>
    </row>
    <row r="563">
      <c r="B563" s="84"/>
    </row>
    <row r="564">
      <c r="B564" s="84"/>
    </row>
    <row r="565">
      <c r="B565" s="84"/>
    </row>
    <row r="566">
      <c r="B566" s="84"/>
    </row>
    <row r="567">
      <c r="B567" s="84"/>
    </row>
    <row r="568">
      <c r="B568" s="84"/>
    </row>
    <row r="569">
      <c r="B569" s="84"/>
    </row>
    <row r="570">
      <c r="B570" s="84"/>
    </row>
    <row r="571">
      <c r="B571" s="84"/>
    </row>
    <row r="572">
      <c r="B572" s="84"/>
    </row>
    <row r="573">
      <c r="B573" s="84"/>
    </row>
    <row r="574">
      <c r="B574" s="84"/>
    </row>
    <row r="575">
      <c r="B575" s="84"/>
    </row>
    <row r="576">
      <c r="B576" s="84"/>
    </row>
    <row r="577">
      <c r="B577" s="84"/>
    </row>
    <row r="578">
      <c r="B578" s="84"/>
    </row>
    <row r="579">
      <c r="B579" s="84"/>
    </row>
    <row r="580">
      <c r="B580" s="84"/>
    </row>
    <row r="581">
      <c r="B581" s="84"/>
    </row>
    <row r="582">
      <c r="B582" s="84"/>
    </row>
    <row r="583">
      <c r="B583" s="84"/>
    </row>
    <row r="584">
      <c r="B584" s="84"/>
    </row>
    <row r="585">
      <c r="B585" s="84"/>
    </row>
    <row r="586">
      <c r="B586" s="84"/>
    </row>
    <row r="587">
      <c r="B587" s="84"/>
    </row>
    <row r="588">
      <c r="B588" s="84"/>
    </row>
    <row r="589">
      <c r="B589" s="84"/>
    </row>
    <row r="590">
      <c r="B590" s="84"/>
    </row>
    <row r="591">
      <c r="B591" s="84"/>
    </row>
    <row r="592">
      <c r="B592" s="84"/>
    </row>
    <row r="593">
      <c r="B593" s="84"/>
    </row>
    <row r="594">
      <c r="B594" s="84"/>
    </row>
    <row r="595">
      <c r="B595" s="84"/>
    </row>
    <row r="596">
      <c r="B596" s="84"/>
    </row>
    <row r="597">
      <c r="B597" s="84"/>
    </row>
    <row r="598">
      <c r="B598" s="84"/>
    </row>
    <row r="599">
      <c r="B599" s="84"/>
    </row>
    <row r="600">
      <c r="B600" s="84"/>
    </row>
    <row r="601">
      <c r="B601" s="84"/>
    </row>
    <row r="602">
      <c r="B602" s="84"/>
    </row>
    <row r="603">
      <c r="B603" s="84"/>
    </row>
    <row r="604">
      <c r="B604" s="84"/>
    </row>
    <row r="605">
      <c r="B605" s="84"/>
    </row>
    <row r="606">
      <c r="B606" s="84"/>
    </row>
    <row r="607">
      <c r="B607" s="84"/>
    </row>
    <row r="608">
      <c r="B608" s="84"/>
    </row>
    <row r="609">
      <c r="B609" s="84"/>
    </row>
    <row r="610">
      <c r="B610" s="84"/>
    </row>
    <row r="611">
      <c r="B611" s="84"/>
    </row>
    <row r="612">
      <c r="B612" s="84"/>
    </row>
    <row r="613">
      <c r="B613" s="84"/>
    </row>
    <row r="614">
      <c r="B614" s="84"/>
    </row>
    <row r="615">
      <c r="B615" s="84"/>
    </row>
    <row r="616">
      <c r="B616" s="84"/>
    </row>
    <row r="617">
      <c r="B617" s="84"/>
    </row>
    <row r="618">
      <c r="B618" s="84"/>
    </row>
    <row r="619">
      <c r="B619" s="84"/>
    </row>
    <row r="620">
      <c r="B620" s="84"/>
    </row>
    <row r="621">
      <c r="B621" s="84"/>
    </row>
    <row r="622">
      <c r="B622" s="84"/>
    </row>
    <row r="623">
      <c r="B623" s="84"/>
    </row>
    <row r="624">
      <c r="B624" s="84"/>
    </row>
    <row r="625">
      <c r="B625" s="84"/>
    </row>
    <row r="626">
      <c r="B626" s="84"/>
    </row>
    <row r="627">
      <c r="B627" s="84"/>
    </row>
    <row r="628">
      <c r="B628" s="84"/>
    </row>
    <row r="629">
      <c r="B629" s="84"/>
    </row>
    <row r="630">
      <c r="B630" s="84"/>
    </row>
    <row r="631">
      <c r="B631" s="84"/>
    </row>
    <row r="632">
      <c r="B632" s="84"/>
    </row>
    <row r="633">
      <c r="B633" s="84"/>
    </row>
    <row r="634">
      <c r="B634" s="84"/>
    </row>
    <row r="635">
      <c r="B635" s="84"/>
    </row>
    <row r="636">
      <c r="B636" s="84"/>
    </row>
    <row r="637">
      <c r="B637" s="84"/>
    </row>
    <row r="638">
      <c r="B638" s="84"/>
    </row>
    <row r="639">
      <c r="B639" s="84"/>
    </row>
    <row r="640">
      <c r="B640" s="84"/>
    </row>
    <row r="641">
      <c r="B641" s="84"/>
    </row>
    <row r="642">
      <c r="B642" s="84"/>
    </row>
    <row r="643">
      <c r="B643" s="84"/>
    </row>
    <row r="644">
      <c r="B644" s="84"/>
    </row>
    <row r="645">
      <c r="B645" s="84"/>
    </row>
    <row r="646">
      <c r="B646" s="84"/>
    </row>
    <row r="647">
      <c r="B647" s="84"/>
    </row>
    <row r="648">
      <c r="B648" s="84"/>
    </row>
    <row r="649">
      <c r="B649" s="84"/>
    </row>
    <row r="650">
      <c r="B650" s="84"/>
    </row>
    <row r="651">
      <c r="B651" s="84"/>
    </row>
    <row r="652">
      <c r="B652" s="84"/>
    </row>
    <row r="653">
      <c r="B653" s="84"/>
    </row>
    <row r="654">
      <c r="B654" s="84"/>
    </row>
    <row r="655">
      <c r="B655" s="84"/>
    </row>
    <row r="656">
      <c r="B656" s="84"/>
    </row>
    <row r="657">
      <c r="B657" s="84"/>
    </row>
    <row r="658">
      <c r="B658" s="84"/>
    </row>
    <row r="659">
      <c r="B659" s="84"/>
    </row>
    <row r="660">
      <c r="B660" s="84"/>
    </row>
    <row r="661">
      <c r="B661" s="84"/>
    </row>
    <row r="662">
      <c r="B662" s="84"/>
    </row>
    <row r="663">
      <c r="B663" s="84"/>
    </row>
    <row r="664">
      <c r="B664" s="84"/>
    </row>
    <row r="665">
      <c r="B665" s="84"/>
    </row>
    <row r="666">
      <c r="B666" s="84"/>
    </row>
    <row r="667">
      <c r="B667" s="84"/>
    </row>
    <row r="668">
      <c r="B668" s="84"/>
    </row>
    <row r="669">
      <c r="B669" s="84"/>
    </row>
    <row r="670">
      <c r="B670" s="84"/>
    </row>
    <row r="671">
      <c r="B671" s="84"/>
    </row>
    <row r="672">
      <c r="B672" s="84"/>
    </row>
    <row r="673">
      <c r="B673" s="84"/>
    </row>
    <row r="674">
      <c r="B674" s="84"/>
    </row>
    <row r="675">
      <c r="B675" s="84"/>
    </row>
    <row r="676">
      <c r="B676" s="84"/>
    </row>
    <row r="677">
      <c r="B677" s="84"/>
    </row>
    <row r="678">
      <c r="B678" s="84"/>
    </row>
    <row r="679">
      <c r="B679" s="84"/>
    </row>
    <row r="680">
      <c r="B680" s="84"/>
    </row>
    <row r="681">
      <c r="B681" s="84"/>
    </row>
    <row r="682">
      <c r="B682" s="84"/>
    </row>
    <row r="683">
      <c r="B683" s="84"/>
    </row>
    <row r="684">
      <c r="B684" s="84"/>
    </row>
    <row r="685">
      <c r="B685" s="84"/>
    </row>
    <row r="686">
      <c r="B686" s="84"/>
    </row>
    <row r="687">
      <c r="B687" s="84"/>
    </row>
    <row r="688">
      <c r="B688" s="84"/>
    </row>
    <row r="689">
      <c r="B689" s="84"/>
    </row>
    <row r="690">
      <c r="B690" s="84"/>
    </row>
    <row r="691">
      <c r="B691" s="84"/>
    </row>
    <row r="692">
      <c r="B692" s="84"/>
    </row>
    <row r="693">
      <c r="B693" s="84"/>
    </row>
    <row r="694">
      <c r="B694" s="84"/>
    </row>
    <row r="695">
      <c r="B695" s="84"/>
    </row>
    <row r="696">
      <c r="B696" s="84"/>
    </row>
    <row r="697">
      <c r="B697" s="84"/>
    </row>
    <row r="698">
      <c r="B698" s="84"/>
    </row>
    <row r="699">
      <c r="B699" s="84"/>
    </row>
    <row r="700">
      <c r="B700" s="84"/>
    </row>
    <row r="701">
      <c r="B701" s="84"/>
    </row>
    <row r="702">
      <c r="B702" s="84"/>
    </row>
    <row r="703">
      <c r="B703" s="84"/>
    </row>
    <row r="704">
      <c r="B704" s="84"/>
    </row>
    <row r="705">
      <c r="B705" s="84"/>
    </row>
    <row r="706">
      <c r="B706" s="84"/>
    </row>
    <row r="707">
      <c r="B707" s="84"/>
    </row>
    <row r="708">
      <c r="B708" s="84"/>
    </row>
    <row r="709">
      <c r="B709" s="84"/>
    </row>
    <row r="710">
      <c r="B710" s="84"/>
    </row>
    <row r="711">
      <c r="B711" s="84"/>
    </row>
    <row r="712">
      <c r="B712" s="84"/>
    </row>
    <row r="713">
      <c r="B713" s="84"/>
    </row>
    <row r="714">
      <c r="B714" s="84"/>
    </row>
    <row r="715">
      <c r="B715" s="84"/>
    </row>
    <row r="716">
      <c r="B716" s="84"/>
    </row>
    <row r="717">
      <c r="B717" s="84"/>
    </row>
    <row r="718">
      <c r="B718" s="84"/>
    </row>
    <row r="719">
      <c r="B719" s="84"/>
    </row>
    <row r="720">
      <c r="B720" s="84"/>
    </row>
    <row r="721">
      <c r="B721" s="84"/>
    </row>
    <row r="722">
      <c r="B722" s="84"/>
    </row>
    <row r="723">
      <c r="B723" s="84"/>
    </row>
    <row r="724">
      <c r="B724" s="84"/>
    </row>
    <row r="725">
      <c r="B725" s="84"/>
    </row>
    <row r="726">
      <c r="B726" s="84"/>
    </row>
    <row r="727">
      <c r="B727" s="84"/>
    </row>
    <row r="728">
      <c r="B728" s="84"/>
    </row>
    <row r="729">
      <c r="B729" s="84"/>
    </row>
    <row r="730">
      <c r="B730" s="84"/>
    </row>
    <row r="731">
      <c r="B731" s="84"/>
    </row>
    <row r="732">
      <c r="B732" s="84"/>
    </row>
    <row r="733">
      <c r="B733" s="84"/>
    </row>
    <row r="734">
      <c r="B734" s="84"/>
    </row>
    <row r="735">
      <c r="B735" s="84"/>
    </row>
    <row r="736">
      <c r="B736" s="84"/>
    </row>
    <row r="737">
      <c r="B737" s="84"/>
    </row>
    <row r="738">
      <c r="B738" s="84"/>
    </row>
    <row r="739">
      <c r="B739" s="84"/>
    </row>
    <row r="740">
      <c r="B740" s="84"/>
    </row>
    <row r="741">
      <c r="B741" s="84"/>
    </row>
    <row r="742">
      <c r="B742" s="84"/>
    </row>
    <row r="743">
      <c r="B743" s="84"/>
    </row>
    <row r="744">
      <c r="B744" s="84"/>
    </row>
    <row r="745">
      <c r="B745" s="84"/>
    </row>
    <row r="746">
      <c r="B746" s="84"/>
    </row>
    <row r="747">
      <c r="B747" s="84"/>
    </row>
    <row r="748">
      <c r="B748" s="84"/>
    </row>
    <row r="749">
      <c r="B749" s="84"/>
    </row>
    <row r="750">
      <c r="B750" s="84"/>
    </row>
    <row r="751">
      <c r="B751" s="84"/>
    </row>
    <row r="752">
      <c r="B752" s="84"/>
    </row>
    <row r="753">
      <c r="B753" s="84"/>
    </row>
    <row r="754">
      <c r="B754" s="84"/>
    </row>
    <row r="755">
      <c r="B755" s="84"/>
    </row>
    <row r="756">
      <c r="B756" s="84"/>
    </row>
    <row r="757">
      <c r="B757" s="84"/>
    </row>
    <row r="758">
      <c r="B758" s="84"/>
    </row>
    <row r="759">
      <c r="B759" s="84"/>
    </row>
    <row r="760">
      <c r="B760" s="84"/>
    </row>
    <row r="761">
      <c r="B761" s="84"/>
    </row>
    <row r="762">
      <c r="B762" s="84"/>
    </row>
    <row r="763">
      <c r="B763" s="84"/>
    </row>
    <row r="764">
      <c r="B764" s="84"/>
    </row>
    <row r="765">
      <c r="B765" s="84"/>
    </row>
    <row r="766">
      <c r="B766" s="84"/>
    </row>
    <row r="767">
      <c r="B767" s="84"/>
    </row>
    <row r="768">
      <c r="B768" s="84"/>
    </row>
    <row r="769">
      <c r="B769" s="84"/>
    </row>
    <row r="770">
      <c r="B770" s="84"/>
    </row>
    <row r="771">
      <c r="B771" s="84"/>
    </row>
    <row r="772">
      <c r="B772" s="84"/>
    </row>
    <row r="773">
      <c r="B773" s="84"/>
    </row>
    <row r="774">
      <c r="B774" s="84"/>
    </row>
    <row r="775">
      <c r="B775" s="84"/>
    </row>
    <row r="776">
      <c r="B776" s="84"/>
    </row>
    <row r="777">
      <c r="B777" s="84"/>
    </row>
    <row r="778">
      <c r="B778" s="84"/>
    </row>
    <row r="779">
      <c r="B779" s="84"/>
    </row>
    <row r="780">
      <c r="B780" s="84"/>
    </row>
    <row r="781">
      <c r="B781" s="84"/>
    </row>
    <row r="782">
      <c r="B782" s="84"/>
    </row>
    <row r="783">
      <c r="B783" s="84"/>
    </row>
    <row r="784">
      <c r="B784" s="84"/>
    </row>
    <row r="785">
      <c r="B785" s="84"/>
    </row>
    <row r="786">
      <c r="B786" s="84"/>
    </row>
    <row r="787">
      <c r="B787" s="84"/>
    </row>
    <row r="788">
      <c r="B788" s="84"/>
    </row>
    <row r="789">
      <c r="B789" s="84"/>
    </row>
    <row r="790">
      <c r="B790" s="84"/>
    </row>
    <row r="791">
      <c r="B791" s="84"/>
    </row>
    <row r="792">
      <c r="B792" s="84"/>
    </row>
    <row r="793">
      <c r="B793" s="84"/>
    </row>
    <row r="794">
      <c r="B794" s="84"/>
    </row>
    <row r="795">
      <c r="B795" s="84"/>
    </row>
    <row r="796">
      <c r="B796" s="84"/>
    </row>
    <row r="797">
      <c r="B797" s="84"/>
    </row>
    <row r="798">
      <c r="B798" s="84"/>
    </row>
    <row r="799">
      <c r="B799" s="84"/>
    </row>
    <row r="800">
      <c r="B800" s="84"/>
    </row>
    <row r="801">
      <c r="B801" s="84"/>
    </row>
    <row r="802">
      <c r="B802" s="84"/>
    </row>
    <row r="803">
      <c r="B803" s="84"/>
    </row>
    <row r="804">
      <c r="B804" s="84"/>
    </row>
    <row r="805">
      <c r="B805" s="84"/>
    </row>
    <row r="806">
      <c r="B806" s="84"/>
    </row>
    <row r="807">
      <c r="B807" s="84"/>
    </row>
    <row r="808">
      <c r="B808" s="84"/>
    </row>
    <row r="809">
      <c r="B809" s="84"/>
    </row>
    <row r="810">
      <c r="B810" s="84"/>
    </row>
    <row r="811">
      <c r="B811" s="84"/>
    </row>
    <row r="812">
      <c r="B812" s="84"/>
    </row>
    <row r="813">
      <c r="B813" s="84"/>
    </row>
    <row r="814">
      <c r="B814" s="84"/>
    </row>
    <row r="815">
      <c r="B815" s="84"/>
    </row>
    <row r="816">
      <c r="B816" s="84"/>
    </row>
    <row r="817">
      <c r="B817" s="84"/>
    </row>
    <row r="818">
      <c r="B818" s="84"/>
    </row>
    <row r="819">
      <c r="B819" s="84"/>
    </row>
    <row r="820">
      <c r="B820" s="84"/>
    </row>
    <row r="821">
      <c r="B821" s="84"/>
    </row>
    <row r="822">
      <c r="B822" s="84"/>
    </row>
    <row r="823">
      <c r="B823" s="84"/>
    </row>
    <row r="824">
      <c r="B824" s="84"/>
    </row>
    <row r="825">
      <c r="B825" s="84"/>
    </row>
    <row r="826">
      <c r="B826" s="84"/>
    </row>
    <row r="827">
      <c r="B827" s="84"/>
    </row>
    <row r="828">
      <c r="B828" s="84"/>
    </row>
    <row r="829">
      <c r="B829" s="84"/>
    </row>
    <row r="830">
      <c r="B830" s="84"/>
    </row>
    <row r="831">
      <c r="B831" s="84"/>
    </row>
    <row r="832">
      <c r="B832" s="84"/>
    </row>
    <row r="833">
      <c r="B833" s="84"/>
    </row>
    <row r="834">
      <c r="B834" s="84"/>
    </row>
    <row r="835">
      <c r="B835" s="84"/>
    </row>
    <row r="836">
      <c r="B836" s="84"/>
    </row>
    <row r="837">
      <c r="B837" s="84"/>
    </row>
    <row r="838">
      <c r="B838" s="84"/>
    </row>
    <row r="839">
      <c r="B839" s="84"/>
    </row>
    <row r="840">
      <c r="B840" s="84"/>
    </row>
    <row r="841">
      <c r="B841" s="84"/>
    </row>
    <row r="842">
      <c r="B842" s="84"/>
    </row>
    <row r="843">
      <c r="B843" s="84"/>
    </row>
    <row r="844">
      <c r="B844" s="84"/>
    </row>
    <row r="845">
      <c r="B845" s="84"/>
    </row>
    <row r="846">
      <c r="B846" s="84"/>
    </row>
    <row r="847">
      <c r="B847" s="84"/>
    </row>
    <row r="848">
      <c r="B848" s="84"/>
    </row>
    <row r="849">
      <c r="B849" s="84"/>
    </row>
    <row r="850">
      <c r="B850" s="84"/>
    </row>
    <row r="851">
      <c r="B851" s="84"/>
    </row>
    <row r="852">
      <c r="B852" s="84"/>
    </row>
    <row r="853">
      <c r="B853" s="84"/>
    </row>
    <row r="854">
      <c r="B854" s="84"/>
    </row>
    <row r="855">
      <c r="B855" s="84"/>
    </row>
    <row r="856">
      <c r="B856" s="84"/>
    </row>
    <row r="857">
      <c r="B857" s="84"/>
    </row>
    <row r="858">
      <c r="B858" s="84"/>
    </row>
    <row r="859">
      <c r="B859" s="84"/>
    </row>
    <row r="860">
      <c r="B860" s="84"/>
    </row>
    <row r="861">
      <c r="B861" s="84"/>
    </row>
    <row r="862">
      <c r="B862" s="84"/>
    </row>
    <row r="863">
      <c r="B863" s="84"/>
    </row>
    <row r="864">
      <c r="B864" s="84"/>
    </row>
    <row r="865">
      <c r="B865" s="84"/>
    </row>
    <row r="866">
      <c r="B866" s="84"/>
    </row>
    <row r="867">
      <c r="B867" s="84"/>
    </row>
    <row r="868">
      <c r="B868" s="84"/>
    </row>
    <row r="869">
      <c r="B869" s="84"/>
    </row>
    <row r="870">
      <c r="B870" s="84"/>
    </row>
    <row r="871">
      <c r="B871" s="84"/>
    </row>
    <row r="872">
      <c r="B872" s="84"/>
    </row>
    <row r="873">
      <c r="B873" s="84"/>
    </row>
    <row r="874">
      <c r="B874" s="84"/>
    </row>
    <row r="875">
      <c r="B875" s="84"/>
    </row>
    <row r="876">
      <c r="B876" s="84"/>
    </row>
    <row r="877">
      <c r="B877" s="84"/>
    </row>
    <row r="878">
      <c r="B878" s="84"/>
    </row>
    <row r="879">
      <c r="B879" s="84"/>
    </row>
    <row r="880">
      <c r="B880" s="84"/>
    </row>
    <row r="881">
      <c r="B881" s="84"/>
    </row>
    <row r="882">
      <c r="B882" s="84"/>
    </row>
    <row r="883">
      <c r="B883" s="84"/>
    </row>
    <row r="884">
      <c r="B884" s="84"/>
    </row>
    <row r="885">
      <c r="B885" s="84"/>
    </row>
    <row r="886">
      <c r="B886" s="84"/>
    </row>
    <row r="887">
      <c r="B887" s="84"/>
    </row>
    <row r="888">
      <c r="B888" s="84"/>
    </row>
    <row r="889">
      <c r="B889" s="84"/>
    </row>
    <row r="890">
      <c r="B890" s="84"/>
    </row>
    <row r="891">
      <c r="B891" s="84"/>
    </row>
    <row r="892">
      <c r="B892" s="84"/>
    </row>
    <row r="893">
      <c r="B893" s="84"/>
    </row>
    <row r="894">
      <c r="B894" s="84"/>
    </row>
    <row r="895">
      <c r="B895" s="84"/>
    </row>
    <row r="896">
      <c r="B896" s="84"/>
    </row>
    <row r="897">
      <c r="B897" s="84"/>
    </row>
    <row r="898">
      <c r="B898" s="84"/>
    </row>
    <row r="899">
      <c r="B899" s="84"/>
    </row>
    <row r="900">
      <c r="B900" s="84"/>
    </row>
    <row r="901">
      <c r="B901" s="84"/>
    </row>
    <row r="902">
      <c r="B902" s="84"/>
    </row>
    <row r="903">
      <c r="B903" s="84"/>
    </row>
    <row r="904">
      <c r="B904" s="84"/>
    </row>
    <row r="905">
      <c r="B905" s="84"/>
    </row>
    <row r="906">
      <c r="B906" s="84"/>
    </row>
    <row r="907">
      <c r="B907" s="84"/>
    </row>
    <row r="908">
      <c r="B908" s="84"/>
    </row>
    <row r="909">
      <c r="B909" s="84"/>
    </row>
    <row r="910">
      <c r="B910" s="84"/>
    </row>
    <row r="911">
      <c r="B911" s="84"/>
    </row>
    <row r="912">
      <c r="B912" s="84"/>
    </row>
    <row r="913">
      <c r="B913" s="84"/>
    </row>
    <row r="914">
      <c r="B914" s="84"/>
    </row>
    <row r="915">
      <c r="B915" s="84"/>
    </row>
    <row r="916">
      <c r="B916" s="84"/>
    </row>
    <row r="917">
      <c r="B917" s="84"/>
    </row>
    <row r="918">
      <c r="B918" s="84"/>
    </row>
    <row r="919">
      <c r="B919" s="84"/>
    </row>
    <row r="920">
      <c r="B920" s="84"/>
    </row>
    <row r="921">
      <c r="B921" s="84"/>
    </row>
    <row r="922">
      <c r="B922" s="84"/>
    </row>
    <row r="923">
      <c r="B923" s="84"/>
    </row>
    <row r="924">
      <c r="B924" s="84"/>
    </row>
    <row r="925">
      <c r="B925" s="84"/>
    </row>
    <row r="926">
      <c r="B926" s="84"/>
    </row>
    <row r="927">
      <c r="B927" s="84"/>
    </row>
    <row r="928">
      <c r="B928" s="84"/>
    </row>
    <row r="929">
      <c r="B929" s="84"/>
    </row>
    <row r="930">
      <c r="B930" s="84"/>
    </row>
    <row r="931">
      <c r="B931" s="84"/>
    </row>
    <row r="932">
      <c r="B932" s="84"/>
    </row>
    <row r="933">
      <c r="B933" s="84"/>
    </row>
    <row r="934">
      <c r="B934" s="84"/>
    </row>
    <row r="935">
      <c r="B935" s="84"/>
    </row>
    <row r="936">
      <c r="B936" s="84"/>
    </row>
    <row r="937">
      <c r="B937" s="84"/>
    </row>
    <row r="938">
      <c r="B938" s="84"/>
    </row>
    <row r="939">
      <c r="B939" s="84"/>
    </row>
    <row r="940">
      <c r="B940" s="84"/>
    </row>
    <row r="941">
      <c r="B941" s="84"/>
    </row>
    <row r="942">
      <c r="B942" s="84"/>
    </row>
    <row r="943">
      <c r="B943" s="84"/>
    </row>
    <row r="944">
      <c r="B944" s="84"/>
    </row>
    <row r="945">
      <c r="B945" s="84"/>
    </row>
    <row r="946">
      <c r="B946" s="84"/>
    </row>
    <row r="947">
      <c r="B947" s="84"/>
    </row>
    <row r="948">
      <c r="B948" s="84"/>
    </row>
    <row r="949">
      <c r="B949" s="84"/>
    </row>
    <row r="950">
      <c r="B950" s="84"/>
    </row>
    <row r="951">
      <c r="B951" s="84"/>
    </row>
    <row r="952">
      <c r="B952" s="84"/>
    </row>
    <row r="953">
      <c r="B953" s="84"/>
    </row>
    <row r="954">
      <c r="B954" s="84"/>
    </row>
    <row r="955">
      <c r="B955" s="84"/>
    </row>
    <row r="956">
      <c r="B956" s="84"/>
    </row>
    <row r="957">
      <c r="B957" s="84"/>
    </row>
    <row r="958">
      <c r="B958" s="84"/>
    </row>
    <row r="959">
      <c r="B959" s="84"/>
    </row>
    <row r="960">
      <c r="B960" s="84"/>
    </row>
    <row r="961">
      <c r="B961" s="84"/>
    </row>
    <row r="962">
      <c r="B962" s="84"/>
    </row>
    <row r="963">
      <c r="B963" s="84"/>
    </row>
    <row r="964">
      <c r="B964" s="84"/>
    </row>
    <row r="965">
      <c r="B965" s="84"/>
    </row>
    <row r="966">
      <c r="B966" s="84"/>
    </row>
    <row r="967">
      <c r="B967" s="84"/>
    </row>
    <row r="968">
      <c r="B968" s="84"/>
    </row>
    <row r="969">
      <c r="B969" s="84"/>
    </row>
    <row r="970">
      <c r="B970" s="84"/>
    </row>
    <row r="971">
      <c r="B971" s="84"/>
    </row>
    <row r="972">
      <c r="B972" s="84"/>
    </row>
    <row r="973">
      <c r="B973" s="84"/>
    </row>
    <row r="974">
      <c r="B974" s="84"/>
    </row>
    <row r="975">
      <c r="B975" s="84"/>
    </row>
    <row r="976">
      <c r="B976" s="84"/>
    </row>
    <row r="977">
      <c r="B977" s="84"/>
    </row>
    <row r="978">
      <c r="B978" s="84"/>
    </row>
    <row r="979">
      <c r="B979" s="84"/>
    </row>
    <row r="980">
      <c r="B980" s="84"/>
    </row>
    <row r="981">
      <c r="B981" s="84"/>
    </row>
    <row r="982">
      <c r="B982" s="84"/>
    </row>
    <row r="983">
      <c r="B983" s="84"/>
    </row>
    <row r="984">
      <c r="B984" s="84"/>
    </row>
    <row r="985">
      <c r="B985" s="84"/>
    </row>
    <row r="986">
      <c r="B986" s="84"/>
    </row>
    <row r="987">
      <c r="B987" s="84"/>
    </row>
    <row r="988">
      <c r="B988" s="84"/>
    </row>
    <row r="989">
      <c r="B989" s="84"/>
    </row>
    <row r="990">
      <c r="B990" s="84"/>
    </row>
    <row r="991">
      <c r="B991" s="84"/>
    </row>
    <row r="992">
      <c r="B992" s="84"/>
    </row>
    <row r="993">
      <c r="B993" s="84"/>
    </row>
    <row r="994">
      <c r="B994" s="84"/>
    </row>
    <row r="995">
      <c r="B995" s="84"/>
    </row>
    <row r="996">
      <c r="B996" s="84"/>
    </row>
    <row r="997">
      <c r="B997" s="84"/>
    </row>
    <row r="998">
      <c r="B998" s="84"/>
    </row>
    <row r="999">
      <c r="B999" s="84"/>
    </row>
    <row r="1000">
      <c r="B1000" s="84"/>
    </row>
    <row r="1001">
      <c r="B1001" s="84"/>
    </row>
    <row r="1002">
      <c r="B1002" s="84"/>
    </row>
    <row r="1003">
      <c r="B1003" s="8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18.38"/>
  </cols>
  <sheetData>
    <row r="2">
      <c r="I2" s="29" t="s">
        <v>136</v>
      </c>
      <c r="K2" s="29" t="s">
        <v>137</v>
      </c>
    </row>
    <row r="3">
      <c r="I3" s="29" t="s">
        <v>138</v>
      </c>
      <c r="K3" s="29" t="s">
        <v>139</v>
      </c>
    </row>
    <row r="4">
      <c r="I4" s="29" t="s">
        <v>140</v>
      </c>
      <c r="K4" s="29" t="s">
        <v>141</v>
      </c>
    </row>
    <row r="5">
      <c r="I5" s="29" t="s">
        <v>142</v>
      </c>
      <c r="K5" s="29" t="s">
        <v>143</v>
      </c>
    </row>
    <row r="6">
      <c r="I6" s="29" t="s">
        <v>144</v>
      </c>
      <c r="K6" s="29" t="s">
        <v>145</v>
      </c>
      <c r="M6" s="29" t="s">
        <v>146</v>
      </c>
    </row>
    <row r="7">
      <c r="I7" s="29" t="s">
        <v>147</v>
      </c>
      <c r="K7" s="29" t="s">
        <v>148</v>
      </c>
    </row>
    <row r="8">
      <c r="I8" s="29" t="s">
        <v>149</v>
      </c>
      <c r="K8" s="29" t="s">
        <v>150</v>
      </c>
    </row>
    <row r="9">
      <c r="I9" s="29" t="s">
        <v>151</v>
      </c>
      <c r="K9" s="29" t="s">
        <v>152</v>
      </c>
    </row>
    <row r="10">
      <c r="I10" s="29" t="s">
        <v>153</v>
      </c>
      <c r="K10" s="29" t="s">
        <v>154</v>
      </c>
    </row>
    <row r="11">
      <c r="I11" s="29" t="s">
        <v>155</v>
      </c>
      <c r="K11" s="29" t="s">
        <v>156</v>
      </c>
    </row>
    <row r="12">
      <c r="I12" s="29" t="s">
        <v>157</v>
      </c>
      <c r="K12" s="29" t="s">
        <v>158</v>
      </c>
    </row>
    <row r="13">
      <c r="I13" s="29" t="s">
        <v>159</v>
      </c>
      <c r="K13" s="29" t="s">
        <v>160</v>
      </c>
    </row>
    <row r="14">
      <c r="I14" s="29" t="s">
        <v>161</v>
      </c>
      <c r="K14" s="29" t="s">
        <v>162</v>
      </c>
    </row>
    <row r="15">
      <c r="I15" s="29" t="s">
        <v>163</v>
      </c>
      <c r="K15" s="29" t="s">
        <v>164</v>
      </c>
    </row>
    <row r="16">
      <c r="I16" s="29" t="s">
        <v>165</v>
      </c>
      <c r="K16" s="29" t="s">
        <v>166</v>
      </c>
    </row>
    <row r="17">
      <c r="I17" s="29" t="s">
        <v>167</v>
      </c>
      <c r="K17" s="29" t="s">
        <v>168</v>
      </c>
    </row>
    <row r="18">
      <c r="I18" s="29" t="s">
        <v>169</v>
      </c>
      <c r="K18" s="29" t="s">
        <v>170</v>
      </c>
    </row>
    <row r="19">
      <c r="I19" s="29" t="s">
        <v>171</v>
      </c>
      <c r="K19" s="29" t="s">
        <v>172</v>
      </c>
    </row>
    <row r="20">
      <c r="I20" s="29" t="s">
        <v>173</v>
      </c>
      <c r="K20" s="29" t="s">
        <v>174</v>
      </c>
    </row>
    <row r="21">
      <c r="I21" s="29" t="s">
        <v>175</v>
      </c>
      <c r="J21" s="29" t="s">
        <v>176</v>
      </c>
      <c r="K21" s="29" t="s">
        <v>177</v>
      </c>
    </row>
    <row r="22">
      <c r="I22" s="29" t="s">
        <v>178</v>
      </c>
      <c r="K22" s="29" t="s">
        <v>179</v>
      </c>
    </row>
    <row r="23">
      <c r="I23" s="29" t="s">
        <v>180</v>
      </c>
      <c r="K23" s="29" t="s">
        <v>181</v>
      </c>
    </row>
    <row r="24">
      <c r="I24" s="29" t="s">
        <v>182</v>
      </c>
      <c r="K24" s="29" t="s">
        <v>183</v>
      </c>
    </row>
    <row r="25">
      <c r="I25" s="29" t="s">
        <v>184</v>
      </c>
      <c r="K25" s="29" t="s">
        <v>185</v>
      </c>
    </row>
    <row r="26">
      <c r="I26" s="29" t="s">
        <v>186</v>
      </c>
      <c r="K26" s="29" t="s">
        <v>187</v>
      </c>
    </row>
    <row r="27">
      <c r="I27" s="29" t="s">
        <v>188</v>
      </c>
      <c r="K27" s="29" t="s">
        <v>189</v>
      </c>
    </row>
    <row r="28">
      <c r="I28" s="29" t="s">
        <v>190</v>
      </c>
      <c r="K28" s="29" t="s">
        <v>191</v>
      </c>
    </row>
    <row r="29">
      <c r="I29" s="29" t="s">
        <v>192</v>
      </c>
      <c r="K29" s="29" t="s">
        <v>193</v>
      </c>
    </row>
    <row r="30">
      <c r="I30" s="29" t="s">
        <v>194</v>
      </c>
      <c r="K30" s="29" t="s">
        <v>195</v>
      </c>
    </row>
    <row r="31">
      <c r="I31" s="29" t="s">
        <v>196</v>
      </c>
      <c r="K31" s="29" t="s">
        <v>197</v>
      </c>
    </row>
    <row r="32">
      <c r="I32" s="29" t="s">
        <v>198</v>
      </c>
      <c r="K32" s="29" t="s">
        <v>199</v>
      </c>
    </row>
    <row r="33">
      <c r="I33" s="29" t="s">
        <v>200</v>
      </c>
      <c r="K33" s="29" t="s">
        <v>201</v>
      </c>
    </row>
    <row r="34">
      <c r="I34" s="29" t="s">
        <v>202</v>
      </c>
      <c r="K34" s="29" t="s">
        <v>203</v>
      </c>
    </row>
    <row r="35">
      <c r="I35" s="29" t="s">
        <v>204</v>
      </c>
      <c r="K35" s="29" t="s">
        <v>205</v>
      </c>
    </row>
    <row r="36">
      <c r="I36" s="29" t="s">
        <v>206</v>
      </c>
      <c r="K36" s="29" t="s">
        <v>207</v>
      </c>
    </row>
    <row r="37">
      <c r="I37" s="29" t="s">
        <v>208</v>
      </c>
      <c r="K37" s="29" t="s">
        <v>209</v>
      </c>
      <c r="M37" s="29" t="s">
        <v>210</v>
      </c>
      <c r="N37" s="29" t="s">
        <v>211</v>
      </c>
    </row>
    <row r="38">
      <c r="I38" s="29" t="s">
        <v>212</v>
      </c>
      <c r="K38" s="29" t="s">
        <v>213</v>
      </c>
    </row>
    <row r="39">
      <c r="I39" s="29" t="s">
        <v>214</v>
      </c>
      <c r="K39" s="29" t="s">
        <v>215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B4" s="29" t="s">
        <v>216</v>
      </c>
    </row>
    <row r="5">
      <c r="B5" s="29" t="s">
        <v>217</v>
      </c>
    </row>
    <row r="7">
      <c r="B7" s="29" t="s">
        <v>218</v>
      </c>
    </row>
    <row r="8">
      <c r="B8" s="29" t="s">
        <v>219</v>
      </c>
    </row>
    <row r="10">
      <c r="B10" s="29" t="s">
        <v>220</v>
      </c>
    </row>
    <row r="11">
      <c r="B11" s="29" t="s">
        <v>221</v>
      </c>
    </row>
    <row r="12">
      <c r="B12" s="29" t="s">
        <v>222</v>
      </c>
    </row>
    <row r="14">
      <c r="B14" s="29" t="s">
        <v>223</v>
      </c>
    </row>
  </sheetData>
  <drawing r:id="rId1"/>
</worksheet>
</file>