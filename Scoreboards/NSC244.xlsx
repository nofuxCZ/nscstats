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OTS" sheetId="1" r:id="rId4"/>
    <sheet state="visible" name="All entries" sheetId="2" r:id="rId5"/>
    <sheet state="visible" name="SF1 Entries" sheetId="3" r:id="rId6"/>
    <sheet state="visible" name="SF2 Entries" sheetId="4" r:id="rId7"/>
    <sheet state="visible" name="SF1 REGULAR" sheetId="5" r:id="rId8"/>
    <sheet state="visible" name="SF1 REJU" sheetId="6" r:id="rId9"/>
    <sheet state="visible" name="SF2 REGULAR" sheetId="7" r:id="rId10"/>
    <sheet state="visible" name="SF2 REJU" sheetId="8" r:id="rId11"/>
    <sheet state="visible" name="FINAL" sheetId="9" r:id="rId12"/>
  </sheets>
  <definedNames>
    <definedName hidden="1" localSheetId="1" name="_xlnm._FilterDatabase">'All entries'!$A$1:$F$723</definedName>
  </definedNames>
  <calcPr/>
  <extLst>
    <ext uri="GoogleSheetsCustomDataVersion2">
      <go:sheetsCustomData xmlns:go="http://customooxmlschemas.google.com/" r:id="rId13" roundtripDataChecksum="LYusgszECThxeshuMgoK2ZFE8HSnCJwnmN6Wz/wsiNI="/>
    </ext>
  </extLst>
</workbook>
</file>

<file path=xl/sharedStrings.xml><?xml version="1.0" encoding="utf-8"?>
<sst xmlns="http://schemas.openxmlformats.org/spreadsheetml/2006/main" count="940" uniqueCount="441">
  <si>
    <t>Pot 1
Adamsburg
Bala Kunmenai
Dwyforland
Fervorosia
Kimmystan
Perryfornia
Roseland
Szimbaya Kingdom
Tamausa &amp; Deltannor
Xhuxhmaxhuxh</t>
  </si>
  <si>
    <t>Pot 2
Balearica Island
Biflovatia
Cherniya
Cydoni-Gibberia
Fierraria
Oosingimaed
Svobodnia
Tanoiro
WISN</t>
  </si>
  <si>
    <t>Pot 3
Begonia
MatiMati
Halito
Papendink
Rehi Kaita
Reym-L-Dneurb
Serenes
Sodermalm
Tir an Abhainn
Ugaly
Yaponesia</t>
  </si>
  <si>
    <t>Pot 4
Afnia
Comino
FR Meridia
Griffin Empire
Kamande
Marcobia
Redwood Republic
UK Destrion
Vermilion
Zombira</t>
  </si>
  <si>
    <t>Pot 5
Calypso
Doire
Elvaci
GD Strenci
Insomnea
Konthena
New Acadia
New Bander State
Rahasia-Diati
Roxma Nova
Tcher-Racoi
Xochimilia</t>
  </si>
  <si>
    <t>Pot 6
Aimulli
Belvist
Endore
Kordavian Islands
Rumia
Sakuralia
Trollheimr
Vylkuzeme</t>
  </si>
  <si>
    <t>Nation</t>
  </si>
  <si>
    <t>Pot</t>
  </si>
  <si>
    <t>User</t>
  </si>
  <si>
    <t>Artist</t>
  </si>
  <si>
    <t>Song</t>
  </si>
  <si>
    <t>Link</t>
  </si>
  <si>
    <t>Adamsburg</t>
  </si>
  <si>
    <t>Schlagerman1</t>
  </si>
  <si>
    <t>JFDR</t>
  </si>
  <si>
    <t>Spectator</t>
  </si>
  <si>
    <t>https://www.youtube.com/watch?v=R9JqgsKta2Y</t>
  </si>
  <si>
    <t>Afnia</t>
  </si>
  <si>
    <t>soundofsilence</t>
  </si>
  <si>
    <t>Over The Range</t>
  </si>
  <si>
    <t>Merciless Saints</t>
  </si>
  <si>
    <t>https://youtu.be/M8GL_vmE5X0</t>
  </si>
  <si>
    <t>Aimulli</t>
  </si>
  <si>
    <t>Territrius</t>
  </si>
  <si>
    <t>Dua Lipa</t>
  </si>
  <si>
    <t>Illusion</t>
  </si>
  <si>
    <t>https://www.youtube.com/watch?v=a9cyG_yfh1k</t>
  </si>
  <si>
    <t>Balearica Island</t>
  </si>
  <si>
    <t>Morty</t>
  </si>
  <si>
    <t>Reivix &amp; Gia</t>
  </si>
  <si>
    <t>Auringonnousuhumala</t>
  </si>
  <si>
    <t>https://www.youtube.com/watch?v=c-_N3cnxle8</t>
  </si>
  <si>
    <t>Begonia</t>
  </si>
  <si>
    <t>pjelacki</t>
  </si>
  <si>
    <t>Adé</t>
  </si>
  <si>
    <t>Forts</t>
  </si>
  <si>
    <t>https://www.youtube.com/watch?v=n1VEgIJxPhc</t>
  </si>
  <si>
    <t>Belvist</t>
  </si>
  <si>
    <t>Milos</t>
  </si>
  <si>
    <t>Linkin Park</t>
  </si>
  <si>
    <t>Heavy Is The Crown</t>
  </si>
  <si>
    <t>https://www.youtube.com/watch?v=5FrhtahQiRc</t>
  </si>
  <si>
    <t>Biflovatia</t>
  </si>
  <si>
    <t>nofuxCZ</t>
  </si>
  <si>
    <t>Two Lanes</t>
  </si>
  <si>
    <t>Calling</t>
  </si>
  <si>
    <t>https://www.youtube.com/watch?v=1z_tO1kfc8E</t>
  </si>
  <si>
    <t>Calypso</t>
  </si>
  <si>
    <t>renzo</t>
  </si>
  <si>
    <t>FEZ</t>
  </si>
  <si>
    <t>The Hero's Obsession</t>
  </si>
  <si>
    <t>https://www.youtube.com/watch?v=AN6L7kUIsMs&amp;list=RDAN6L7kUIsMs&amp;start_radio=1</t>
  </si>
  <si>
    <t>Carpentaria</t>
  </si>
  <si>
    <t>N</t>
  </si>
  <si>
    <t>Aditya</t>
  </si>
  <si>
    <t>Dasha</t>
  </si>
  <si>
    <t>Like It Like That</t>
  </si>
  <si>
    <t>https://www.youtube.com/watch?v=4Zy_y-h74rM</t>
  </si>
  <si>
    <t>Comino</t>
  </si>
  <si>
    <t>Hazlett</t>
  </si>
  <si>
    <t>Monsters</t>
  </si>
  <si>
    <t>https://youtu.be/vlrUflZk0lI?si=dh6wZZFNH0BFJzsh</t>
  </si>
  <si>
    <t>Cydoni-Gibberia</t>
  </si>
  <si>
    <t>Sean</t>
  </si>
  <si>
    <t>LIOwithILA</t>
  </si>
  <si>
    <t>IAWO</t>
  </si>
  <si>
    <t>https://www.youtube.com/watch?v=PbuNO5NY4wA</t>
  </si>
  <si>
    <t>Dalisska</t>
  </si>
  <si>
    <t>Sabrewulf238</t>
  </si>
  <si>
    <t>Bruses</t>
  </si>
  <si>
    <t>Querida Amalia</t>
  </si>
  <si>
    <t>https://www.youtube.com/watch?v=RxwT40ZIC5Q</t>
  </si>
  <si>
    <t>Dež Republic</t>
  </si>
  <si>
    <t>Dež</t>
  </si>
  <si>
    <t>Triquell</t>
  </si>
  <si>
    <t>Jugular</t>
  </si>
  <si>
    <t>https://youtu.be/HekwACr4CHc</t>
  </si>
  <si>
    <t>Doire</t>
  </si>
  <si>
    <t>doctormalisimo</t>
  </si>
  <si>
    <t>Mount Palomar feat. Makeshift Art Bar</t>
  </si>
  <si>
    <t>Pass the Parcel</t>
  </si>
  <si>
    <t>https://www.youtube.com/watch?v=R0yBJvVf-i8</t>
  </si>
  <si>
    <t>Dwyforland</t>
  </si>
  <si>
    <t>Rxllinson</t>
  </si>
  <si>
    <t>Daughtry</t>
  </si>
  <si>
    <t>Open Up Your Eyes</t>
  </si>
  <si>
    <t>https://youtu.be/Tv7jSt0KYPk</t>
  </si>
  <si>
    <t>Emsfrynt</t>
  </si>
  <si>
    <t>Ewigkeit</t>
  </si>
  <si>
    <t xml:space="preserve">Jelil </t>
  </si>
  <si>
    <t>Ýyladaý</t>
  </si>
  <si>
    <t>https://youtu.be/IaG9tyRezEM?si=p9lRCB7ivAFevGMT</t>
  </si>
  <si>
    <t>Endórë</t>
  </si>
  <si>
    <t>HayashiM</t>
  </si>
  <si>
    <t>Phosphorescent</t>
  </si>
  <si>
    <t>Song for Zula</t>
  </si>
  <si>
    <t>https://youtu.be/ZPxQYhGpdvg?si=3AjWTcB3XZVSOKmT</t>
  </si>
  <si>
    <t>Fervorosia</t>
  </si>
  <si>
    <t>pyryniemi</t>
  </si>
  <si>
    <t>Good Charlotte</t>
  </si>
  <si>
    <t>I Don't Wanna Be In Love</t>
  </si>
  <si>
    <t>https://www.youtube.com/watch?v=YgGLl8CanQo</t>
  </si>
  <si>
    <t>Fierraria</t>
  </si>
  <si>
    <t>Fierro</t>
  </si>
  <si>
    <t>The Yagas</t>
  </si>
  <si>
    <t>The Crying Room</t>
  </si>
  <si>
    <t>https://youtu.be/UQ4mh3uNw48?si=e19W4negUn99yyl4</t>
  </si>
  <si>
    <t>Grand Duchy of Strenci</t>
  </si>
  <si>
    <t>Scania</t>
  </si>
  <si>
    <t>Au Revoir Simone</t>
  </si>
  <si>
    <t>Lark</t>
  </si>
  <si>
    <t>https://youtu.be/rJo6mQ8uMy8</t>
  </si>
  <si>
    <t>Griffin Empire</t>
  </si>
  <si>
    <t>randajad</t>
  </si>
  <si>
    <t>Corduroy County</t>
  </si>
  <si>
    <t>Sabertooth</t>
  </si>
  <si>
    <t>https://youtu.be/-abS2XR_vwM?si=htJHZsERPFLOxowj</t>
  </si>
  <si>
    <t>Halito</t>
  </si>
  <si>
    <t>berlyda</t>
  </si>
  <si>
    <t>Pinc Louds</t>
  </si>
  <si>
    <t>This Hate Hurts</t>
  </si>
  <si>
    <t>https://youtu.be/rmDycXnEXe0</t>
  </si>
  <si>
    <t>Insomnéa</t>
  </si>
  <si>
    <t>Mozz</t>
  </si>
  <si>
    <t>Night Tapes</t>
  </si>
  <si>
    <t>Loner</t>
  </si>
  <si>
    <t>https://www.youtube.com/watch?v=2iUBTQYY2Qo</t>
  </si>
  <si>
    <t>Inzinimirit</t>
  </si>
  <si>
    <t>Nicholas123</t>
  </si>
  <si>
    <t>Origa</t>
  </si>
  <si>
    <t>Electra's Song</t>
  </si>
  <si>
    <t>https://www.youtube.com/watch?v=Feqoim8RJzU</t>
  </si>
  <si>
    <t>Kamandé</t>
  </si>
  <si>
    <t>Le Bruit</t>
  </si>
  <si>
    <t xml:space="preserve">Mitsou </t>
  </si>
  <si>
    <t>La Corrida</t>
  </si>
  <si>
    <t>https://youtu.be/yD-kdTcnY-M</t>
  </si>
  <si>
    <t>Kimmystan</t>
  </si>
  <si>
    <t>Kimrt</t>
  </si>
  <si>
    <t>Twenty One Pilots</t>
  </si>
  <si>
    <t>The Contract</t>
  </si>
  <si>
    <t>https://youtu.be/QZfH7cFp3Ys</t>
  </si>
  <si>
    <t>Kordavian Islands</t>
  </si>
  <si>
    <t>EurovisionSmile</t>
  </si>
  <si>
    <t>Cynthia Erivo</t>
  </si>
  <si>
    <t>Stand Up</t>
  </si>
  <si>
    <r>
      <rPr>
        <rFont val="Roboto"/>
        <color rgb="FF1155CC"/>
        <sz val="11.0"/>
        <u/>
      </rPr>
      <t>https://www.youtube.com/watch?v=NEMsIHVejWM</t>
    </r>
  </si>
  <si>
    <t>Marcobia</t>
  </si>
  <si>
    <t>Marcos C</t>
  </si>
  <si>
    <t>Zanias</t>
  </si>
  <si>
    <t>Serpentsmile</t>
  </si>
  <si>
    <t>https://www.youtube.com/watch?v=AsQfcuL2z2g</t>
  </si>
  <si>
    <t>MatiMati</t>
  </si>
  <si>
    <t>Mattan</t>
  </si>
  <si>
    <t>Spekti</t>
  </si>
  <si>
    <t>Juna</t>
  </si>
  <si>
    <t>https://www.youtube.com/watch?v=SCEw4uH2a8I</t>
  </si>
  <si>
    <t>Meridia</t>
  </si>
  <si>
    <t>Gera11</t>
  </si>
  <si>
    <t>Joshua Bassett</t>
  </si>
  <si>
    <t>Set Me Free</t>
  </si>
  <si>
    <t>https://youtu.be/YdbWXF0nZ8g</t>
  </si>
  <si>
    <t>New Acadia</t>
  </si>
  <si>
    <t>Canuck</t>
  </si>
  <si>
    <t>Cameron Whitcomb</t>
  </si>
  <si>
    <t>Hundred Mile High</t>
  </si>
  <si>
    <t>https://youtu.be/ifK8eAjiIrs?si=wwvjU4TQoOjFpAT5</t>
  </si>
  <si>
    <t>New Bander State</t>
  </si>
  <si>
    <t>ferret</t>
  </si>
  <si>
    <t>Transportna</t>
  </si>
  <si>
    <t>Niby u kino</t>
  </si>
  <si>
    <t>https://youtu.be/gybUQfH8t4k?si=VpaNr0XU_Ah9n738</t>
  </si>
  <si>
    <t>Öösingimäed</t>
  </si>
  <si>
    <t>iowacorn</t>
  </si>
  <si>
    <t>browse Tito</t>
  </si>
  <si>
    <t>tragovi</t>
  </si>
  <si>
    <t>https://www.youtube.com/watch?v=1cA7s_6D4x8</t>
  </si>
  <si>
    <t>Orsa</t>
  </si>
  <si>
    <t>Karhu</t>
  </si>
  <si>
    <t>Yasunori Nishiki</t>
  </si>
  <si>
    <t>The Uncharted Isle of Orsa</t>
  </si>
  <si>
    <t>https://www.youtube.com/watch?v=_9or61Zfcwg</t>
  </si>
  <si>
    <t>Papendink</t>
  </si>
  <si>
    <t>Paper7</t>
  </si>
  <si>
    <t xml:space="preserve">Jeangu Macrooy </t>
  </si>
  <si>
    <t>Independent Girls &amp; Nasty Evil Gays</t>
  </si>
  <si>
    <t>https://www.youtube.com/watch?v=GOQFWGiJqWI</t>
  </si>
  <si>
    <t>Rahasia-Diati</t>
  </si>
  <si>
    <t>Veronika</t>
  </si>
  <si>
    <t>BLACKBOOK</t>
  </si>
  <si>
    <t>Suffer In Silence</t>
  </si>
  <si>
    <t>https://youtu.be/tXgkMDlKGKs</t>
  </si>
  <si>
    <t>Redwood Republic</t>
  </si>
  <si>
    <t>Charly</t>
  </si>
  <si>
    <t>Ekaterina Shelehova</t>
  </si>
  <si>
    <t>Fly Away</t>
  </si>
  <si>
    <t>https://www.youtube.com/watch?v=_nUz_6p4TUc</t>
  </si>
  <si>
    <t>Rehi Kaita</t>
  </si>
  <si>
    <t>MiraShadowMan</t>
  </si>
  <si>
    <t>Neural Network</t>
  </si>
  <si>
    <t>Man-Machine</t>
  </si>
  <si>
    <t>https://youtu.be/rcLwkaoUn5Q?si=KRjyyjK9KlKG-y6T</t>
  </si>
  <si>
    <t>Reym-L-Dneurb</t>
  </si>
  <si>
    <t>anselm</t>
  </si>
  <si>
    <t xml:space="preserve">Mira Mann feat. Der Assistent </t>
  </si>
  <si>
    <t>Die 4 You</t>
  </si>
  <si>
    <t>https://www.youtube.com/watch?v=Kks6G9jjXSU</t>
  </si>
  <si>
    <t>Roseland</t>
  </si>
  <si>
    <t>FabiESC</t>
  </si>
  <si>
    <t>Tate McRae</t>
  </si>
  <si>
    <t>2 hands</t>
  </si>
  <si>
    <t>https://www.youtube.com/watch?v=cr4wnsLI_Xw&amp;list=RDcr4wnsLI_Xw&amp;start_radio=1</t>
  </si>
  <si>
    <t>Roxma Nova</t>
  </si>
  <si>
    <t>Thorn</t>
  </si>
  <si>
    <t>Kriill</t>
  </si>
  <si>
    <t>replay</t>
  </si>
  <si>
    <t>https://youtu.be/l7WPp4EjH5s</t>
  </si>
  <si>
    <t>Rumia</t>
  </si>
  <si>
    <t>dogmeat</t>
  </si>
  <si>
    <t>Red Hot Chili Peppers</t>
  </si>
  <si>
    <t>Make You Feel Better</t>
  </si>
  <si>
    <t>https://youtu.be/hRv4cdZxTdQ</t>
  </si>
  <si>
    <t>Sakuralia</t>
  </si>
  <si>
    <t>esc87fan</t>
  </si>
  <si>
    <t>HUNTR/X</t>
  </si>
  <si>
    <t>Golden</t>
  </si>
  <si>
    <t>https://www.youtube.com/watch?v=yebNIHKAC4A</t>
  </si>
  <si>
    <t>Södermalm</t>
  </si>
  <si>
    <t>Ekholmia</t>
  </si>
  <si>
    <t>Harriet Nauer</t>
  </si>
  <si>
    <t>Hollow</t>
  </si>
  <si>
    <t>https://youtu.be/tp8kOwP6Wfg?si=l0ekCW2Zcc-frf5x</t>
  </si>
  <si>
    <t>Svobodnia</t>
  </si>
  <si>
    <t>Rmetr0</t>
  </si>
  <si>
    <t>After</t>
  </si>
  <si>
    <t>Outbound</t>
  </si>
  <si>
    <t>https://youtu.be/pSlP5AQdXeo?si=qSC8Sb-IzP5zCN-x</t>
  </si>
  <si>
    <t>Szimbaya Kingdom</t>
  </si>
  <si>
    <t>marc</t>
  </si>
  <si>
    <t>Tight Fit</t>
  </si>
  <si>
    <t>The Lion Sleeps Tonight</t>
  </si>
  <si>
    <t>Tamausia &amp; Deltannor</t>
  </si>
  <si>
    <t>theCONWEL</t>
  </si>
  <si>
    <t>RAYE</t>
  </si>
  <si>
    <t>WHERE IS MY HUSBAND!</t>
  </si>
  <si>
    <t>https://youtu.be/rK5TyISxZ_M</t>
  </si>
  <si>
    <t>Tanoiro</t>
  </si>
  <si>
    <t>Ana Raquel</t>
  </si>
  <si>
    <t>m.o.v.e</t>
  </si>
  <si>
    <t>FLY ME SO HIGH</t>
  </si>
  <si>
    <t>https://youtu.be/13XKfnzPgz4?si=OlfHDOUWtxWDs4jn</t>
  </si>
  <si>
    <t>Tcher-Racoi</t>
  </si>
  <si>
    <t>TomCherson</t>
  </si>
  <si>
    <t>DERE3A</t>
  </si>
  <si>
    <t>ЗÅВТРÅ</t>
  </si>
  <si>
    <r>
      <rPr>
        <rFont val="Roboto"/>
        <color rgb="FF1155CC"/>
        <sz val="11.0"/>
        <u/>
      </rPr>
      <t>https://www.youtube.com/watch?v=9aZrxmiLLTs</t>
    </r>
  </si>
  <si>
    <t>Tír an Abhainn</t>
  </si>
  <si>
    <t>My Star</t>
  </si>
  <si>
    <t>The Bottom Line</t>
  </si>
  <si>
    <t>Reasons</t>
  </si>
  <si>
    <t>https://youtu.be/ASj6ggfNry8?si=xzLmJ9CQAIc9cr3i</t>
  </si>
  <si>
    <t>Trollheimr</t>
  </si>
  <si>
    <t>Stargazer</t>
  </si>
  <si>
    <t>Jack O’Connell, Brian Dunphy &amp; Darren Holden</t>
  </si>
  <si>
    <t>Rocky Road to Dublin</t>
  </si>
  <si>
    <t>https://www.youtube.com/watch?v=Iapw_hbyBjE</t>
  </si>
  <si>
    <t>Ugaly</t>
  </si>
  <si>
    <t>Fearnavigatr</t>
  </si>
  <si>
    <t>TOOPOOR</t>
  </si>
  <si>
    <t>LIKE YOU HATE ME</t>
  </si>
  <si>
    <t>https://youtu.be/gUe60RX7EFU</t>
  </si>
  <si>
    <t>United Kingdom of Destrion</t>
  </si>
  <si>
    <t>Destroyer</t>
  </si>
  <si>
    <t>Ruel</t>
  </si>
  <si>
    <t>I Can Die Now</t>
  </si>
  <si>
    <t>https://youtu.be/4Ru-MyB7fgY</t>
  </si>
  <si>
    <t>Vermilion</t>
  </si>
  <si>
    <t>marduk</t>
  </si>
  <si>
    <t>Armin van Buuren x Vini Vici x Anna Timofei</t>
  </si>
  <si>
    <t>Sarabande</t>
  </si>
  <si>
    <t>https://youtu.be/UsaBz-hr4ec?si=rm2B9z7leddV0rVc</t>
  </si>
  <si>
    <t>Vylkuzeme</t>
  </si>
  <si>
    <t>as78</t>
  </si>
  <si>
    <t>La Rioule des Compagnons du Monde &amp; les Monts Rieurs</t>
  </si>
  <si>
    <t>Gloire aux Moutons</t>
  </si>
  <si>
    <t>https://www.youtube.com/watch?v=t3ocsvn4FHI</t>
  </si>
  <si>
    <t>Waiting Iist of Shelley &amp; Nici</t>
  </si>
  <si>
    <t>strajker</t>
  </si>
  <si>
    <t>Jerry Heil</t>
  </si>
  <si>
    <t>Додай гучності (12 points)</t>
  </si>
  <si>
    <r>
      <rPr>
        <rFont val="Roboto"/>
        <color rgb="FF1155CC"/>
        <sz val="11.0"/>
        <u/>
      </rPr>
      <t>https://youtu.be/h28H0Ho9Sk8</t>
    </r>
  </si>
  <si>
    <t>Xochimilia</t>
  </si>
  <si>
    <t>Buranovskiy</t>
  </si>
  <si>
    <t>RAJA, Jamala</t>
  </si>
  <si>
    <t>ZORYA</t>
  </si>
  <si>
    <t>https://youtu.be/OiGOuGXw9f4</t>
  </si>
  <si>
    <t>Yaponesia</t>
  </si>
  <si>
    <t>takeru</t>
  </si>
  <si>
    <t>GYAVUK</t>
  </si>
  <si>
    <t>Gyavuk</t>
  </si>
  <si>
    <t>https://www.youtube.com/watch?v=R38BiKbZB4o</t>
  </si>
  <si>
    <t>Zombira</t>
  </si>
  <si>
    <t>SpZ</t>
  </si>
  <si>
    <t>Kermo Murel</t>
  </si>
  <si>
    <t>Ebapopulaarne</t>
  </si>
  <si>
    <t>https://www.youtube.com/watch?v=1U0yUuZqQG8</t>
  </si>
  <si>
    <t>Running Order</t>
  </si>
  <si>
    <r>
      <rPr>
        <rFont val="Roboto"/>
        <color rgb="FF1155CC"/>
        <sz val="11.0"/>
        <u/>
      </rPr>
      <t>https://www.youtube.com/watch?v=c-_N3cnxle8</t>
    </r>
  </si>
  <si>
    <r>
      <rPr>
        <rFont val="Roboto"/>
        <color rgb="FF1155CC"/>
        <sz val="11.0"/>
        <u/>
      </rPr>
      <t>https://www.youtube.com/watch?v=1z_tO1kfc8E</t>
    </r>
  </si>
  <si>
    <r>
      <rPr>
        <rFont val="Roboto"/>
        <color rgb="FF1155CC"/>
        <sz val="11.0"/>
        <u/>
      </rPr>
      <t>https://youtu.be/rcLwkaoUn5Q?si=KRjyyjK9KlKG-y6T</t>
    </r>
  </si>
  <si>
    <r>
      <rPr>
        <rFont val="Roboto"/>
        <color rgb="FF1155CC"/>
        <sz val="11.0"/>
        <u/>
      </rPr>
      <t>https://www.youtube.com/watch?v=SCEw4uH2a8I</t>
    </r>
  </si>
  <si>
    <r>
      <rPr>
        <rFont val="Roboto"/>
        <color rgb="FF1155CC"/>
        <sz val="11.0"/>
        <u/>
      </rPr>
      <t>https://www.youtube.com/watch?v=RxwT40ZIC5Q</t>
    </r>
  </si>
  <si>
    <r>
      <rPr>
        <rFont val="Roboto"/>
        <color rgb="FF1155CC"/>
        <sz val="11.0"/>
        <u/>
      </rPr>
      <t>https://youtu.be/-abS2XR_vwM?si=htJHZsERPFLOxowj</t>
    </r>
  </si>
  <si>
    <r>
      <rPr>
        <rFont val="Roboto"/>
        <color rgb="FF1155CC"/>
        <sz val="11.0"/>
        <u/>
      </rPr>
      <t>https://www.youtube.com/watch?v=9aZrxmiLLTs</t>
    </r>
  </si>
  <si>
    <r>
      <rPr>
        <rFont val="Roboto"/>
        <color rgb="FF1155CC"/>
        <sz val="11.0"/>
        <u/>
      </rPr>
      <t>https://youtu.be/l7WPp4EjH5s</t>
    </r>
  </si>
  <si>
    <r>
      <rPr>
        <rFont val="Roboto"/>
        <color rgb="FF1155CC"/>
        <sz val="11.0"/>
        <u/>
      </rPr>
      <t>https://youtu.be/M8GL_vmE5X0</t>
    </r>
  </si>
  <si>
    <r>
      <rPr>
        <rFont val="Roboto"/>
        <color rgb="FF1155CC"/>
        <sz val="11.0"/>
        <u/>
      </rPr>
      <t>https://www.youtube.com/watch?v=yebNIHKAC4A</t>
    </r>
  </si>
  <si>
    <r>
      <rPr>
        <rFont val="Roboto"/>
        <color rgb="FF1155CC"/>
        <sz val="11.0"/>
        <u/>
      </rPr>
      <t>https://youtu.be/UQ4mh3uNw48?si=e19W4negUn99yyl4</t>
    </r>
  </si>
  <si>
    <r>
      <rPr>
        <rFont val="Roboto"/>
        <color rgb="FF1155CC"/>
        <sz val="11.0"/>
        <u/>
      </rPr>
      <t>https://www.youtube.com/watch?v=R0yBJvVf-i8</t>
    </r>
  </si>
  <si>
    <r>
      <rPr>
        <rFont val="Roboto"/>
        <color rgb="FF1155CC"/>
        <sz val="11.0"/>
        <u/>
      </rPr>
      <t>https://youtu.be/ZPxQYhGpdvg?si=3AjWTcB3XZVSOKmT</t>
    </r>
  </si>
  <si>
    <r>
      <rPr>
        <rFont val="Roboto"/>
        <color rgb="FF1155CC"/>
        <sz val="11.0"/>
        <u/>
      </rPr>
      <t>https://www.youtube.com/watch?v=cr4wnsLI_Xw&amp;list=RDcr4wnsLI_Xw&amp;start_radio=1</t>
    </r>
  </si>
  <si>
    <r>
      <rPr>
        <rFont val="Roboto"/>
        <color rgb="FF1155CC"/>
        <sz val="11.0"/>
        <u/>
      </rPr>
      <t>https://www.youtube.com/watch?v=t3ocsvn4FHI</t>
    </r>
  </si>
  <si>
    <r>
      <rPr>
        <rFont val="Roboto"/>
        <color rgb="FF1155CC"/>
        <sz val="11.0"/>
        <u/>
      </rPr>
      <t>https://www.youtube.com/watch?v=_nUz_6p4TUc</t>
    </r>
  </si>
  <si>
    <r>
      <rPr>
        <rFont val="Roboto"/>
        <color rgb="FF1155CC"/>
        <sz val="11.0"/>
        <u/>
      </rPr>
      <t>https://youtu.be/gUe60RX7EFU</t>
    </r>
  </si>
  <si>
    <r>
      <rPr>
        <rFont val="Roboto"/>
        <color rgb="FF1155CC"/>
        <sz val="11.0"/>
        <u/>
      </rPr>
      <t>https://youtu.be/OiGOuGXw9f4</t>
    </r>
  </si>
  <si>
    <r>
      <rPr>
        <rFont val="Roboto"/>
        <color rgb="FF1155CC"/>
        <sz val="11.0"/>
        <u/>
      </rPr>
      <t>https://www.youtube.com/watch?v=1U0yUuZqQG8</t>
    </r>
  </si>
  <si>
    <r>
      <rPr>
        <rFont val="Roboto"/>
        <color rgb="FF1155CC"/>
        <sz val="11.0"/>
        <u/>
      </rPr>
      <t>https://www.youtube.com/watch?v=R38BiKbZB4o</t>
    </r>
  </si>
  <si>
    <r>
      <rPr>
        <rFont val="Roboto"/>
        <color rgb="FF1155CC"/>
        <sz val="11.0"/>
        <u/>
      </rPr>
      <t>https://www.youtube.com/watch?v=Feqoim8RJzU</t>
    </r>
  </si>
  <si>
    <r>
      <rPr>
        <rFont val="Roboto"/>
        <color rgb="FF1155CC"/>
        <sz val="11.0"/>
        <u/>
      </rPr>
      <t>https://www.youtube.com/watch?v=1cA7s_6D4x8</t>
    </r>
  </si>
  <si>
    <r>
      <rPr>
        <rFont val="Roboto"/>
        <color rgb="FF1155CC"/>
        <sz val="11.0"/>
        <u/>
      </rPr>
      <t>https://www.youtube.com/watch?v=_9or61Zfcwg</t>
    </r>
  </si>
  <si>
    <t>https://vimeo.com/1117483288</t>
  </si>
  <si>
    <r>
      <rPr>
        <rFont val="Roboto"/>
        <color rgb="FF1155CC"/>
        <sz val="11.0"/>
        <u/>
      </rPr>
      <t>https://youtu.be/hRv4cdZxTdQ</t>
    </r>
  </si>
  <si>
    <t>Jeangu Macrooy</t>
  </si>
  <si>
    <r>
      <rPr>
        <rFont val="Roboto"/>
        <color rgb="FF1155CC"/>
        <sz val="11.0"/>
        <u/>
      </rPr>
      <t>https://www.youtube.com/watch?v=GOQFWGiJqWI</t>
    </r>
  </si>
  <si>
    <r>
      <rPr>
        <rFont val="Roboto"/>
        <color rgb="FF1155CC"/>
        <sz val="11.0"/>
        <u/>
      </rPr>
      <t>https://youtu.be/Tv7jSt0KYPk</t>
    </r>
  </si>
  <si>
    <t>PQ</t>
  </si>
  <si>
    <r>
      <rPr>
        <rFont val="Roboto"/>
        <color rgb="FF1155CC"/>
        <sz val="11.0"/>
        <u/>
      </rPr>
      <t>https://youtu.be/rmDycXnEXe0</t>
    </r>
  </si>
  <si>
    <r>
      <rPr>
        <rFont val="Roboto"/>
        <color rgb="FF1155CC"/>
        <sz val="11.0"/>
        <u/>
      </rPr>
      <t>https://www.youtube.com/watch?v=PbuNO5NY4wA</t>
    </r>
  </si>
  <si>
    <r>
      <rPr>
        <rFont val="Roboto"/>
        <color rgb="FF1155CC"/>
        <sz val="11.0"/>
        <u/>
      </rPr>
      <t>https://youtu.be/UsaBz-hr4ec?si=rm2B9z7leddV0rVc</t>
    </r>
  </si>
  <si>
    <r>
      <rPr>
        <rFont val="Roboto"/>
        <color rgb="FF1155CC"/>
        <sz val="11.0"/>
        <u/>
      </rPr>
      <t>https://www.youtube.com/watch?v=AN6L7kUIsMs&amp;list=RDAN6L7kUIsMs&amp;start_radio=1</t>
    </r>
  </si>
  <si>
    <r>
      <rPr>
        <rFont val="Roboto"/>
        <color rgb="FF1155CC"/>
        <sz val="11.0"/>
        <u/>
      </rPr>
      <t>https://www.youtube.com/watch?v=Iapw_hbyBjE</t>
    </r>
  </si>
  <si>
    <r>
      <rPr>
        <rFont val="Roboto"/>
        <color rgb="FF1155CC"/>
        <sz val="11.0"/>
        <u/>
      </rPr>
      <t>https://www.youtube.com/watch?v=2iUBTQYY2Qo</t>
    </r>
  </si>
  <si>
    <r>
      <rPr>
        <rFont val="Roboto"/>
        <color rgb="FF1155CC"/>
        <sz val="11.0"/>
        <u/>
      </rPr>
      <t>https://youtu.be/tXgkMDlKGKs</t>
    </r>
  </si>
  <si>
    <t>Aimūlli</t>
  </si>
  <si>
    <r>
      <rPr>
        <rFont val="Roboto"/>
        <color rgb="FF1155CC"/>
        <sz val="11.0"/>
        <u/>
      </rPr>
      <t>https://www.youtube.com/watch?v=a9cyG_yfh1k</t>
    </r>
  </si>
  <si>
    <r>
      <rPr>
        <rFont val="Roboto"/>
        <color rgb="FF1155CC"/>
        <sz val="11.0"/>
        <u/>
      </rPr>
      <t>https://youtu.be/vlrUflZk0lI?si=dh6wZZFNH0BFJzsh</t>
    </r>
  </si>
  <si>
    <r>
      <rPr>
        <rFont val="Roboto"/>
        <color rgb="FF1155CC"/>
        <sz val="11.0"/>
        <u/>
      </rPr>
      <t>https://youtu.be/ASj6ggfNry8?si=xzLmJ9CQAIc9cr3i</t>
    </r>
  </si>
  <si>
    <r>
      <rPr>
        <rFont val="Roboto"/>
        <color rgb="FF1155CC"/>
        <sz val="11.0"/>
        <u/>
      </rPr>
      <t>https://youtu.be/rJo6mQ8uMy8</t>
    </r>
  </si>
  <si>
    <t>Mira Mann feat. Der Assistent</t>
  </si>
  <si>
    <r>
      <rPr>
        <rFont val="Roboto"/>
        <color rgb="FF1155CC"/>
        <sz val="11.0"/>
        <u/>
      </rPr>
      <t>https://www.youtube.com/watch?v=Kks6G9jjXSU</t>
    </r>
  </si>
  <si>
    <r>
      <rPr>
        <rFont val="Roboto"/>
        <color rgb="FF1155CC"/>
        <sz val="11.0"/>
        <u/>
      </rPr>
      <t>https://www.youtube.com/watch?v=AsQfcuL2z2g</t>
    </r>
  </si>
  <si>
    <r>
      <rPr>
        <rFont val="Roboto"/>
        <color rgb="FF1155CC"/>
        <sz val="11.0"/>
        <u/>
      </rPr>
      <t>https://youtu.be/h28H0Ho9Sk8</t>
    </r>
  </si>
  <si>
    <r>
      <rPr>
        <rFont val="Roboto"/>
        <color rgb="FF1155CC"/>
        <sz val="11.0"/>
        <u/>
      </rPr>
      <t>https://www.youtube.com/watch?v=5FrhtahQiRc</t>
    </r>
  </si>
  <si>
    <r>
      <rPr>
        <rFont val="Roboto"/>
        <color rgb="FF1155CC"/>
        <sz val="11.0"/>
        <u/>
      </rPr>
      <t>https://www.youtube.com/watch?v=n1VEgIJxPhc</t>
    </r>
  </si>
  <si>
    <r>
      <rPr>
        <rFont val="Roboto"/>
        <color rgb="FF1155CC"/>
        <sz val="11.0"/>
        <u/>
      </rPr>
      <t>https://youtu.be/HekwACr4CHc</t>
    </r>
  </si>
  <si>
    <r>
      <rPr>
        <rFont val="Roboto"/>
        <color rgb="FF1155CC"/>
        <sz val="11.0"/>
        <u/>
      </rPr>
      <t>https://youtu.be/ifK8eAjiIrs?si=wwvjU4TQoOjFpAT5</t>
    </r>
  </si>
  <si>
    <r>
      <rPr>
        <rFont val="Roboto"/>
        <color rgb="FF1155CC"/>
        <sz val="11.0"/>
        <u/>
      </rPr>
      <t>https://youtu.be/pSlP5AQdXeo?si=qSC8Sb-IzP5zCN-x</t>
    </r>
  </si>
  <si>
    <r>
      <rPr>
        <rFont val="Roboto"/>
        <color rgb="FF1155CC"/>
        <sz val="11.0"/>
        <u/>
      </rPr>
      <t>https://www.youtube.com/watch?v=4Zy_y-h74rM</t>
    </r>
  </si>
  <si>
    <r>
      <rPr>
        <rFont val="Roboto"/>
        <color rgb="FF1155CC"/>
        <sz val="11.0"/>
        <u/>
      </rPr>
      <t>https://www.youtube.com/watch?v=R9JqgsKta2Y</t>
    </r>
  </si>
  <si>
    <r>
      <rPr>
        <rFont val="Roboto"/>
        <color rgb="FF1155CC"/>
        <sz val="11.0"/>
        <u/>
      </rPr>
      <t>https://youtu.be/13XKfnzPgz4?si=OlfHDOUWtxWDs4jn</t>
    </r>
  </si>
  <si>
    <r>
      <rPr>
        <rFont val="Roboto"/>
        <color rgb="FF1155CC"/>
        <sz val="11.0"/>
        <u/>
      </rPr>
      <t>https://youtu.be/4Ru-MyB7fgY</t>
    </r>
  </si>
  <si>
    <r>
      <rPr>
        <rFont val="Roboto"/>
        <color rgb="FF1155CC"/>
        <sz val="11.0"/>
        <u/>
      </rPr>
      <t>https://youtu.be/tp8kOwP6Wfg?si=l0ekCW2Zcc-frf5x</t>
    </r>
  </si>
  <si>
    <r>
      <rPr>
        <rFont val="Roboto"/>
        <color rgb="FF1155CC"/>
        <sz val="11.0"/>
        <u/>
      </rPr>
      <t>https://youtu.be/QZfH7cFp3Ys</t>
    </r>
  </si>
  <si>
    <r>
      <rPr>
        <rFont val="Roboto"/>
        <color rgb="FF1155CC"/>
        <sz val="11.0"/>
        <u/>
      </rPr>
      <t>https://www.youtube.com/watch?v=YgGLl8CanQo</t>
    </r>
  </si>
  <si>
    <r>
      <rPr>
        <rFont val="Roboto"/>
        <color rgb="FF1155CC"/>
        <sz val="11.0"/>
        <u/>
      </rPr>
      <t>https://www.youtube.com/watch?v=NEMsIHVejWM</t>
    </r>
  </si>
  <si>
    <t xml:space="preserve">  Place</t>
  </si>
  <si>
    <t xml:space="preserve">  Country</t>
  </si>
  <si>
    <t xml:space="preserve">  Pot</t>
  </si>
  <si>
    <t xml:space="preserve">  Balearica Island</t>
  </si>
  <si>
    <t xml:space="preserve">  Biflovatia</t>
  </si>
  <si>
    <t xml:space="preserve">  Rehi Kaita</t>
  </si>
  <si>
    <t xml:space="preserve">  MatiMati</t>
  </si>
  <si>
    <t xml:space="preserve">  Dalisska</t>
  </si>
  <si>
    <t xml:space="preserve">  Griffin Empire</t>
  </si>
  <si>
    <t xml:space="preserve">  Tcher-Racoi</t>
  </si>
  <si>
    <t xml:space="preserve">  Roxma Nova</t>
  </si>
  <si>
    <t xml:space="preserve">  Afnia</t>
  </si>
  <si>
    <t xml:space="preserve">  Sakuralia</t>
  </si>
  <si>
    <t xml:space="preserve">  Fierraria</t>
  </si>
  <si>
    <t xml:space="preserve">  Doire</t>
  </si>
  <si>
    <t xml:space="preserve">  Endórë</t>
  </si>
  <si>
    <t xml:space="preserve">  Roseland</t>
  </si>
  <si>
    <t xml:space="preserve">  Vylkuzeme</t>
  </si>
  <si>
    <t xml:space="preserve">  Redwood Republic</t>
  </si>
  <si>
    <t xml:space="preserve">  Ugaly</t>
  </si>
  <si>
    <t xml:space="preserve">  Xochimilia</t>
  </si>
  <si>
    <t xml:space="preserve">  Zombira</t>
  </si>
  <si>
    <t xml:space="preserve">  Yaponesia</t>
  </si>
  <si>
    <t xml:space="preserve">  Inzinimirit</t>
  </si>
  <si>
    <t xml:space="preserve">  Öösingimäed</t>
  </si>
  <si>
    <t xml:space="preserve">  Orsa</t>
  </si>
  <si>
    <t xml:space="preserve">  New Bander State</t>
  </si>
  <si>
    <t xml:space="preserve">  Szimbaya Kingdom</t>
  </si>
  <si>
    <t xml:space="preserve">  Papendink</t>
  </si>
  <si>
    <t xml:space="preserve">  Dwyforland</t>
  </si>
  <si>
    <t xml:space="preserve">  Tamausia &amp; Deltannor</t>
  </si>
  <si>
    <t xml:space="preserve">  Rumia</t>
  </si>
  <si>
    <t xml:space="preserve">  Kamandé</t>
  </si>
  <si>
    <t xml:space="preserve">  No. of voters</t>
  </si>
  <si>
    <t xml:space="preserve">  Total</t>
  </si>
  <si>
    <t xml:space="preserve">  Dež Republic</t>
  </si>
  <si>
    <t xml:space="preserve">  Reym-L-Dneurb</t>
  </si>
  <si>
    <t xml:space="preserve">  Kimmystan</t>
  </si>
  <si>
    <t xml:space="preserve">  Meridia</t>
  </si>
  <si>
    <t xml:space="preserve">  Marcobia</t>
  </si>
  <si>
    <t xml:space="preserve">  Tanoiro</t>
  </si>
  <si>
    <t xml:space="preserve"> Cydoni-Gibberia</t>
  </si>
  <si>
    <t xml:space="preserve"> Waiting Iist</t>
  </si>
  <si>
    <t xml:space="preserve">  Kordavian Islands</t>
  </si>
  <si>
    <t xml:space="preserve">  Belvist</t>
  </si>
  <si>
    <t xml:space="preserve">  Trollheimr</t>
  </si>
  <si>
    <t xml:space="preserve">  Calypso</t>
  </si>
  <si>
    <t xml:space="preserve">  Svobodnia</t>
  </si>
  <si>
    <t xml:space="preserve">  Rahasia-Diati</t>
  </si>
  <si>
    <t xml:space="preserve">  BONUS STARS</t>
  </si>
  <si>
    <t xml:space="preserve"> No. of voters</t>
  </si>
  <si>
    <t xml:space="preserve">  Nation</t>
  </si>
  <si>
    <t xml:space="preserve">  Halito</t>
  </si>
  <si>
    <t xml:space="preserve">  Cydoni-Gibberia</t>
  </si>
  <si>
    <t xml:space="preserve">  Vermilion</t>
  </si>
  <si>
    <t xml:space="preserve">  Insomnéa</t>
  </si>
  <si>
    <t xml:space="preserve">  Aimūlli</t>
  </si>
  <si>
    <t xml:space="preserve">  Comino</t>
  </si>
  <si>
    <t xml:space="preserve">  Tír an Abhainn</t>
  </si>
  <si>
    <t xml:space="preserve">  Strenci</t>
  </si>
  <si>
    <t xml:space="preserve">  Waiting Iist </t>
  </si>
  <si>
    <t xml:space="preserve">  Begonia</t>
  </si>
  <si>
    <t xml:space="preserve">  New Acadia</t>
  </si>
  <si>
    <t xml:space="preserve">  Carpentaria</t>
  </si>
  <si>
    <t xml:space="preserve">  Adamsburg</t>
  </si>
  <si>
    <t xml:space="preserve">  UK of Destrion</t>
  </si>
  <si>
    <t xml:space="preserve">  Södermalm</t>
  </si>
  <si>
    <t xml:space="preserve">  Fervorosia</t>
  </si>
  <si>
    <t xml:space="preserve">  Emsfrynt</t>
  </si>
  <si>
    <t xml:space="preserve"> Ugaly</t>
  </si>
  <si>
    <t xml:space="preserve"> Vylkuzeme</t>
  </si>
  <si>
    <t xml:space="preserve">   Doire</t>
  </si>
  <si>
    <t>WL Votes (Perryfornia)</t>
  </si>
  <si>
    <t>TOTAL</t>
  </si>
  <si>
    <t>Voters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</si>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</sst>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1.0"/>
      <color rgb="FFA765A4"/>
      <name val="Roboto"/>
    </font>
    <font>
      <b/>
      <sz val="11.0"/>
      <color rgb="FF2969B0"/>
      <name val="Roboto"/>
    </font>
    <font>
      <b/>
      <sz val="11.0"/>
      <color rgb="FF41A85F"/>
      <name val="Roboto"/>
    </font>
    <font>
      <sz val="11.0"/>
      <color rgb="FF404040"/>
      <name val="Roboto"/>
    </font>
    <font>
      <b/>
      <sz val="11.0"/>
      <color rgb="FFA38F84"/>
      <name val="Roboto"/>
    </font>
    <font>
      <b/>
      <sz val="11.0"/>
      <color rgb="FF54C0BE"/>
      <name val="Roboto"/>
    </font>
    <font>
      <b/>
      <sz val="11.0"/>
      <color rgb="FFFBA026"/>
      <name val="Roboto"/>
    </font>
    <font>
      <b/>
      <sz val="11.0"/>
      <color theme="1"/>
      <name val="Roboto"/>
    </font>
    <font>
      <sz val="11.0"/>
      <color theme="1"/>
      <name val="Roboto"/>
    </font>
    <font>
      <b/>
      <sz val="11.0"/>
      <color rgb="FF000000"/>
      <name val="Roboto"/>
    </font>
    <font>
      <u/>
      <sz val="11.0"/>
      <color rgb="FF000000"/>
      <name val="Roboto"/>
    </font>
    <font>
      <u/>
      <sz val="11.0"/>
      <color rgb="FF000000"/>
      <name val="Roboto"/>
    </font>
    <font>
      <u/>
      <sz val="11.0"/>
      <color rgb="FF0000FF"/>
      <name val="Roboto"/>
    </font>
    <font>
      <u/>
      <sz val="11.0"/>
      <color rgb="FF0000FF"/>
      <name val="Roboto"/>
    </font>
    <font>
      <sz val="11.0"/>
      <color rgb="FF000000"/>
      <name val="Roboto"/>
    </font>
    <font>
      <color theme="1"/>
      <name val="Roboto"/>
    </font>
    <font>
      <u/>
      <sz val="11.0"/>
      <color rgb="FF0000FF"/>
      <name val="Roboto"/>
    </font>
    <font>
      <color theme="1"/>
      <name val="Arial"/>
    </font>
    <font>
      <b/>
      <color theme="1"/>
      <name val="Arial"/>
    </font>
    <font>
      <b/>
      <sz val="11.0"/>
      <color rgb="FF9900FF"/>
      <name val="Roboto"/>
    </font>
    <font>
      <b/>
      <color rgb="FF9900FF"/>
      <name val="Arial"/>
    </font>
    <font>
      <color rgb="FF9900FF"/>
      <name val="Arial"/>
    </font>
    <font>
      <b/>
      <sz val="11.0"/>
      <color rgb="FFFFFFFF"/>
      <name val="Roboto"/>
    </font>
    <font>
      <sz val="11.0"/>
      <color rgb="FFFFFFFF"/>
      <name val="Roboto"/>
    </font>
    <font>
      <b/>
      <sz val="11.0"/>
      <color theme="1"/>
      <name val="Arial"/>
    </font>
    <font>
      <b/>
      <sz val="11.0"/>
      <color rgb="FFFF0000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1EBC9"/>
        <bgColor rgb="FFB1EBC9"/>
      </patternFill>
    </fill>
    <fill>
      <patternFill patternType="solid">
        <fgColor theme="0"/>
        <bgColor theme="0"/>
      </patternFill>
    </fill>
    <fill>
      <patternFill patternType="solid">
        <fgColor rgb="FF1B0CA3"/>
        <bgColor rgb="FF1B0CA3"/>
      </patternFill>
    </fill>
    <fill>
      <patternFill patternType="solid">
        <fgColor rgb="FFA765A4"/>
        <bgColor rgb="FFA765A4"/>
      </patternFill>
    </fill>
    <fill>
      <patternFill patternType="solid">
        <fgColor rgb="FFF4CCCC"/>
        <bgColor rgb="FFF4CCCC"/>
      </patternFill>
    </fill>
  </fills>
  <borders count="2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B34B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2" fontId="3" numFmtId="0" xfId="0" applyFont="1"/>
    <xf borderId="0" fillId="2" fontId="4" numFmtId="0" xfId="0" applyFont="1"/>
    <xf borderId="0" fillId="2" fontId="5" numFmtId="0" xfId="0" applyFont="1"/>
    <xf borderId="0" fillId="2" fontId="6" numFmtId="0" xfId="0" applyFont="1"/>
    <xf borderId="0" fillId="2" fontId="7" numFmtId="0" xfId="0" applyFont="1"/>
    <xf borderId="1" fillId="0" fontId="8" numFmtId="0" xfId="0" applyAlignment="1" applyBorder="1" applyFont="1">
      <alignment horizontal="right" textRotation="180" vertical="bottom"/>
    </xf>
    <xf borderId="1" fillId="0" fontId="9" numFmtId="0" xfId="0" applyAlignment="1" applyBorder="1" applyFont="1">
      <alignment horizontal="right" textRotation="180" vertical="bottom"/>
    </xf>
    <xf borderId="1" fillId="0" fontId="10" numFmtId="0" xfId="0" applyAlignment="1" applyBorder="1" applyFont="1">
      <alignment horizontal="right" textRotation="180" vertical="bottom"/>
    </xf>
    <xf borderId="0" fillId="0" fontId="9" numFmtId="0" xfId="0" applyFont="1"/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Font="1"/>
    <xf borderId="0" fillId="0" fontId="12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3" numFmtId="0" xfId="0" applyFont="1"/>
    <xf borderId="0" fillId="0" fontId="14" numFmtId="0" xfId="0" applyAlignment="1" applyFont="1">
      <alignment vertical="bottom"/>
    </xf>
    <xf borderId="0" fillId="0" fontId="8" numFmtId="0" xfId="0" applyFont="1"/>
    <xf borderId="0" fillId="0" fontId="15" numFmtId="0" xfId="0" applyFont="1"/>
    <xf borderId="2" fillId="3" fontId="10" numFmtId="0" xfId="0" applyAlignment="1" applyBorder="1" applyFill="1" applyFont="1">
      <alignment horizontal="center" shrinkToFit="0" textRotation="90" vertical="top" wrapText="0"/>
    </xf>
    <xf borderId="0" fillId="0" fontId="16" numFmtId="0" xfId="0" applyFon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2" fillId="3" fontId="15" numFmtId="0" xfId="0" applyAlignment="1" applyBorder="1" applyFont="1">
      <alignment horizontal="center" shrinkToFit="0" textRotation="90" vertical="top" wrapText="0"/>
    </xf>
    <xf borderId="0" fillId="0" fontId="15" numFmtId="0" xfId="0" applyAlignment="1" applyFont="1">
      <alignment horizontal="right" vertical="bottom"/>
    </xf>
    <xf borderId="0" fillId="0" fontId="9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1" fillId="4" fontId="10" numFmtId="0" xfId="0" applyAlignment="1" applyBorder="1" applyFill="1" applyFont="1">
      <alignment horizontal="center" shrinkToFit="0" textRotation="90" vertical="bottom" wrapText="0"/>
    </xf>
    <xf borderId="1" fillId="0" fontId="10" numFmtId="0" xfId="0" applyAlignment="1" applyBorder="1" applyFont="1">
      <alignment horizontal="center" shrinkToFit="0" textRotation="90" vertical="bottom" wrapText="0"/>
    </xf>
    <xf borderId="1" fillId="0" fontId="10" numFmtId="0" xfId="0" applyAlignment="1" applyBorder="1" applyFont="1">
      <alignment horizontal="right" shrinkToFit="0" textRotation="90" vertical="bottom" wrapText="0"/>
    </xf>
    <xf borderId="3" fillId="0" fontId="10" numFmtId="0" xfId="0" applyAlignment="1" applyBorder="1" applyFont="1">
      <alignment shrinkToFit="0" textRotation="90" vertical="bottom" wrapText="0"/>
    </xf>
    <xf borderId="0" fillId="5" fontId="15" numFmtId="0" xfId="0" applyAlignment="1" applyFill="1" applyFont="1">
      <alignment horizontal="center" shrinkToFit="0" vertical="bottom" wrapText="0"/>
    </xf>
    <xf borderId="0" fillId="5" fontId="10" numFmtId="0" xfId="0" applyAlignment="1" applyFont="1">
      <alignment shrinkToFit="0" vertical="bottom" wrapText="0"/>
    </xf>
    <xf borderId="0" fillId="5" fontId="10" numFmtId="0" xfId="0" applyAlignment="1" applyFont="1">
      <alignment horizontal="right" vertical="bottom"/>
    </xf>
    <xf borderId="0" fillId="5" fontId="18" numFmtId="0" xfId="0" applyAlignment="1" applyFont="1">
      <alignment horizontal="center"/>
    </xf>
    <xf borderId="0" fillId="5" fontId="18" numFmtId="0" xfId="0" applyFont="1"/>
    <xf borderId="4" fillId="5" fontId="18" numFmtId="0" xfId="0" applyAlignment="1" applyBorder="1" applyFont="1">
      <alignment horizontal="center"/>
    </xf>
    <xf borderId="0" fillId="5" fontId="19" numFmtId="0" xfId="0" applyAlignment="1" applyFont="1">
      <alignment horizontal="center"/>
    </xf>
    <xf borderId="0" fillId="0" fontId="15" numFmtId="0" xfId="0" applyAlignment="1" applyFont="1">
      <alignment horizontal="center" shrinkToFit="0" vertical="bottom" wrapText="0"/>
    </xf>
    <xf borderId="0" fillId="0" fontId="18" numFmtId="0" xfId="0" applyAlignment="1" applyFont="1">
      <alignment horizontal="center"/>
    </xf>
    <xf borderId="0" fillId="0" fontId="18" numFmtId="0" xfId="0" applyFont="1"/>
    <xf borderId="4" fillId="0" fontId="18" numFmtId="0" xfId="0" applyAlignment="1" applyBorder="1" applyFont="1">
      <alignment horizontal="center"/>
    </xf>
    <xf borderId="0" fillId="0" fontId="19" numFmtId="0" xfId="0" applyAlignment="1" applyFont="1">
      <alignment horizontal="center"/>
    </xf>
    <xf borderId="0" fillId="5" fontId="10" numFmtId="0" xfId="0" applyAlignment="1" applyFont="1">
      <alignment horizontal="center" shrinkToFit="0" vertical="bottom" wrapText="0"/>
    </xf>
    <xf borderId="0" fillId="5" fontId="10" numFmtId="0" xfId="0" applyAlignment="1" applyFont="1">
      <alignment shrinkToFit="0" vertical="bottom" wrapText="0"/>
    </xf>
    <xf borderId="0" fillId="5" fontId="10" numFmtId="0" xfId="0" applyAlignment="1" applyFont="1">
      <alignment horizontal="right" vertical="bottom"/>
    </xf>
    <xf borderId="0" fillId="5" fontId="18" numFmtId="0" xfId="0" applyAlignment="1" applyFont="1">
      <alignment horizontal="center"/>
    </xf>
    <xf borderId="4" fillId="5" fontId="18" numFmtId="0" xfId="0" applyAlignment="1" applyBorder="1" applyFont="1">
      <alignment horizontal="center"/>
    </xf>
    <xf borderId="0" fillId="5" fontId="19" numFmtId="0" xfId="0" applyAlignment="1" applyFont="1">
      <alignment horizontal="center"/>
    </xf>
    <xf borderId="0" fillId="0" fontId="15" numFmtId="0" xfId="0" applyAlignment="1" applyFont="1">
      <alignment horizontal="center" readingOrder="0" shrinkToFit="0" vertical="bottom" wrapText="0"/>
    </xf>
    <xf borderId="0" fillId="6" fontId="18" numFmtId="0" xfId="0" applyFill="1" applyFont="1"/>
    <xf borderId="5" fillId="6" fontId="18" numFmtId="0" xfId="0" applyBorder="1" applyFont="1"/>
    <xf borderId="5" fillId="0" fontId="18" numFmtId="0" xfId="0" applyBorder="1" applyFont="1"/>
    <xf borderId="1" fillId="4" fontId="10" numFmtId="0" xfId="0" applyAlignment="1" applyBorder="1" applyFont="1">
      <alignment horizontal="right" shrinkToFit="0" textRotation="90" vertical="bottom" wrapText="0"/>
    </xf>
    <xf borderId="1" fillId="4" fontId="20" numFmtId="0" xfId="0" applyAlignment="1" applyBorder="1" applyFont="1">
      <alignment horizontal="right" shrinkToFit="0" textRotation="9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15" numFmtId="0" xfId="0" applyAlignment="1" applyFont="1">
      <alignment shrinkToFit="0" vertical="bottom" wrapText="0"/>
    </xf>
    <xf borderId="0" fillId="0" fontId="18" numFmtId="0" xfId="0" applyFont="1"/>
    <xf borderId="0" fillId="0" fontId="21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22" numFmtId="0" xfId="0" applyAlignment="1" applyFont="1">
      <alignment horizontal="center"/>
    </xf>
    <xf borderId="6" fillId="5" fontId="15" numFmtId="0" xfId="0" applyAlignment="1" applyBorder="1" applyFont="1">
      <alignment horizontal="center" shrinkToFit="0" vertical="bottom" wrapText="0"/>
    </xf>
    <xf borderId="7" fillId="5" fontId="10" numFmtId="0" xfId="0" applyAlignment="1" applyBorder="1" applyFont="1">
      <alignment shrinkToFit="0" vertical="bottom" wrapText="0"/>
    </xf>
    <xf borderId="8" fillId="5" fontId="19" numFmtId="0" xfId="0" applyBorder="1" applyFont="1"/>
    <xf borderId="8" fillId="5" fontId="21" numFmtId="0" xfId="0" applyAlignment="1" applyBorder="1" applyFont="1">
      <alignment horizontal="center"/>
    </xf>
    <xf borderId="8" fillId="5" fontId="19" numFmtId="0" xfId="0" applyAlignment="1" applyBorder="1" applyFont="1">
      <alignment horizontal="center"/>
    </xf>
    <xf borderId="9" fillId="5" fontId="19" numFmtId="0" xfId="0" applyAlignment="1" applyBorder="1" applyFont="1">
      <alignment horizontal="center"/>
    </xf>
    <xf borderId="0" fillId="2" fontId="4" numFmtId="0" xfId="0" applyAlignment="1" applyFont="1">
      <alignment vertical="bottom"/>
    </xf>
    <xf borderId="0" fillId="7" fontId="23" numFmtId="0" xfId="0" applyAlignment="1" applyFill="1" applyFont="1">
      <alignment horizontal="center" shrinkToFit="0" textRotation="90" vertical="bottom" wrapText="0"/>
    </xf>
    <xf borderId="0" fillId="7" fontId="23" numFmtId="0" xfId="0" applyAlignment="1" applyFont="1">
      <alignment horizontal="center" shrinkToFit="0" textRotation="90" vertical="bottom" wrapText="0"/>
    </xf>
    <xf borderId="0" fillId="0" fontId="24" numFmtId="0" xfId="0" applyAlignment="1" applyFont="1">
      <alignment shrinkToFit="0" textRotation="90" vertical="bottom" wrapText="0"/>
    </xf>
    <xf borderId="0" fillId="0" fontId="24" numFmtId="0" xfId="0" applyAlignment="1" applyFont="1">
      <alignment textRotation="90" vertical="bottom"/>
    </xf>
    <xf borderId="5" fillId="0" fontId="23" numFmtId="0" xfId="0" applyAlignment="1" applyBorder="1" applyFont="1">
      <alignment shrinkToFit="0" textRotation="90" vertical="bottom" wrapText="0"/>
    </xf>
    <xf borderId="0" fillId="0" fontId="24" numFmtId="0" xfId="0" applyAlignment="1" applyFont="1">
      <alignment horizontal="right" shrinkToFit="0" textRotation="90" vertical="bottom" wrapText="0"/>
    </xf>
    <xf borderId="10" fillId="5" fontId="15" numFmtId="0" xfId="0" applyAlignment="1" applyBorder="1" applyFont="1">
      <alignment shrinkToFit="0" vertical="bottom" wrapText="0"/>
    </xf>
    <xf borderId="11" fillId="5" fontId="10" numFmtId="0" xfId="0" applyAlignment="1" applyBorder="1" applyFont="1">
      <alignment shrinkToFit="0" vertical="bottom" wrapText="0"/>
    </xf>
    <xf borderId="11" fillId="5" fontId="10" numFmtId="0" xfId="0" applyAlignment="1" applyBorder="1" applyFont="1">
      <alignment horizontal="center" vertical="bottom"/>
    </xf>
    <xf borderId="11" fillId="5" fontId="18" numFmtId="0" xfId="0" applyAlignment="1" applyBorder="1" applyFont="1">
      <alignment horizontal="center"/>
    </xf>
    <xf borderId="12" fillId="5" fontId="18" numFmtId="0" xfId="0" applyAlignment="1" applyBorder="1" applyFont="1">
      <alignment horizontal="center"/>
    </xf>
    <xf borderId="13" fillId="5" fontId="18" numFmtId="0" xfId="0" applyAlignment="1" applyBorder="1" applyFont="1">
      <alignment horizontal="center"/>
    </xf>
    <xf borderId="14" fillId="5" fontId="15" numFmtId="0" xfId="0" applyAlignment="1" applyBorder="1" applyFont="1">
      <alignment shrinkToFit="0" vertical="bottom" wrapText="0"/>
    </xf>
    <xf borderId="0" fillId="5" fontId="10" numFmtId="0" xfId="0" applyAlignment="1" applyFont="1">
      <alignment horizontal="center" vertical="bottom"/>
    </xf>
    <xf borderId="5" fillId="5" fontId="18" numFmtId="0" xfId="0" applyAlignment="1" applyBorder="1" applyFont="1">
      <alignment horizontal="center"/>
    </xf>
    <xf borderId="15" fillId="5" fontId="18" numFmtId="0" xfId="0" applyAlignment="1" applyBorder="1" applyFont="1">
      <alignment horizontal="center"/>
    </xf>
    <xf borderId="0" fillId="5" fontId="4" numFmtId="0" xfId="0" applyFont="1"/>
    <xf borderId="16" fillId="5" fontId="15" numFmtId="0" xfId="0" applyAlignment="1" applyBorder="1" applyFont="1">
      <alignment shrinkToFit="0" vertical="bottom" wrapText="0"/>
    </xf>
    <xf borderId="17" fillId="5" fontId="10" numFmtId="0" xfId="0" applyAlignment="1" applyBorder="1" applyFont="1">
      <alignment shrinkToFit="0" vertical="bottom" wrapText="0"/>
    </xf>
    <xf borderId="17" fillId="5" fontId="10" numFmtId="0" xfId="0" applyAlignment="1" applyBorder="1" applyFont="1">
      <alignment horizontal="center" vertical="bottom"/>
    </xf>
    <xf borderId="17" fillId="5" fontId="18" numFmtId="0" xfId="0" applyAlignment="1" applyBorder="1" applyFont="1">
      <alignment horizontal="center"/>
    </xf>
    <xf borderId="18" fillId="5" fontId="18" numFmtId="0" xfId="0" applyAlignment="1" applyBorder="1" applyFont="1">
      <alignment horizontal="center"/>
    </xf>
    <xf borderId="19" fillId="5" fontId="18" numFmtId="0" xfId="0" applyAlignment="1" applyBorder="1" applyFont="1">
      <alignment horizontal="center"/>
    </xf>
    <xf borderId="0" fillId="0" fontId="10" numFmtId="0" xfId="0" applyAlignment="1" applyFont="1">
      <alignment horizontal="center" vertical="bottom"/>
    </xf>
    <xf borderId="5" fillId="0" fontId="18" numFmtId="0" xfId="0" applyAlignment="1" applyBorder="1" applyFont="1">
      <alignment horizontal="center"/>
    </xf>
    <xf borderId="6" fillId="5" fontId="15" numFmtId="0" xfId="0" applyAlignment="1" applyBorder="1" applyFont="1">
      <alignment shrinkToFit="0" vertical="bottom" wrapText="0"/>
    </xf>
    <xf borderId="8" fillId="5" fontId="10" numFmtId="0" xfId="0" applyAlignment="1" applyBorder="1" applyFont="1">
      <alignment shrinkToFit="0" vertical="bottom" wrapText="0"/>
    </xf>
    <xf borderId="8" fillId="5" fontId="10" numFmtId="0" xfId="0" applyAlignment="1" applyBorder="1" applyFont="1">
      <alignment horizontal="center" vertical="bottom"/>
    </xf>
    <xf borderId="8" fillId="5" fontId="18" numFmtId="0" xfId="0" applyAlignment="1" applyBorder="1" applyFont="1">
      <alignment horizontal="center"/>
    </xf>
    <xf borderId="20" fillId="5" fontId="18" numFmtId="0" xfId="0" applyAlignment="1" applyBorder="1" applyFont="1">
      <alignment horizontal="center"/>
    </xf>
    <xf borderId="0" fillId="0" fontId="16" numFmtId="0" xfId="0" applyAlignment="1" applyFont="1">
      <alignment horizontal="center"/>
    </xf>
    <xf borderId="1" fillId="7" fontId="23" numFmtId="0" xfId="0" applyAlignment="1" applyBorder="1" applyFont="1">
      <alignment horizontal="center" shrinkToFit="0" textRotation="90" vertical="bottom" wrapText="0"/>
    </xf>
    <xf borderId="1" fillId="7" fontId="23" numFmtId="0" xfId="0" applyAlignment="1" applyBorder="1" applyFont="1">
      <alignment horizontal="center" shrinkToFit="0" textRotation="90" vertical="bottom" wrapText="0"/>
    </xf>
    <xf borderId="1" fillId="0" fontId="24" numFmtId="0" xfId="0" applyAlignment="1" applyBorder="1" applyFont="1">
      <alignment shrinkToFit="0" textRotation="90" vertical="bottom" wrapText="0"/>
    </xf>
    <xf borderId="1" fillId="7" fontId="20" numFmtId="0" xfId="0" applyAlignment="1" applyBorder="1" applyFont="1">
      <alignment horizontal="right" shrinkToFit="0" textRotation="90" vertical="bottom" wrapText="0"/>
    </xf>
    <xf borderId="1" fillId="0" fontId="23" numFmtId="0" xfId="0" applyAlignment="1" applyBorder="1" applyFont="1">
      <alignment shrinkToFit="0" textRotation="90" vertical="bottom" wrapText="0"/>
    </xf>
    <xf borderId="1" fillId="0" fontId="23" numFmtId="0" xfId="0" applyAlignment="1" applyBorder="1" applyFont="1">
      <alignment horizontal="right" shrinkToFit="0" textRotation="90" vertical="bottom" wrapText="0"/>
    </xf>
    <xf borderId="21" fillId="0" fontId="15" numFmtId="0" xfId="0" applyAlignment="1" applyBorder="1" applyFont="1">
      <alignment horizontal="center" shrinkToFit="0" vertical="bottom" wrapText="0"/>
    </xf>
    <xf borderId="22" fillId="0" fontId="10" numFmtId="0" xfId="0" applyAlignment="1" applyBorder="1" applyFont="1">
      <alignment shrinkToFit="0" vertical="bottom" wrapText="0"/>
    </xf>
    <xf borderId="22" fillId="0" fontId="10" numFmtId="0" xfId="0" applyAlignment="1" applyBorder="1" applyFont="1">
      <alignment horizontal="center" vertical="bottom"/>
    </xf>
    <xf borderId="22" fillId="0" fontId="18" numFmtId="0" xfId="0" applyAlignment="1" applyBorder="1" applyFont="1">
      <alignment horizontal="center"/>
    </xf>
    <xf borderId="22" fillId="0" fontId="21" numFmtId="0" xfId="0" applyAlignment="1" applyBorder="1" applyFont="1">
      <alignment horizontal="center"/>
    </xf>
    <xf borderId="23" fillId="0" fontId="19" numFmtId="0" xfId="0" applyAlignment="1" applyBorder="1" applyFont="1">
      <alignment horizontal="center"/>
    </xf>
    <xf borderId="0" fillId="8" fontId="18" numFmtId="0" xfId="0" applyFill="1" applyFont="1"/>
    <xf borderId="0" fillId="8" fontId="25" numFmtId="0" xfId="0" applyAlignment="1" applyFont="1">
      <alignment textRotation="90" vertical="bottom"/>
    </xf>
    <xf borderId="0" fillId="9" fontId="26" numFmtId="0" xfId="0" applyAlignment="1" applyFill="1" applyFont="1">
      <alignment textRotation="90" vertical="bottom"/>
    </xf>
    <xf borderId="0" fillId="8" fontId="27" numFmtId="0" xfId="0" applyAlignment="1" applyFont="1">
      <alignment textRotation="90" vertical="bottom"/>
    </xf>
    <xf borderId="0" fillId="0" fontId="27" numFmtId="0" xfId="0" applyAlignment="1" applyFont="1">
      <alignment horizontal="center" vertical="bottom"/>
    </xf>
    <xf borderId="0" fillId="0" fontId="25" numFmtId="0" xfId="0" applyAlignment="1" applyFont="1">
      <alignment vertical="bottom"/>
    </xf>
    <xf borderId="0" fillId="9" fontId="18" numFmtId="0" xfId="0" applyAlignment="1" applyFont="1">
      <alignment horizontal="center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1EBC9"/>
          <bgColor rgb="FFB1EBC9"/>
        </patternFill>
      </fill>
      <border/>
    </dxf>
    <dxf>
      <font/>
      <fill>
        <patternFill patternType="solid">
          <fgColor rgb="FF1B0CA3"/>
          <bgColor rgb="FF1B0CA3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7">
    <tableStyle count="3" pivot="0" name="SF1 REGULAR-style">
      <tableStyleElement dxfId="1" type="headerRow"/>
      <tableStyleElement dxfId="2" type="firstRowStripe"/>
      <tableStyleElement dxfId="3" type="secondRowStripe"/>
    </tableStyle>
    <tableStyle count="2" pivot="0" name="SF1 REGULAR-style 2">
      <tableStyleElement dxfId="2" type="firstRowStripe"/>
      <tableStyleElement dxfId="4" type="secondRowStripe"/>
    </tableStyle>
    <tableStyle count="2" pivot="0" name="SF1 REJU-style">
      <tableStyleElement dxfId="2" type="firstRowStripe"/>
      <tableStyleElement dxfId="3" type="secondRowStripe"/>
    </tableStyle>
    <tableStyle count="3" pivot="0" name="SF2 REGULAR-style">
      <tableStyleElement dxfId="5" type="headerRow"/>
      <tableStyleElement dxfId="2" type="firstRowStripe"/>
      <tableStyleElement dxfId="6" type="secondRowStripe"/>
    </tableStyle>
    <tableStyle count="2" pivot="0" name="SF2 REGULAR-style 2">
      <tableStyleElement dxfId="2" type="firstRowStripe"/>
      <tableStyleElement dxfId="7" type="secondRowStripe"/>
    </tableStyle>
    <tableStyle count="3" pivot="0" name="SF2 REJU-style">
      <tableStyleElement dxfId="5" type="headerRow"/>
      <tableStyleElement dxfId="2" type="firstRowStripe"/>
      <tableStyleElement dxfId="6" type="secondRowStripe"/>
    </tableStyle>
    <tableStyle count="2" pivot="0" name="SF2 REJU-style 2">
      <tableStyleElement dxfId="2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1:AI1" displayName="Table_1" name="Table_1" id="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SF1 REGULA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AI11" displayName="Table_2" name="Table_2" id="2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SF1 REGULAR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:S28" displayName="Table_3" name="Table_3" id="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SF1 REJU-style" showColumnStripes="0" showFirstColumn="1" showLastColumn="1" showRowStripes="1"/>
</table>
</file>

<file path=xl/tables/table4.xml><?xml version="1.0" encoding="utf-8"?>
<table xmlns="http://schemas.openxmlformats.org/spreadsheetml/2006/main" headerRowCount="0" ref="C1:AH1" displayName="Table_4" name="Table_4" id="4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SF2 REGULA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2:AH28" displayName="Table_5" name="Table_5" id="5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F2 REGULAR-style 2" showColumnStripes="0" showFirstColumn="1" showLastColumn="1" showRowStripes="1"/>
</table>
</file>

<file path=xl/tables/table6.xml><?xml version="1.0" encoding="utf-8"?>
<table xmlns="http://schemas.openxmlformats.org/spreadsheetml/2006/main" headerRowCount="0" ref="C1:R1" displayName="Table_6" name="Table_6" id="6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F2 REJU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2:R28" displayName="Table_7" name="Table_7" id="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F2 REJU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cr4wnsLI_Xw&amp;list=RDcr4wnsLI_Xw&amp;start_radio=1" TargetMode="External"/><Relationship Id="rId42" Type="http://schemas.openxmlformats.org/officeDocument/2006/relationships/hyperlink" Target="https://youtu.be/hRv4cdZxTdQ" TargetMode="External"/><Relationship Id="rId41" Type="http://schemas.openxmlformats.org/officeDocument/2006/relationships/hyperlink" Target="https://youtu.be/l7WPp4EjH5s" TargetMode="External"/><Relationship Id="rId44" Type="http://schemas.openxmlformats.org/officeDocument/2006/relationships/hyperlink" Target="https://youtu.be/tp8kOwP6Wfg?si=l0ekCW2Zcc-frf5x" TargetMode="External"/><Relationship Id="rId43" Type="http://schemas.openxmlformats.org/officeDocument/2006/relationships/hyperlink" Target="https://www.youtube.com/watch?v=yebNIHKAC4A" TargetMode="External"/><Relationship Id="rId46" Type="http://schemas.openxmlformats.org/officeDocument/2006/relationships/hyperlink" Target="https://youtu.be/hRv4cdZxTdQ" TargetMode="External"/><Relationship Id="rId45" Type="http://schemas.openxmlformats.org/officeDocument/2006/relationships/hyperlink" Target="https://youtu.be/pSlP5AQdXeo?si=qSC8Sb-IzP5zCN-x" TargetMode="External"/><Relationship Id="rId1" Type="http://schemas.openxmlformats.org/officeDocument/2006/relationships/hyperlink" Target="https://www.youtube.com/watch?v=R9JqgsKta2Y" TargetMode="External"/><Relationship Id="rId2" Type="http://schemas.openxmlformats.org/officeDocument/2006/relationships/hyperlink" Target="https://youtu.be/M8GL_vmE5X0" TargetMode="External"/><Relationship Id="rId3" Type="http://schemas.openxmlformats.org/officeDocument/2006/relationships/hyperlink" Target="https://www.youtube.com/watch?v=a9cyG_yfh1k" TargetMode="External"/><Relationship Id="rId4" Type="http://schemas.openxmlformats.org/officeDocument/2006/relationships/hyperlink" Target="https://www.youtube.com/watch?v=c-_N3cnxle8" TargetMode="External"/><Relationship Id="rId9" Type="http://schemas.openxmlformats.org/officeDocument/2006/relationships/hyperlink" Target="https://www.youtube.com/watch?v=4Zy_y-h74rM" TargetMode="External"/><Relationship Id="rId48" Type="http://schemas.openxmlformats.org/officeDocument/2006/relationships/hyperlink" Target="https://youtu.be/13XKfnzPgz4?si=OlfHDOUWtxWDs4jn" TargetMode="External"/><Relationship Id="rId47" Type="http://schemas.openxmlformats.org/officeDocument/2006/relationships/hyperlink" Target="https://youtu.be/rK5TyISxZ_M" TargetMode="External"/><Relationship Id="rId49" Type="http://schemas.openxmlformats.org/officeDocument/2006/relationships/hyperlink" Target="https://www.youtube.com/watch?v=9aZrxmiLLTs" TargetMode="External"/><Relationship Id="rId5" Type="http://schemas.openxmlformats.org/officeDocument/2006/relationships/hyperlink" Target="https://www.youtube.com/watch?v=n1VEgIJxPhc" TargetMode="External"/><Relationship Id="rId6" Type="http://schemas.openxmlformats.org/officeDocument/2006/relationships/hyperlink" Target="https://www.youtube.com/watch?v=5FrhtahQiRc" TargetMode="External"/><Relationship Id="rId7" Type="http://schemas.openxmlformats.org/officeDocument/2006/relationships/hyperlink" Target="https://www.youtube.com/watch?v=1z_tO1kfc8E" TargetMode="External"/><Relationship Id="rId8" Type="http://schemas.openxmlformats.org/officeDocument/2006/relationships/hyperlink" Target="https://www.youtube.com/watch?v=AN6L7kUIsMs&amp;list=RDAN6L7kUIsMs&amp;start_radio=1" TargetMode="External"/><Relationship Id="rId31" Type="http://schemas.openxmlformats.org/officeDocument/2006/relationships/hyperlink" Target="https://youtu.be/ifK8eAjiIrs?si=wwvjU4TQoOjFpAT5" TargetMode="External"/><Relationship Id="rId30" Type="http://schemas.openxmlformats.org/officeDocument/2006/relationships/hyperlink" Target="https://youtu.be/YdbWXF0nZ8g" TargetMode="External"/><Relationship Id="rId33" Type="http://schemas.openxmlformats.org/officeDocument/2006/relationships/hyperlink" Target="https://www.youtube.com/watch?v=1cA7s_6D4x8" TargetMode="External"/><Relationship Id="rId32" Type="http://schemas.openxmlformats.org/officeDocument/2006/relationships/hyperlink" Target="https://youtu.be/gybUQfH8t4k?si=VpaNr0XU_Ah9n738" TargetMode="External"/><Relationship Id="rId35" Type="http://schemas.openxmlformats.org/officeDocument/2006/relationships/hyperlink" Target="https://www.youtube.com/watch?v=GOQFWGiJqWI" TargetMode="External"/><Relationship Id="rId34" Type="http://schemas.openxmlformats.org/officeDocument/2006/relationships/hyperlink" Target="https://www.youtube.com/watch?v=_9or61Zfcwg" TargetMode="External"/><Relationship Id="rId37" Type="http://schemas.openxmlformats.org/officeDocument/2006/relationships/hyperlink" Target="https://www.youtube.com/watch?v=_nUz_6p4TUc" TargetMode="External"/><Relationship Id="rId36" Type="http://schemas.openxmlformats.org/officeDocument/2006/relationships/hyperlink" Target="https://youtu.be/tXgkMDlKGKs" TargetMode="External"/><Relationship Id="rId39" Type="http://schemas.openxmlformats.org/officeDocument/2006/relationships/hyperlink" Target="https://www.youtube.com/watch?v=Kks6G9jjXSU" TargetMode="External"/><Relationship Id="rId38" Type="http://schemas.openxmlformats.org/officeDocument/2006/relationships/hyperlink" Target="https://youtu.be/rcLwkaoUn5Q?si=KRjyyjK9KlKG-y6T" TargetMode="External"/><Relationship Id="rId20" Type="http://schemas.openxmlformats.org/officeDocument/2006/relationships/hyperlink" Target="https://youtu.be/rJo6mQ8uMy8" TargetMode="External"/><Relationship Id="rId22" Type="http://schemas.openxmlformats.org/officeDocument/2006/relationships/hyperlink" Target="https://youtu.be/rmDycXnEXe0" TargetMode="External"/><Relationship Id="rId21" Type="http://schemas.openxmlformats.org/officeDocument/2006/relationships/hyperlink" Target="https://youtu.be/-abS2XR_vwM?si=htJHZsERPFLOxowj" TargetMode="External"/><Relationship Id="rId24" Type="http://schemas.openxmlformats.org/officeDocument/2006/relationships/hyperlink" Target="https://www.youtube.com/watch?v=Feqoim8RJzU" TargetMode="External"/><Relationship Id="rId23" Type="http://schemas.openxmlformats.org/officeDocument/2006/relationships/hyperlink" Target="https://www.youtube.com/watch?v=2iUBTQYY2Qo" TargetMode="External"/><Relationship Id="rId60" Type="http://schemas.openxmlformats.org/officeDocument/2006/relationships/drawing" Target="../drawings/drawing2.xml"/><Relationship Id="rId26" Type="http://schemas.openxmlformats.org/officeDocument/2006/relationships/hyperlink" Target="https://youtu.be/QZfH7cFp3Ys" TargetMode="External"/><Relationship Id="rId25" Type="http://schemas.openxmlformats.org/officeDocument/2006/relationships/hyperlink" Target="https://youtu.be/yD-kdTcnY-M" TargetMode="External"/><Relationship Id="rId28" Type="http://schemas.openxmlformats.org/officeDocument/2006/relationships/hyperlink" Target="https://www.youtube.com/watch?v=AsQfcuL2z2g" TargetMode="External"/><Relationship Id="rId27" Type="http://schemas.openxmlformats.org/officeDocument/2006/relationships/hyperlink" Target="https://www.youtube.com/watch?v=NEMsIHVejWM" TargetMode="External"/><Relationship Id="rId29" Type="http://schemas.openxmlformats.org/officeDocument/2006/relationships/hyperlink" Target="https://www.youtube.com/watch?v=SCEw4uH2a8I" TargetMode="External"/><Relationship Id="rId51" Type="http://schemas.openxmlformats.org/officeDocument/2006/relationships/hyperlink" Target="https://www.youtube.com/watch?v=Iapw_hbyBjE" TargetMode="External"/><Relationship Id="rId50" Type="http://schemas.openxmlformats.org/officeDocument/2006/relationships/hyperlink" Target="https://youtu.be/ASj6ggfNry8?si=xzLmJ9CQAIc9cr3i" TargetMode="External"/><Relationship Id="rId53" Type="http://schemas.openxmlformats.org/officeDocument/2006/relationships/hyperlink" Target="https://youtu.be/4Ru-MyB7fgY" TargetMode="External"/><Relationship Id="rId52" Type="http://schemas.openxmlformats.org/officeDocument/2006/relationships/hyperlink" Target="https://youtu.be/gUe60RX7EFU" TargetMode="External"/><Relationship Id="rId11" Type="http://schemas.openxmlformats.org/officeDocument/2006/relationships/hyperlink" Target="https://www.youtube.com/watch?v=PbuNO5NY4wA" TargetMode="External"/><Relationship Id="rId55" Type="http://schemas.openxmlformats.org/officeDocument/2006/relationships/hyperlink" Target="https://www.youtube.com/watch?v=t3ocsvn4FHI" TargetMode="External"/><Relationship Id="rId10" Type="http://schemas.openxmlformats.org/officeDocument/2006/relationships/hyperlink" Target="https://youtu.be/vlrUflZk0lI?si=dh6wZZFNH0BFJzsh" TargetMode="External"/><Relationship Id="rId54" Type="http://schemas.openxmlformats.org/officeDocument/2006/relationships/hyperlink" Target="https://youtu.be/UsaBz-hr4ec?si=rm2B9z7leddV0rVc" TargetMode="External"/><Relationship Id="rId13" Type="http://schemas.openxmlformats.org/officeDocument/2006/relationships/hyperlink" Target="https://youtu.be/HekwACr4CHc" TargetMode="External"/><Relationship Id="rId57" Type="http://schemas.openxmlformats.org/officeDocument/2006/relationships/hyperlink" Target="https://youtu.be/OiGOuGXw9f4" TargetMode="External"/><Relationship Id="rId12" Type="http://schemas.openxmlformats.org/officeDocument/2006/relationships/hyperlink" Target="https://www.youtube.com/watch?v=RxwT40ZIC5Q" TargetMode="External"/><Relationship Id="rId56" Type="http://schemas.openxmlformats.org/officeDocument/2006/relationships/hyperlink" Target="https://youtu.be/h28H0Ho9Sk8" TargetMode="External"/><Relationship Id="rId15" Type="http://schemas.openxmlformats.org/officeDocument/2006/relationships/hyperlink" Target="https://youtu.be/Tv7jSt0KYPk" TargetMode="External"/><Relationship Id="rId59" Type="http://schemas.openxmlformats.org/officeDocument/2006/relationships/hyperlink" Target="https://www.youtube.com/watch?v=1U0yUuZqQG8" TargetMode="External"/><Relationship Id="rId14" Type="http://schemas.openxmlformats.org/officeDocument/2006/relationships/hyperlink" Target="https://www.youtube.com/watch?v=R0yBJvVf-i8" TargetMode="External"/><Relationship Id="rId58" Type="http://schemas.openxmlformats.org/officeDocument/2006/relationships/hyperlink" Target="https://www.youtube.com/watch?v=R38BiKbZB4o" TargetMode="External"/><Relationship Id="rId17" Type="http://schemas.openxmlformats.org/officeDocument/2006/relationships/hyperlink" Target="https://youtu.be/ZPxQYhGpdvg?si=3AjWTcB3XZVSOKmT" TargetMode="External"/><Relationship Id="rId16" Type="http://schemas.openxmlformats.org/officeDocument/2006/relationships/hyperlink" Target="https://youtu.be/IaG9tyRezEM?si=p9lRCB7ivAFevGMT" TargetMode="External"/><Relationship Id="rId19" Type="http://schemas.openxmlformats.org/officeDocument/2006/relationships/hyperlink" Target="https://youtu.be/UQ4mh3uNw48?si=e19W4negUn99yyl4" TargetMode="External"/><Relationship Id="rId18" Type="http://schemas.openxmlformats.org/officeDocument/2006/relationships/hyperlink" Target="https://www.youtube.com/watch?v=YgGLl8CanQo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c-_N3cnxle8" TargetMode="External"/><Relationship Id="rId2" Type="http://schemas.openxmlformats.org/officeDocument/2006/relationships/hyperlink" Target="https://www.youtube.com/watch?v=1z_tO1kfc8E" TargetMode="External"/><Relationship Id="rId3" Type="http://schemas.openxmlformats.org/officeDocument/2006/relationships/hyperlink" Target="https://youtu.be/rcLwkaoUn5Q?si=KRjyyjK9KlKG-y6T" TargetMode="External"/><Relationship Id="rId4" Type="http://schemas.openxmlformats.org/officeDocument/2006/relationships/hyperlink" Target="https://www.youtube.com/watch?v=SCEw4uH2a8I" TargetMode="External"/><Relationship Id="rId9" Type="http://schemas.openxmlformats.org/officeDocument/2006/relationships/hyperlink" Target="https://youtu.be/M8GL_vmE5X0" TargetMode="External"/><Relationship Id="rId5" Type="http://schemas.openxmlformats.org/officeDocument/2006/relationships/hyperlink" Target="https://www.youtube.com/watch?v=RxwT40ZIC5Q" TargetMode="External"/><Relationship Id="rId6" Type="http://schemas.openxmlformats.org/officeDocument/2006/relationships/hyperlink" Target="https://youtu.be/-abS2XR_vwM?si=htJHZsERPFLOxowj" TargetMode="External"/><Relationship Id="rId7" Type="http://schemas.openxmlformats.org/officeDocument/2006/relationships/hyperlink" Target="https://www.youtube.com/watch?v=9aZrxmiLLTs" TargetMode="External"/><Relationship Id="rId8" Type="http://schemas.openxmlformats.org/officeDocument/2006/relationships/hyperlink" Target="https://youtu.be/l7WPp4EjH5s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youtu.be/yD-kdTcnY-M" TargetMode="External"/><Relationship Id="rId20" Type="http://schemas.openxmlformats.org/officeDocument/2006/relationships/hyperlink" Target="https://www.youtube.com/watch?v=R38BiKbZB4o" TargetMode="External"/><Relationship Id="rId22" Type="http://schemas.openxmlformats.org/officeDocument/2006/relationships/hyperlink" Target="https://www.youtube.com/watch?v=1cA7s_6D4x8" TargetMode="External"/><Relationship Id="rId21" Type="http://schemas.openxmlformats.org/officeDocument/2006/relationships/hyperlink" Target="https://www.youtube.com/watch?v=Feqoim8RJzU" TargetMode="External"/><Relationship Id="rId24" Type="http://schemas.openxmlformats.org/officeDocument/2006/relationships/hyperlink" Target="https://vimeo.com/1117483288" TargetMode="External"/><Relationship Id="rId23" Type="http://schemas.openxmlformats.org/officeDocument/2006/relationships/hyperlink" Target="https://www.youtube.com/watch?v=_9or61Zfcwg" TargetMode="External"/><Relationship Id="rId26" Type="http://schemas.openxmlformats.org/officeDocument/2006/relationships/hyperlink" Target="https://www.youtube.com/watch?v=GOQFWGiJqWI" TargetMode="External"/><Relationship Id="rId25" Type="http://schemas.openxmlformats.org/officeDocument/2006/relationships/hyperlink" Target="https://youtu.be/hRv4cdZxTdQ" TargetMode="External"/><Relationship Id="rId28" Type="http://schemas.openxmlformats.org/officeDocument/2006/relationships/hyperlink" Target="https://youtu.be/rK5TyISxZ_M" TargetMode="External"/><Relationship Id="rId27" Type="http://schemas.openxmlformats.org/officeDocument/2006/relationships/hyperlink" Target="https://youtu.be/Tv7jSt0KYPk" TargetMode="External"/><Relationship Id="rId29" Type="http://schemas.openxmlformats.org/officeDocument/2006/relationships/hyperlink" Target="https://youtu.be/hRv4cdZxTdQ" TargetMode="External"/><Relationship Id="rId11" Type="http://schemas.openxmlformats.org/officeDocument/2006/relationships/hyperlink" Target="https://youtu.be/UQ4mh3uNw48?si=e19W4negUn99yyl4" TargetMode="External"/><Relationship Id="rId10" Type="http://schemas.openxmlformats.org/officeDocument/2006/relationships/hyperlink" Target="https://www.youtube.com/watch?v=yebNIHKAC4A" TargetMode="External"/><Relationship Id="rId13" Type="http://schemas.openxmlformats.org/officeDocument/2006/relationships/hyperlink" Target="https://youtu.be/ZPxQYhGpdvg?si=3AjWTcB3XZVSOKmT" TargetMode="External"/><Relationship Id="rId12" Type="http://schemas.openxmlformats.org/officeDocument/2006/relationships/hyperlink" Target="https://www.youtube.com/watch?v=R0yBJvVf-i8" TargetMode="External"/><Relationship Id="rId15" Type="http://schemas.openxmlformats.org/officeDocument/2006/relationships/hyperlink" Target="https://www.youtube.com/watch?v=t3ocsvn4FHI" TargetMode="External"/><Relationship Id="rId14" Type="http://schemas.openxmlformats.org/officeDocument/2006/relationships/hyperlink" Target="https://www.youtube.com/watch?v=cr4wnsLI_Xw&amp;list=RDcr4wnsLI_Xw&amp;start_radio=1" TargetMode="External"/><Relationship Id="rId17" Type="http://schemas.openxmlformats.org/officeDocument/2006/relationships/hyperlink" Target="https://youtu.be/gUe60RX7EFU" TargetMode="External"/><Relationship Id="rId16" Type="http://schemas.openxmlformats.org/officeDocument/2006/relationships/hyperlink" Target="https://www.youtube.com/watch?v=_nUz_6p4TUc" TargetMode="External"/><Relationship Id="rId19" Type="http://schemas.openxmlformats.org/officeDocument/2006/relationships/hyperlink" Target="https://www.youtube.com/watch?v=1U0yUuZqQG8" TargetMode="External"/><Relationship Id="rId18" Type="http://schemas.openxmlformats.org/officeDocument/2006/relationships/hyperlink" Target="https://youtu.be/OiGOuGXw9f4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rmDycXnEXe0" TargetMode="External"/><Relationship Id="rId2" Type="http://schemas.openxmlformats.org/officeDocument/2006/relationships/hyperlink" Target="https://www.youtube.com/watch?v=PbuNO5NY4wA" TargetMode="External"/><Relationship Id="rId3" Type="http://schemas.openxmlformats.org/officeDocument/2006/relationships/hyperlink" Target="https://youtu.be/UsaBz-hr4ec?si=rm2B9z7leddV0rVc" TargetMode="External"/><Relationship Id="rId4" Type="http://schemas.openxmlformats.org/officeDocument/2006/relationships/hyperlink" Target="https://www.youtube.com/watch?v=AN6L7kUIsMs&amp;list=RDAN6L7kUIsMs&amp;start_radio=1" TargetMode="External"/><Relationship Id="rId9" Type="http://schemas.openxmlformats.org/officeDocument/2006/relationships/hyperlink" Target="https://youtu.be/vlrUflZk0lI?si=dh6wZZFNH0BFJzsh" TargetMode="External"/><Relationship Id="rId5" Type="http://schemas.openxmlformats.org/officeDocument/2006/relationships/hyperlink" Target="https://www.youtube.com/watch?v=Iapw_hbyBjE" TargetMode="External"/><Relationship Id="rId6" Type="http://schemas.openxmlformats.org/officeDocument/2006/relationships/hyperlink" Target="https://www.youtube.com/watch?v=2iUBTQYY2Qo" TargetMode="External"/><Relationship Id="rId7" Type="http://schemas.openxmlformats.org/officeDocument/2006/relationships/hyperlink" Target="https://youtu.be/tXgkMDlKGKs" TargetMode="External"/><Relationship Id="rId8" Type="http://schemas.openxmlformats.org/officeDocument/2006/relationships/hyperlink" Target="https://www.youtube.com/watch?v=a9cyG_yfh1k" TargetMode="External"/><Relationship Id="rId30" Type="http://schemas.openxmlformats.org/officeDocument/2006/relationships/drawing" Target="../drawings/drawing4.xml"/><Relationship Id="rId20" Type="http://schemas.openxmlformats.org/officeDocument/2006/relationships/hyperlink" Target="https://www.youtube.com/watch?v=4Zy_y-h74rM" TargetMode="External"/><Relationship Id="rId22" Type="http://schemas.openxmlformats.org/officeDocument/2006/relationships/hyperlink" Target="https://youtu.be/13XKfnzPgz4?si=OlfHDOUWtxWDs4jn" TargetMode="External"/><Relationship Id="rId21" Type="http://schemas.openxmlformats.org/officeDocument/2006/relationships/hyperlink" Target="https://www.youtube.com/watch?v=R9JqgsKta2Y" TargetMode="External"/><Relationship Id="rId24" Type="http://schemas.openxmlformats.org/officeDocument/2006/relationships/hyperlink" Target="https://youtu.be/tp8kOwP6Wfg?si=l0ekCW2Zcc-frf5x" TargetMode="External"/><Relationship Id="rId23" Type="http://schemas.openxmlformats.org/officeDocument/2006/relationships/hyperlink" Target="https://youtu.be/4Ru-MyB7fgY" TargetMode="External"/><Relationship Id="rId26" Type="http://schemas.openxmlformats.org/officeDocument/2006/relationships/hyperlink" Target="https://www.youtube.com/watch?v=YgGLl8CanQo" TargetMode="External"/><Relationship Id="rId25" Type="http://schemas.openxmlformats.org/officeDocument/2006/relationships/hyperlink" Target="https://youtu.be/QZfH7cFp3Ys" TargetMode="External"/><Relationship Id="rId28" Type="http://schemas.openxmlformats.org/officeDocument/2006/relationships/hyperlink" Target="https://www.youtube.com/watch?v=NEMsIHVejWM" TargetMode="External"/><Relationship Id="rId27" Type="http://schemas.openxmlformats.org/officeDocument/2006/relationships/hyperlink" Target="https://youtu.be/YdbWXF0nZ8g" TargetMode="External"/><Relationship Id="rId29" Type="http://schemas.openxmlformats.org/officeDocument/2006/relationships/hyperlink" Target="https://youtu.be/IaG9tyRezEM?si=p9lRCB7ivAFevGMT" TargetMode="External"/><Relationship Id="rId11" Type="http://schemas.openxmlformats.org/officeDocument/2006/relationships/hyperlink" Target="https://youtu.be/rJo6mQ8uMy8" TargetMode="External"/><Relationship Id="rId10" Type="http://schemas.openxmlformats.org/officeDocument/2006/relationships/hyperlink" Target="https://youtu.be/ASj6ggfNry8?si=xzLmJ9CQAIc9cr3i" TargetMode="External"/><Relationship Id="rId13" Type="http://schemas.openxmlformats.org/officeDocument/2006/relationships/hyperlink" Target="https://www.youtube.com/watch?v=AsQfcuL2z2g" TargetMode="External"/><Relationship Id="rId12" Type="http://schemas.openxmlformats.org/officeDocument/2006/relationships/hyperlink" Target="https://www.youtube.com/watch?v=Kks6G9jjXSU" TargetMode="External"/><Relationship Id="rId15" Type="http://schemas.openxmlformats.org/officeDocument/2006/relationships/hyperlink" Target="https://www.youtube.com/watch?v=5FrhtahQiRc" TargetMode="External"/><Relationship Id="rId14" Type="http://schemas.openxmlformats.org/officeDocument/2006/relationships/hyperlink" Target="https://youtu.be/h28H0Ho9Sk8" TargetMode="External"/><Relationship Id="rId17" Type="http://schemas.openxmlformats.org/officeDocument/2006/relationships/hyperlink" Target="https://youtu.be/HekwACr4CHc" TargetMode="External"/><Relationship Id="rId16" Type="http://schemas.openxmlformats.org/officeDocument/2006/relationships/hyperlink" Target="https://www.youtube.com/watch?v=n1VEgIJxPhc" TargetMode="External"/><Relationship Id="rId19" Type="http://schemas.openxmlformats.org/officeDocument/2006/relationships/hyperlink" Target="https://youtu.be/pSlP5AQdXeo?si=qSC8Sb-IzP5zCN-x" TargetMode="External"/><Relationship Id="rId18" Type="http://schemas.openxmlformats.org/officeDocument/2006/relationships/hyperlink" Target="https://youtu.be/ifK8eAjiIrs?si=wwvjU4TQoOjFpAT5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A026"/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1</v>
      </c>
      <c r="C1" s="3" t="s">
        <v>2</v>
      </c>
    </row>
    <row r="2">
      <c r="A2" s="4"/>
      <c r="B2" s="4"/>
      <c r="C2" s="4"/>
    </row>
    <row r="3">
      <c r="A3" s="5" t="s">
        <v>3</v>
      </c>
      <c r="B3" s="6" t="s">
        <v>4</v>
      </c>
      <c r="C3" s="7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765A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63"/>
    <col customWidth="1" min="2" max="2" width="7.38"/>
    <col customWidth="1" min="3" max="3" width="14.75"/>
    <col customWidth="1" min="4" max="4" width="38.5"/>
    <col customWidth="1" min="5" max="5" width="29.88"/>
    <col customWidth="1" min="6" max="6" width="70.63"/>
  </cols>
  <sheetData>
    <row r="1" ht="46.5" customHeight="1">
      <c r="A1" s="8" t="s">
        <v>6</v>
      </c>
      <c r="B1" s="8" t="s">
        <v>7</v>
      </c>
      <c r="C1" s="9" t="s">
        <v>8</v>
      </c>
      <c r="D1" s="10" t="s">
        <v>9</v>
      </c>
      <c r="E1" s="10" t="s">
        <v>10</v>
      </c>
      <c r="F1" s="10" t="s">
        <v>11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ht="15.75" customHeight="1">
      <c r="A2" s="12" t="s">
        <v>12</v>
      </c>
      <c r="B2" s="13">
        <v>1.0</v>
      </c>
      <c r="C2" s="12" t="s">
        <v>13</v>
      </c>
      <c r="D2" s="4" t="s">
        <v>14</v>
      </c>
      <c r="E2" s="4" t="s">
        <v>15</v>
      </c>
      <c r="F2" s="14" t="s">
        <v>16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15.75" customHeight="1">
      <c r="A3" s="12" t="s">
        <v>17</v>
      </c>
      <c r="B3" s="13">
        <v>4.0</v>
      </c>
      <c r="C3" s="12" t="s">
        <v>18</v>
      </c>
      <c r="D3" s="4" t="s">
        <v>19</v>
      </c>
      <c r="E3" s="4" t="s">
        <v>20</v>
      </c>
      <c r="F3" s="14" t="s">
        <v>21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ht="15.75" customHeight="1">
      <c r="A4" s="12" t="s">
        <v>22</v>
      </c>
      <c r="B4" s="13">
        <v>6.0</v>
      </c>
      <c r="C4" s="11" t="s">
        <v>23</v>
      </c>
      <c r="D4" s="4" t="s">
        <v>24</v>
      </c>
      <c r="E4" s="4" t="s">
        <v>25</v>
      </c>
      <c r="F4" s="14" t="s">
        <v>26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ht="15.75" customHeight="1">
      <c r="A5" s="12" t="s">
        <v>27</v>
      </c>
      <c r="B5" s="13">
        <v>2.0</v>
      </c>
      <c r="C5" s="12" t="s">
        <v>28</v>
      </c>
      <c r="D5" s="4" t="s">
        <v>29</v>
      </c>
      <c r="E5" s="4" t="s">
        <v>30</v>
      </c>
      <c r="F5" s="15" t="s">
        <v>31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ht="15.75" customHeight="1">
      <c r="A6" s="12" t="s">
        <v>32</v>
      </c>
      <c r="B6" s="13">
        <v>3.0</v>
      </c>
      <c r="C6" s="12" t="s">
        <v>33</v>
      </c>
      <c r="D6" s="4" t="s">
        <v>34</v>
      </c>
      <c r="E6" s="4" t="s">
        <v>35</v>
      </c>
      <c r="F6" s="14" t="s">
        <v>36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ht="15.75" customHeight="1">
      <c r="A7" s="12" t="s">
        <v>37</v>
      </c>
      <c r="B7" s="13">
        <v>6.0</v>
      </c>
      <c r="C7" s="12" t="s">
        <v>38</v>
      </c>
      <c r="D7" s="4" t="s">
        <v>39</v>
      </c>
      <c r="E7" s="4" t="s">
        <v>40</v>
      </c>
      <c r="F7" s="14" t="s">
        <v>41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ht="15.75" customHeight="1">
      <c r="A8" s="12" t="s">
        <v>42</v>
      </c>
      <c r="B8" s="13">
        <v>2.0</v>
      </c>
      <c r="C8" s="11" t="s">
        <v>43</v>
      </c>
      <c r="D8" s="4" t="s">
        <v>44</v>
      </c>
      <c r="E8" s="4" t="s">
        <v>45</v>
      </c>
      <c r="F8" s="14" t="s">
        <v>46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ht="15.75" customHeight="1">
      <c r="A9" s="12" t="s">
        <v>47</v>
      </c>
      <c r="B9" s="13">
        <v>5.0</v>
      </c>
      <c r="C9" s="11" t="s">
        <v>48</v>
      </c>
      <c r="D9" s="4" t="s">
        <v>49</v>
      </c>
      <c r="E9" s="4" t="s">
        <v>50</v>
      </c>
      <c r="F9" s="14" t="s">
        <v>51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ht="15.75" customHeight="1">
      <c r="A10" s="12" t="s">
        <v>52</v>
      </c>
      <c r="B10" s="16" t="s">
        <v>53</v>
      </c>
      <c r="C10" s="12" t="s">
        <v>54</v>
      </c>
      <c r="D10" s="4" t="s">
        <v>55</v>
      </c>
      <c r="E10" s="4" t="s">
        <v>56</v>
      </c>
      <c r="F10" s="15" t="s">
        <v>57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ht="15.75" customHeight="1">
      <c r="A11" s="12" t="s">
        <v>58</v>
      </c>
      <c r="B11" s="13">
        <v>4.0</v>
      </c>
      <c r="C11" s="12" t="s">
        <v>58</v>
      </c>
      <c r="D11" s="4" t="s">
        <v>59</v>
      </c>
      <c r="E11" s="4" t="s">
        <v>60</v>
      </c>
      <c r="F11" s="14" t="s">
        <v>61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ht="15.75" customHeight="1">
      <c r="A12" s="12" t="s">
        <v>62</v>
      </c>
      <c r="B12" s="13">
        <v>2.0</v>
      </c>
      <c r="C12" s="12" t="s">
        <v>63</v>
      </c>
      <c r="D12" s="4" t="s">
        <v>64</v>
      </c>
      <c r="E12" s="4" t="s">
        <v>65</v>
      </c>
      <c r="F12" s="15" t="s">
        <v>66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ht="15.75" customHeight="1">
      <c r="A13" s="12" t="s">
        <v>67</v>
      </c>
      <c r="B13" s="13">
        <v>3.0</v>
      </c>
      <c r="C13" s="12" t="s">
        <v>68</v>
      </c>
      <c r="D13" s="4" t="s">
        <v>69</v>
      </c>
      <c r="E13" s="4" t="s">
        <v>70</v>
      </c>
      <c r="F13" s="15" t="s">
        <v>71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ht="15.75" customHeight="1">
      <c r="A14" s="12" t="s">
        <v>72</v>
      </c>
      <c r="B14" s="16" t="s">
        <v>53</v>
      </c>
      <c r="C14" s="12" t="s">
        <v>73</v>
      </c>
      <c r="D14" s="4" t="s">
        <v>74</v>
      </c>
      <c r="E14" s="4" t="s">
        <v>75</v>
      </c>
      <c r="F14" s="15" t="s">
        <v>76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ht="15.75" customHeight="1">
      <c r="A15" s="12" t="s">
        <v>77</v>
      </c>
      <c r="B15" s="13">
        <v>5.0</v>
      </c>
      <c r="C15" s="12" t="s">
        <v>78</v>
      </c>
      <c r="D15" s="4" t="s">
        <v>79</v>
      </c>
      <c r="E15" s="4" t="s">
        <v>80</v>
      </c>
      <c r="F15" s="14" t="s">
        <v>81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ht="15.75" customHeight="1">
      <c r="A16" s="12" t="s">
        <v>82</v>
      </c>
      <c r="B16" s="13">
        <v>1.0</v>
      </c>
      <c r="C16" s="12" t="s">
        <v>83</v>
      </c>
      <c r="D16" s="4" t="s">
        <v>84</v>
      </c>
      <c r="E16" s="4" t="s">
        <v>85</v>
      </c>
      <c r="F16" s="15" t="s">
        <v>86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ht="15.75" customHeight="1">
      <c r="A17" s="12" t="s">
        <v>87</v>
      </c>
      <c r="B17" s="16" t="s">
        <v>53</v>
      </c>
      <c r="C17" s="12" t="s">
        <v>88</v>
      </c>
      <c r="D17" s="4" t="s">
        <v>89</v>
      </c>
      <c r="E17" s="4" t="s">
        <v>90</v>
      </c>
      <c r="F17" s="17" t="s">
        <v>91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ht="15.75" customHeight="1">
      <c r="A18" s="12" t="s">
        <v>92</v>
      </c>
      <c r="B18" s="13">
        <v>6.0</v>
      </c>
      <c r="C18" s="11" t="s">
        <v>93</v>
      </c>
      <c r="D18" s="4" t="s">
        <v>94</v>
      </c>
      <c r="E18" s="4" t="s">
        <v>95</v>
      </c>
      <c r="F18" s="14" t="s">
        <v>96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ht="15.75" customHeight="1">
      <c r="A19" s="12" t="s">
        <v>97</v>
      </c>
      <c r="B19" s="13">
        <v>1.0</v>
      </c>
      <c r="C19" s="12" t="s">
        <v>98</v>
      </c>
      <c r="D19" s="4" t="s">
        <v>99</v>
      </c>
      <c r="E19" s="4" t="s">
        <v>100</v>
      </c>
      <c r="F19" s="15" t="s">
        <v>101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ht="15.75" customHeight="1">
      <c r="A20" s="12" t="s">
        <v>102</v>
      </c>
      <c r="B20" s="13">
        <v>2.0</v>
      </c>
      <c r="C20" s="12" t="s">
        <v>103</v>
      </c>
      <c r="D20" s="4" t="s">
        <v>104</v>
      </c>
      <c r="E20" s="4" t="s">
        <v>105</v>
      </c>
      <c r="F20" s="15" t="s">
        <v>106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ht="15.75" customHeight="1">
      <c r="A21" s="12" t="s">
        <v>107</v>
      </c>
      <c r="B21" s="13">
        <v>5.0</v>
      </c>
      <c r="C21" s="12" t="s">
        <v>108</v>
      </c>
      <c r="D21" s="4" t="s">
        <v>109</v>
      </c>
      <c r="E21" s="4" t="s">
        <v>110</v>
      </c>
      <c r="F21" s="14" t="s">
        <v>111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ht="15.75" customHeight="1">
      <c r="A22" s="12" t="s">
        <v>112</v>
      </c>
      <c r="B22" s="13">
        <v>4.0</v>
      </c>
      <c r="C22" s="12" t="s">
        <v>113</v>
      </c>
      <c r="D22" s="4" t="s">
        <v>114</v>
      </c>
      <c r="E22" s="4" t="s">
        <v>115</v>
      </c>
      <c r="F22" s="15" t="s">
        <v>116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ht="15.75" customHeight="1">
      <c r="A23" s="12" t="s">
        <v>117</v>
      </c>
      <c r="B23" s="13">
        <v>3.0</v>
      </c>
      <c r="C23" s="12" t="s">
        <v>118</v>
      </c>
      <c r="D23" s="4" t="s">
        <v>119</v>
      </c>
      <c r="E23" s="4" t="s">
        <v>120</v>
      </c>
      <c r="F23" s="15" t="s">
        <v>121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ht="15.75" customHeight="1">
      <c r="A24" s="12" t="s">
        <v>122</v>
      </c>
      <c r="B24" s="13">
        <v>5.0</v>
      </c>
      <c r="C24" s="11" t="s">
        <v>123</v>
      </c>
      <c r="D24" s="4" t="s">
        <v>124</v>
      </c>
      <c r="E24" s="4" t="s">
        <v>125</v>
      </c>
      <c r="F24" s="14" t="s">
        <v>126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ht="15.75" customHeight="1">
      <c r="A25" s="12" t="s">
        <v>127</v>
      </c>
      <c r="B25" s="16" t="s">
        <v>53</v>
      </c>
      <c r="C25" s="12" t="s">
        <v>128</v>
      </c>
      <c r="D25" s="4" t="s">
        <v>129</v>
      </c>
      <c r="E25" s="4" t="s">
        <v>130</v>
      </c>
      <c r="F25" s="15" t="s">
        <v>131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ht="15.75" customHeight="1">
      <c r="A26" s="12" t="s">
        <v>132</v>
      </c>
      <c r="B26" s="13">
        <v>4.0</v>
      </c>
      <c r="C26" s="12" t="s">
        <v>133</v>
      </c>
      <c r="D26" s="4" t="s">
        <v>134</v>
      </c>
      <c r="E26" s="4" t="s">
        <v>135</v>
      </c>
      <c r="F26" s="15" t="s">
        <v>136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ht="15.75" customHeight="1">
      <c r="A27" s="12" t="s">
        <v>137</v>
      </c>
      <c r="B27" s="13">
        <v>1.0</v>
      </c>
      <c r="C27" s="12" t="s">
        <v>138</v>
      </c>
      <c r="D27" s="4" t="s">
        <v>139</v>
      </c>
      <c r="E27" s="4" t="s">
        <v>140</v>
      </c>
      <c r="F27" s="15" t="s">
        <v>141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ht="15.75" customHeight="1">
      <c r="A28" s="12" t="s">
        <v>142</v>
      </c>
      <c r="B28" s="13">
        <v>6.0</v>
      </c>
      <c r="C28" s="12" t="s">
        <v>143</v>
      </c>
      <c r="D28" s="4" t="s">
        <v>144</v>
      </c>
      <c r="E28" s="4" t="s">
        <v>145</v>
      </c>
      <c r="F28" s="17" t="s">
        <v>146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ht="15.75" customHeight="1">
      <c r="A29" s="12" t="s">
        <v>147</v>
      </c>
      <c r="B29" s="13">
        <v>4.0</v>
      </c>
      <c r="C29" s="12" t="s">
        <v>148</v>
      </c>
      <c r="D29" s="4" t="s">
        <v>149</v>
      </c>
      <c r="E29" s="4" t="s">
        <v>150</v>
      </c>
      <c r="F29" s="15" t="s">
        <v>151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ht="15.75" customHeight="1">
      <c r="A30" s="12" t="s">
        <v>152</v>
      </c>
      <c r="B30" s="13">
        <v>3.0</v>
      </c>
      <c r="C30" s="12" t="s">
        <v>153</v>
      </c>
      <c r="D30" s="4" t="s">
        <v>154</v>
      </c>
      <c r="E30" s="4" t="s">
        <v>155</v>
      </c>
      <c r="F30" s="14" t="s">
        <v>156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ht="15.75" customHeight="1">
      <c r="A31" s="12" t="s">
        <v>157</v>
      </c>
      <c r="B31" s="13">
        <v>4.0</v>
      </c>
      <c r="C31" s="12" t="s">
        <v>158</v>
      </c>
      <c r="D31" s="4" t="s">
        <v>159</v>
      </c>
      <c r="E31" s="4" t="s">
        <v>160</v>
      </c>
      <c r="F31" s="17" t="s">
        <v>161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ht="15.75" customHeight="1">
      <c r="A32" s="12" t="s">
        <v>162</v>
      </c>
      <c r="B32" s="13">
        <v>5.0</v>
      </c>
      <c r="C32" s="12" t="s">
        <v>163</v>
      </c>
      <c r="D32" s="4" t="s">
        <v>164</v>
      </c>
      <c r="E32" s="4" t="s">
        <v>165</v>
      </c>
      <c r="F32" s="14" t="s">
        <v>166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ht="15.75" customHeight="1">
      <c r="A33" s="12" t="s">
        <v>167</v>
      </c>
      <c r="B33" s="13">
        <v>5.0</v>
      </c>
      <c r="C33" s="12" t="s">
        <v>168</v>
      </c>
      <c r="D33" s="4" t="s">
        <v>169</v>
      </c>
      <c r="E33" s="4" t="s">
        <v>170</v>
      </c>
      <c r="F33" s="15" t="s">
        <v>171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ht="15.75" customHeight="1">
      <c r="A34" s="12" t="s">
        <v>172</v>
      </c>
      <c r="B34" s="13">
        <v>2.0</v>
      </c>
      <c r="C34" s="12" t="s">
        <v>173</v>
      </c>
      <c r="D34" s="4" t="s">
        <v>174</v>
      </c>
      <c r="E34" s="4" t="s">
        <v>175</v>
      </c>
      <c r="F34" s="14" t="s">
        <v>176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ht="15.75" customHeight="1">
      <c r="A35" s="12" t="s">
        <v>177</v>
      </c>
      <c r="B35" s="16" t="s">
        <v>53</v>
      </c>
      <c r="C35" s="12" t="s">
        <v>178</v>
      </c>
      <c r="D35" s="4" t="s">
        <v>179</v>
      </c>
      <c r="E35" s="4" t="s">
        <v>180</v>
      </c>
      <c r="F35" s="15" t="s">
        <v>181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ht="15.75" customHeight="1">
      <c r="A36" s="12" t="s">
        <v>182</v>
      </c>
      <c r="B36" s="13">
        <v>3.0</v>
      </c>
      <c r="C36" s="12" t="s">
        <v>183</v>
      </c>
      <c r="D36" s="4" t="s">
        <v>184</v>
      </c>
      <c r="E36" s="4" t="s">
        <v>185</v>
      </c>
      <c r="F36" s="15" t="s">
        <v>186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ht="15.75" customHeight="1">
      <c r="A37" s="12" t="s">
        <v>187</v>
      </c>
      <c r="B37" s="13">
        <v>5.0</v>
      </c>
      <c r="C37" s="12" t="s">
        <v>188</v>
      </c>
      <c r="D37" s="4" t="s">
        <v>189</v>
      </c>
      <c r="E37" s="4" t="s">
        <v>190</v>
      </c>
      <c r="F37" s="14" t="s">
        <v>191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ht="15.75" customHeight="1">
      <c r="A38" s="12" t="s">
        <v>192</v>
      </c>
      <c r="B38" s="13">
        <v>4.0</v>
      </c>
      <c r="C38" s="12" t="s">
        <v>193</v>
      </c>
      <c r="D38" s="4" t="s">
        <v>194</v>
      </c>
      <c r="E38" s="4" t="s">
        <v>195</v>
      </c>
      <c r="F38" s="15" t="s">
        <v>196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ht="15.75" customHeight="1">
      <c r="A39" s="12" t="s">
        <v>197</v>
      </c>
      <c r="B39" s="13">
        <v>3.0</v>
      </c>
      <c r="C39" s="12" t="s">
        <v>198</v>
      </c>
      <c r="D39" s="4" t="s">
        <v>199</v>
      </c>
      <c r="E39" s="4" t="s">
        <v>200</v>
      </c>
      <c r="F39" s="15" t="s">
        <v>201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ht="15.75" customHeight="1">
      <c r="A40" s="12" t="s">
        <v>202</v>
      </c>
      <c r="B40" s="13">
        <v>3.0</v>
      </c>
      <c r="C40" s="12" t="s">
        <v>203</v>
      </c>
      <c r="D40" s="4" t="s">
        <v>204</v>
      </c>
      <c r="E40" s="4" t="s">
        <v>205</v>
      </c>
      <c r="F40" s="15" t="s">
        <v>206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ht="15.75" customHeight="1">
      <c r="A41" s="12" t="s">
        <v>207</v>
      </c>
      <c r="B41" s="13">
        <v>1.0</v>
      </c>
      <c r="C41" s="12" t="s">
        <v>208</v>
      </c>
      <c r="D41" s="4" t="s">
        <v>209</v>
      </c>
      <c r="E41" s="4" t="s">
        <v>210</v>
      </c>
      <c r="F41" s="15" t="s">
        <v>211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ht="15.75" customHeight="1">
      <c r="A42" s="12" t="s">
        <v>212</v>
      </c>
      <c r="B42" s="13">
        <v>5.0</v>
      </c>
      <c r="C42" s="12" t="s">
        <v>213</v>
      </c>
      <c r="D42" s="4" t="s">
        <v>214</v>
      </c>
      <c r="E42" s="4" t="s">
        <v>215</v>
      </c>
      <c r="F42" s="14" t="s">
        <v>216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ht="15.75" customHeight="1">
      <c r="A43" s="12" t="s">
        <v>217</v>
      </c>
      <c r="B43" s="13">
        <v>6.0</v>
      </c>
      <c r="C43" s="12" t="s">
        <v>218</v>
      </c>
      <c r="D43" s="4" t="s">
        <v>219</v>
      </c>
      <c r="E43" s="4" t="s">
        <v>220</v>
      </c>
      <c r="F43" s="15" t="s">
        <v>221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ht="15.75" customHeight="1">
      <c r="A44" s="12" t="s">
        <v>222</v>
      </c>
      <c r="B44" s="13">
        <v>6.0</v>
      </c>
      <c r="C44" s="12" t="s">
        <v>223</v>
      </c>
      <c r="D44" s="4" t="s">
        <v>224</v>
      </c>
      <c r="E44" s="4" t="s">
        <v>225</v>
      </c>
      <c r="F44" s="15" t="s">
        <v>226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ht="15.75" customHeight="1">
      <c r="A45" s="12" t="s">
        <v>227</v>
      </c>
      <c r="B45" s="13">
        <v>3.0</v>
      </c>
      <c r="C45" s="12" t="s">
        <v>228</v>
      </c>
      <c r="D45" s="4" t="s">
        <v>229</v>
      </c>
      <c r="E45" s="4" t="s">
        <v>230</v>
      </c>
      <c r="F45" s="18" t="s">
        <v>231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ht="15.75" customHeight="1">
      <c r="A46" s="12" t="s">
        <v>232</v>
      </c>
      <c r="B46" s="13">
        <v>2.0</v>
      </c>
      <c r="C46" s="12" t="s">
        <v>233</v>
      </c>
      <c r="D46" s="4" t="s">
        <v>234</v>
      </c>
      <c r="E46" s="4" t="s">
        <v>235</v>
      </c>
      <c r="F46" s="15" t="s">
        <v>236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ht="15.75" customHeight="1">
      <c r="A47" s="12" t="s">
        <v>237</v>
      </c>
      <c r="B47" s="13">
        <v>1.0</v>
      </c>
      <c r="C47" s="12" t="s">
        <v>238</v>
      </c>
      <c r="D47" s="4" t="s">
        <v>239</v>
      </c>
      <c r="E47" s="4" t="s">
        <v>240</v>
      </c>
      <c r="F47" s="15" t="s">
        <v>221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ht="15.75" customHeight="1">
      <c r="A48" s="12" t="s">
        <v>241</v>
      </c>
      <c r="B48" s="13">
        <v>1.0</v>
      </c>
      <c r="C48" s="12" t="s">
        <v>242</v>
      </c>
      <c r="D48" s="4" t="s">
        <v>243</v>
      </c>
      <c r="E48" s="4" t="s">
        <v>244</v>
      </c>
      <c r="F48" s="17" t="s">
        <v>245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ht="15.75" customHeight="1">
      <c r="A49" s="12" t="s">
        <v>246</v>
      </c>
      <c r="B49" s="13">
        <v>2.0</v>
      </c>
      <c r="C49" s="12" t="s">
        <v>247</v>
      </c>
      <c r="D49" s="4" t="s">
        <v>248</v>
      </c>
      <c r="E49" s="4" t="s">
        <v>249</v>
      </c>
      <c r="F49" s="15" t="s">
        <v>250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ht="15.75" customHeight="1">
      <c r="A50" s="12" t="s">
        <v>251</v>
      </c>
      <c r="B50" s="13">
        <v>5.0</v>
      </c>
      <c r="C50" s="12" t="s">
        <v>252</v>
      </c>
      <c r="D50" s="4" t="s">
        <v>253</v>
      </c>
      <c r="E50" s="4" t="s">
        <v>254</v>
      </c>
      <c r="F50" s="17" t="s">
        <v>255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ht="15.75" customHeight="1">
      <c r="A51" s="12" t="s">
        <v>256</v>
      </c>
      <c r="B51" s="13">
        <v>3.0</v>
      </c>
      <c r="C51" s="11" t="s">
        <v>257</v>
      </c>
      <c r="D51" s="4" t="s">
        <v>258</v>
      </c>
      <c r="E51" s="4" t="s">
        <v>259</v>
      </c>
      <c r="F51" s="14" t="s">
        <v>260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ht="15.75" customHeight="1">
      <c r="A52" s="12" t="s">
        <v>261</v>
      </c>
      <c r="B52" s="13">
        <v>6.0</v>
      </c>
      <c r="C52" s="12" t="s">
        <v>262</v>
      </c>
      <c r="D52" s="4" t="s">
        <v>263</v>
      </c>
      <c r="E52" s="4" t="s">
        <v>264</v>
      </c>
      <c r="F52" s="15" t="s">
        <v>265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ht="15.75" customHeight="1">
      <c r="A53" s="12" t="s">
        <v>266</v>
      </c>
      <c r="B53" s="13">
        <v>3.0</v>
      </c>
      <c r="C53" s="12" t="s">
        <v>267</v>
      </c>
      <c r="D53" s="4" t="s">
        <v>268</v>
      </c>
      <c r="E53" s="4" t="s">
        <v>269</v>
      </c>
      <c r="F53" s="15" t="s">
        <v>270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ht="15.75" customHeight="1">
      <c r="A54" s="12" t="s">
        <v>271</v>
      </c>
      <c r="B54" s="13">
        <v>4.0</v>
      </c>
      <c r="C54" s="12" t="s">
        <v>272</v>
      </c>
      <c r="D54" s="4" t="s">
        <v>273</v>
      </c>
      <c r="E54" s="4" t="s">
        <v>274</v>
      </c>
      <c r="F54" s="15" t="s">
        <v>275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ht="15.75" customHeight="1">
      <c r="A55" s="12" t="s">
        <v>276</v>
      </c>
      <c r="B55" s="13">
        <v>4.0</v>
      </c>
      <c r="C55" s="12" t="s">
        <v>277</v>
      </c>
      <c r="D55" s="4" t="s">
        <v>278</v>
      </c>
      <c r="E55" s="4" t="s">
        <v>279</v>
      </c>
      <c r="F55" s="15" t="s">
        <v>280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ht="15.75" customHeight="1">
      <c r="A56" s="12" t="s">
        <v>281</v>
      </c>
      <c r="B56" s="13">
        <v>6.0</v>
      </c>
      <c r="C56" s="12" t="s">
        <v>282</v>
      </c>
      <c r="D56" s="4" t="s">
        <v>283</v>
      </c>
      <c r="E56" s="4" t="s">
        <v>284</v>
      </c>
      <c r="F56" s="15" t="s">
        <v>285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ht="15.75" customHeight="1">
      <c r="A57" s="12" t="s">
        <v>286</v>
      </c>
      <c r="B57" s="13">
        <v>2.0</v>
      </c>
      <c r="C57" s="12" t="s">
        <v>287</v>
      </c>
      <c r="D57" s="4" t="s">
        <v>288</v>
      </c>
      <c r="E57" s="4" t="s">
        <v>289</v>
      </c>
      <c r="F57" s="17" t="s">
        <v>290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ht="15.75" customHeight="1">
      <c r="A58" s="12" t="s">
        <v>291</v>
      </c>
      <c r="B58" s="13">
        <v>5.0</v>
      </c>
      <c r="C58" s="12" t="s">
        <v>292</v>
      </c>
      <c r="D58" s="4" t="s">
        <v>293</v>
      </c>
      <c r="E58" s="4" t="s">
        <v>294</v>
      </c>
      <c r="F58" s="15" t="s">
        <v>295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ht="15.75" customHeight="1">
      <c r="A59" s="12" t="s">
        <v>296</v>
      </c>
      <c r="B59" s="13">
        <v>3.0</v>
      </c>
      <c r="C59" s="11" t="s">
        <v>297</v>
      </c>
      <c r="D59" s="4" t="s">
        <v>298</v>
      </c>
      <c r="E59" s="4" t="s">
        <v>299</v>
      </c>
      <c r="F59" s="14" t="s">
        <v>300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ht="15.75" customHeight="1">
      <c r="A60" s="12" t="s">
        <v>301</v>
      </c>
      <c r="B60" s="13">
        <v>4.0</v>
      </c>
      <c r="C60" s="12" t="s">
        <v>302</v>
      </c>
      <c r="D60" s="4" t="s">
        <v>303</v>
      </c>
      <c r="E60" s="4" t="s">
        <v>304</v>
      </c>
      <c r="F60" s="14" t="s">
        <v>305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ht="15.75" customHeight="1">
      <c r="A61" s="11"/>
      <c r="B61" s="19"/>
      <c r="C61" s="11"/>
      <c r="D61" s="20"/>
      <c r="E61" s="20"/>
      <c r="F61" s="20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ht="15.75" customHeight="1">
      <c r="A62" s="11"/>
      <c r="B62" s="19"/>
      <c r="C62" s="11"/>
      <c r="D62" s="20"/>
      <c r="E62" s="20"/>
      <c r="F62" s="20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ht="15.75" customHeight="1">
      <c r="A63" s="11"/>
      <c r="B63" s="19"/>
      <c r="C63" s="11"/>
      <c r="D63" s="20"/>
      <c r="E63" s="20"/>
      <c r="F63" s="20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ht="15.75" customHeight="1">
      <c r="A64" s="11"/>
      <c r="B64" s="19"/>
      <c r="C64" s="11"/>
      <c r="D64" s="20"/>
      <c r="E64" s="20"/>
      <c r="F64" s="20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ht="15.75" customHeight="1">
      <c r="A65" s="11"/>
      <c r="B65" s="19"/>
      <c r="C65" s="11"/>
      <c r="D65" s="20"/>
      <c r="E65" s="20"/>
      <c r="F65" s="20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ht="15.75" customHeight="1">
      <c r="A66" s="11"/>
      <c r="B66" s="19"/>
      <c r="C66" s="11"/>
      <c r="D66" s="20"/>
      <c r="E66" s="20"/>
      <c r="F66" s="20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ht="15.75" customHeight="1">
      <c r="A67" s="11"/>
      <c r="B67" s="19"/>
      <c r="C67" s="11"/>
      <c r="D67" s="20"/>
      <c r="E67" s="20"/>
      <c r="F67" s="20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ht="15.75" customHeight="1">
      <c r="A68" s="11"/>
      <c r="B68" s="19"/>
      <c r="C68" s="11"/>
      <c r="D68" s="20"/>
      <c r="E68" s="20"/>
      <c r="F68" s="2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ht="15.75" customHeight="1">
      <c r="A69" s="11"/>
      <c r="B69" s="19"/>
      <c r="C69" s="11"/>
      <c r="D69" s="20"/>
      <c r="E69" s="20"/>
      <c r="F69" s="20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ht="15.75" customHeight="1">
      <c r="A70" s="11"/>
      <c r="B70" s="19"/>
      <c r="C70" s="11"/>
      <c r="D70" s="20"/>
      <c r="E70" s="20"/>
      <c r="F70" s="20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ht="15.75" customHeight="1">
      <c r="A71" s="11"/>
      <c r="B71" s="19"/>
      <c r="C71" s="11"/>
      <c r="D71" s="20"/>
      <c r="E71" s="20"/>
      <c r="F71" s="20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ht="15.75" customHeight="1">
      <c r="A72" s="11"/>
      <c r="B72" s="19"/>
      <c r="C72" s="11"/>
      <c r="D72" s="20"/>
      <c r="E72" s="20"/>
      <c r="F72" s="20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ht="15.75" customHeight="1">
      <c r="A73" s="11"/>
      <c r="B73" s="19"/>
      <c r="C73" s="11"/>
      <c r="D73" s="20"/>
      <c r="E73" s="20"/>
      <c r="F73" s="20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ht="15.75" customHeight="1">
      <c r="A74" s="11"/>
      <c r="B74" s="19"/>
      <c r="C74" s="11"/>
      <c r="D74" s="20"/>
      <c r="E74" s="20"/>
      <c r="F74" s="20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ht="15.75" customHeight="1">
      <c r="A75" s="11"/>
      <c r="B75" s="19"/>
      <c r="C75" s="11"/>
      <c r="D75" s="20"/>
      <c r="E75" s="20"/>
      <c r="F75" s="20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ht="15.75" customHeight="1">
      <c r="A76" s="11"/>
      <c r="B76" s="19"/>
      <c r="C76" s="11"/>
      <c r="D76" s="20"/>
      <c r="E76" s="20"/>
      <c r="F76" s="2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ht="15.75" customHeight="1">
      <c r="A77" s="11"/>
      <c r="B77" s="19"/>
      <c r="C77" s="11"/>
      <c r="D77" s="20"/>
      <c r="E77" s="20"/>
      <c r="F77" s="20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ht="15.75" customHeight="1">
      <c r="A78" s="11"/>
      <c r="B78" s="19"/>
      <c r="C78" s="11"/>
      <c r="D78" s="20"/>
      <c r="E78" s="20"/>
      <c r="F78" s="2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ht="15.75" customHeight="1">
      <c r="A79" s="11"/>
      <c r="B79" s="19"/>
      <c r="C79" s="11"/>
      <c r="D79" s="20"/>
      <c r="E79" s="20"/>
      <c r="F79" s="2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ht="15.75" customHeight="1">
      <c r="A80" s="11"/>
      <c r="B80" s="19"/>
      <c r="C80" s="11"/>
      <c r="D80" s="20"/>
      <c r="E80" s="20"/>
      <c r="F80" s="20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ht="15.75" customHeight="1">
      <c r="A81" s="11"/>
      <c r="B81" s="19"/>
      <c r="C81" s="11"/>
      <c r="D81" s="20"/>
      <c r="E81" s="20"/>
      <c r="F81" s="20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ht="15.75" customHeight="1">
      <c r="A82" s="11"/>
      <c r="B82" s="19"/>
      <c r="C82" s="11"/>
      <c r="D82" s="20"/>
      <c r="E82" s="20"/>
      <c r="F82" s="20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ht="15.75" customHeight="1">
      <c r="A83" s="11"/>
      <c r="B83" s="19"/>
      <c r="C83" s="11"/>
      <c r="D83" s="20"/>
      <c r="E83" s="20"/>
      <c r="F83" s="20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ht="15.75" customHeight="1">
      <c r="A84" s="11"/>
      <c r="B84" s="19"/>
      <c r="C84" s="11"/>
      <c r="D84" s="20"/>
      <c r="E84" s="20"/>
      <c r="F84" s="20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ht="15.75" customHeight="1">
      <c r="A85" s="11"/>
      <c r="B85" s="19"/>
      <c r="C85" s="11"/>
      <c r="D85" s="20"/>
      <c r="E85" s="20"/>
      <c r="F85" s="20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ht="15.75" customHeight="1">
      <c r="A86" s="11"/>
      <c r="B86" s="19"/>
      <c r="C86" s="11"/>
      <c r="D86" s="20"/>
      <c r="E86" s="20"/>
      <c r="F86" s="20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ht="15.75" customHeight="1">
      <c r="A87" s="11"/>
      <c r="B87" s="19"/>
      <c r="C87" s="11"/>
      <c r="D87" s="20"/>
      <c r="E87" s="20"/>
      <c r="F87" s="20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ht="15.75" customHeight="1">
      <c r="A88" s="11"/>
      <c r="B88" s="19"/>
      <c r="C88" s="11"/>
      <c r="D88" s="20"/>
      <c r="E88" s="20"/>
      <c r="F88" s="20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ht="15.75" customHeight="1">
      <c r="A89" s="11"/>
      <c r="B89" s="19"/>
      <c r="C89" s="11"/>
      <c r="D89" s="20"/>
      <c r="E89" s="20"/>
      <c r="F89" s="2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ht="15.75" customHeight="1">
      <c r="A90" s="11"/>
      <c r="B90" s="19"/>
      <c r="C90" s="11"/>
      <c r="D90" s="20"/>
      <c r="E90" s="20"/>
      <c r="F90" s="20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ht="15.75" customHeight="1">
      <c r="A91" s="11"/>
      <c r="B91" s="19"/>
      <c r="C91" s="11"/>
      <c r="D91" s="20"/>
      <c r="E91" s="20"/>
      <c r="F91" s="20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ht="15.75" customHeight="1">
      <c r="A92" s="11"/>
      <c r="B92" s="19"/>
      <c r="C92" s="11"/>
      <c r="D92" s="20"/>
      <c r="E92" s="20"/>
      <c r="F92" s="20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ht="15.75" customHeight="1">
      <c r="A93" s="11"/>
      <c r="B93" s="19"/>
      <c r="C93" s="11"/>
      <c r="D93" s="20"/>
      <c r="E93" s="20"/>
      <c r="F93" s="20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ht="15.75" customHeight="1">
      <c r="A94" s="11"/>
      <c r="B94" s="19"/>
      <c r="C94" s="11"/>
      <c r="D94" s="20"/>
      <c r="E94" s="20"/>
      <c r="F94" s="20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ht="15.75" customHeight="1">
      <c r="A95" s="11"/>
      <c r="B95" s="19"/>
      <c r="C95" s="11"/>
      <c r="D95" s="20"/>
      <c r="E95" s="20"/>
      <c r="F95" s="20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ht="15.75" customHeight="1">
      <c r="A96" s="11"/>
      <c r="B96" s="19"/>
      <c r="C96" s="11"/>
      <c r="D96" s="20"/>
      <c r="E96" s="20"/>
      <c r="F96" s="20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ht="15.75" customHeight="1">
      <c r="A97" s="11"/>
      <c r="B97" s="19"/>
      <c r="C97" s="11"/>
      <c r="D97" s="20"/>
      <c r="E97" s="20"/>
      <c r="F97" s="20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ht="15.75" customHeight="1">
      <c r="A98" s="11"/>
      <c r="B98" s="19"/>
      <c r="C98" s="11"/>
      <c r="D98" s="20"/>
      <c r="E98" s="20"/>
      <c r="F98" s="20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ht="15.75" customHeight="1">
      <c r="A99" s="11"/>
      <c r="B99" s="19"/>
      <c r="C99" s="11"/>
      <c r="D99" s="20"/>
      <c r="E99" s="20"/>
      <c r="F99" s="2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ht="15.75" customHeight="1">
      <c r="A100" s="11"/>
      <c r="B100" s="19"/>
      <c r="C100" s="11"/>
      <c r="D100" s="20"/>
      <c r="E100" s="20"/>
      <c r="F100" s="20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ht="15.75" customHeight="1">
      <c r="A101" s="11"/>
      <c r="B101" s="19"/>
      <c r="C101" s="11"/>
      <c r="D101" s="20"/>
      <c r="E101" s="20"/>
      <c r="F101" s="2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ht="15.75" customHeight="1">
      <c r="A102" s="11"/>
      <c r="B102" s="19"/>
      <c r="C102" s="11"/>
      <c r="D102" s="20"/>
      <c r="E102" s="20"/>
      <c r="F102" s="20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ht="15.75" customHeight="1">
      <c r="A103" s="11"/>
      <c r="B103" s="19"/>
      <c r="C103" s="11"/>
      <c r="D103" s="20"/>
      <c r="E103" s="20"/>
      <c r="F103" s="20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ht="15.75" customHeight="1">
      <c r="A104" s="11"/>
      <c r="B104" s="19"/>
      <c r="C104" s="11"/>
      <c r="D104" s="20"/>
      <c r="E104" s="20"/>
      <c r="F104" s="20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ht="15.75" customHeight="1">
      <c r="A105" s="11"/>
      <c r="B105" s="19"/>
      <c r="C105" s="11"/>
      <c r="D105" s="20"/>
      <c r="E105" s="20"/>
      <c r="F105" s="20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ht="15.75" customHeight="1">
      <c r="A106" s="11"/>
      <c r="B106" s="19"/>
      <c r="C106" s="11"/>
      <c r="D106" s="20"/>
      <c r="E106" s="20"/>
      <c r="F106" s="20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ht="15.75" customHeight="1">
      <c r="A107" s="11"/>
      <c r="B107" s="19"/>
      <c r="C107" s="11"/>
      <c r="D107" s="20"/>
      <c r="E107" s="20"/>
      <c r="F107" s="20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ht="15.75" customHeight="1">
      <c r="A108" s="11"/>
      <c r="B108" s="19"/>
      <c r="C108" s="11"/>
      <c r="D108" s="20"/>
      <c r="E108" s="20"/>
      <c r="F108" s="20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ht="15.75" customHeight="1">
      <c r="A109" s="11"/>
      <c r="B109" s="19"/>
      <c r="C109" s="11"/>
      <c r="D109" s="20"/>
      <c r="E109" s="20"/>
      <c r="F109" s="20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ht="15.75" customHeight="1">
      <c r="A110" s="11"/>
      <c r="B110" s="19"/>
      <c r="C110" s="11"/>
      <c r="D110" s="20"/>
      <c r="E110" s="20"/>
      <c r="F110" s="20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ht="15.75" customHeight="1">
      <c r="A111" s="11"/>
      <c r="B111" s="19"/>
      <c r="C111" s="11"/>
      <c r="D111" s="20"/>
      <c r="E111" s="20"/>
      <c r="F111" s="20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ht="15.75" customHeight="1">
      <c r="A112" s="11"/>
      <c r="B112" s="19"/>
      <c r="C112" s="11"/>
      <c r="D112" s="20"/>
      <c r="E112" s="20"/>
      <c r="F112" s="2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ht="15.75" customHeight="1">
      <c r="A113" s="11"/>
      <c r="B113" s="19"/>
      <c r="C113" s="11"/>
      <c r="D113" s="20"/>
      <c r="E113" s="20"/>
      <c r="F113" s="20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ht="15.75" customHeight="1">
      <c r="A114" s="11"/>
      <c r="B114" s="19"/>
      <c r="C114" s="11"/>
      <c r="D114" s="20"/>
      <c r="E114" s="20"/>
      <c r="F114" s="20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ht="15.75" customHeight="1">
      <c r="A115" s="11"/>
      <c r="B115" s="19"/>
      <c r="C115" s="11"/>
      <c r="D115" s="20"/>
      <c r="E115" s="20"/>
      <c r="F115" s="20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ht="15.75" customHeight="1">
      <c r="A116" s="11"/>
      <c r="B116" s="19"/>
      <c r="C116" s="11"/>
      <c r="D116" s="20"/>
      <c r="E116" s="20"/>
      <c r="F116" s="20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ht="15.75" customHeight="1">
      <c r="A117" s="11"/>
      <c r="B117" s="19"/>
      <c r="C117" s="11"/>
      <c r="D117" s="20"/>
      <c r="E117" s="20"/>
      <c r="F117" s="20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ht="15.75" customHeight="1">
      <c r="A118" s="11"/>
      <c r="B118" s="19"/>
      <c r="C118" s="11"/>
      <c r="D118" s="20"/>
      <c r="E118" s="20"/>
      <c r="F118" s="20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ht="15.75" customHeight="1">
      <c r="A119" s="11"/>
      <c r="B119" s="19"/>
      <c r="C119" s="11"/>
      <c r="D119" s="20"/>
      <c r="E119" s="20"/>
      <c r="F119" s="20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ht="15.75" customHeight="1">
      <c r="A120" s="11"/>
      <c r="B120" s="19"/>
      <c r="C120" s="11"/>
      <c r="D120" s="20"/>
      <c r="E120" s="20"/>
      <c r="F120" s="20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ht="15.75" customHeight="1">
      <c r="A121" s="11"/>
      <c r="B121" s="19"/>
      <c r="C121" s="11"/>
      <c r="D121" s="20"/>
      <c r="E121" s="20"/>
      <c r="F121" s="20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ht="15.75" customHeight="1">
      <c r="A122" s="11"/>
      <c r="B122" s="19"/>
      <c r="C122" s="11"/>
      <c r="D122" s="20"/>
      <c r="E122" s="20"/>
      <c r="F122" s="20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ht="15.75" customHeight="1">
      <c r="A123" s="11"/>
      <c r="B123" s="19"/>
      <c r="C123" s="11"/>
      <c r="D123" s="20"/>
      <c r="E123" s="20"/>
      <c r="F123" s="2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ht="15.75" customHeight="1">
      <c r="A124" s="11"/>
      <c r="B124" s="19"/>
      <c r="C124" s="11"/>
      <c r="D124" s="20"/>
      <c r="E124" s="20"/>
      <c r="F124" s="20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ht="15.75" customHeight="1">
      <c r="A125" s="11"/>
      <c r="B125" s="19"/>
      <c r="C125" s="11"/>
      <c r="D125" s="20"/>
      <c r="E125" s="20"/>
      <c r="F125" s="2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ht="15.75" customHeight="1">
      <c r="A126" s="11"/>
      <c r="B126" s="19"/>
      <c r="C126" s="11"/>
      <c r="D126" s="20"/>
      <c r="E126" s="20"/>
      <c r="F126" s="20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ht="15.75" customHeight="1">
      <c r="A127" s="11"/>
      <c r="B127" s="19"/>
      <c r="C127" s="11"/>
      <c r="D127" s="20"/>
      <c r="E127" s="20"/>
      <c r="F127" s="20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ht="15.75" customHeight="1">
      <c r="A128" s="11"/>
      <c r="B128" s="19"/>
      <c r="C128" s="11"/>
      <c r="D128" s="20"/>
      <c r="E128" s="20"/>
      <c r="F128" s="20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ht="15.75" customHeight="1">
      <c r="A129" s="11"/>
      <c r="B129" s="19"/>
      <c r="C129" s="11"/>
      <c r="D129" s="20"/>
      <c r="E129" s="20"/>
      <c r="F129" s="20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ht="15.75" customHeight="1">
      <c r="A130" s="11"/>
      <c r="B130" s="19"/>
      <c r="C130" s="11"/>
      <c r="D130" s="20"/>
      <c r="E130" s="20"/>
      <c r="F130" s="20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ht="15.75" customHeight="1">
      <c r="A131" s="11"/>
      <c r="B131" s="19"/>
      <c r="C131" s="11"/>
      <c r="D131" s="20"/>
      <c r="E131" s="20"/>
      <c r="F131" s="20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ht="15.75" customHeight="1">
      <c r="A132" s="11"/>
      <c r="B132" s="19"/>
      <c r="C132" s="11"/>
      <c r="D132" s="20"/>
      <c r="E132" s="20"/>
      <c r="F132" s="20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ht="15.75" customHeight="1">
      <c r="A133" s="11"/>
      <c r="B133" s="19"/>
      <c r="C133" s="11"/>
      <c r="D133" s="20"/>
      <c r="E133" s="20"/>
      <c r="F133" s="20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ht="15.75" customHeight="1">
      <c r="A134" s="11"/>
      <c r="B134" s="19"/>
      <c r="C134" s="11"/>
      <c r="D134" s="20"/>
      <c r="E134" s="20"/>
      <c r="F134" s="20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ht="15.75" customHeight="1">
      <c r="A135" s="11"/>
      <c r="B135" s="19"/>
      <c r="C135" s="11"/>
      <c r="D135" s="20"/>
      <c r="E135" s="20"/>
      <c r="F135" s="20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ht="15.75" customHeight="1">
      <c r="A136" s="11"/>
      <c r="B136" s="19"/>
      <c r="C136" s="11"/>
      <c r="D136" s="20"/>
      <c r="E136" s="20"/>
      <c r="F136" s="20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ht="15.75" customHeight="1">
      <c r="A137" s="11"/>
      <c r="B137" s="19"/>
      <c r="C137" s="11"/>
      <c r="D137" s="20"/>
      <c r="E137" s="20"/>
      <c r="F137" s="20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ht="15.75" customHeight="1">
      <c r="A138" s="11"/>
      <c r="B138" s="19"/>
      <c r="C138" s="11"/>
      <c r="D138" s="20"/>
      <c r="E138" s="20"/>
      <c r="F138" s="20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ht="15.75" customHeight="1">
      <c r="A139" s="11"/>
      <c r="B139" s="19"/>
      <c r="C139" s="11"/>
      <c r="D139" s="20"/>
      <c r="E139" s="20"/>
      <c r="F139" s="20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ht="15.75" customHeight="1">
      <c r="A140" s="11"/>
      <c r="B140" s="19"/>
      <c r="C140" s="11"/>
      <c r="D140" s="20"/>
      <c r="E140" s="20"/>
      <c r="F140" s="2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ht="15.75" customHeight="1">
      <c r="A141" s="11"/>
      <c r="B141" s="19"/>
      <c r="C141" s="11"/>
      <c r="D141" s="20"/>
      <c r="E141" s="20"/>
      <c r="F141" s="20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ht="15.75" customHeight="1">
      <c r="A142" s="11"/>
      <c r="B142" s="19"/>
      <c r="C142" s="11"/>
      <c r="D142" s="20"/>
      <c r="E142" s="20"/>
      <c r="F142" s="20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ht="15.75" customHeight="1">
      <c r="A143" s="11"/>
      <c r="B143" s="19"/>
      <c r="C143" s="11"/>
      <c r="D143" s="20"/>
      <c r="E143" s="20"/>
      <c r="F143" s="20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ht="15.75" customHeight="1">
      <c r="A144" s="11"/>
      <c r="B144" s="19"/>
      <c r="C144" s="11"/>
      <c r="D144" s="20"/>
      <c r="E144" s="20"/>
      <c r="F144" s="20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ht="15.75" customHeight="1">
      <c r="A145" s="11"/>
      <c r="B145" s="19"/>
      <c r="C145" s="11"/>
      <c r="D145" s="20"/>
      <c r="E145" s="20"/>
      <c r="F145" s="20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ht="15.75" customHeight="1">
      <c r="A146" s="11"/>
      <c r="B146" s="19"/>
      <c r="C146" s="11"/>
      <c r="D146" s="20"/>
      <c r="E146" s="20"/>
      <c r="F146" s="20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ht="15.75" customHeight="1">
      <c r="A147" s="11"/>
      <c r="B147" s="19"/>
      <c r="C147" s="11"/>
      <c r="D147" s="20"/>
      <c r="E147" s="20"/>
      <c r="F147" s="20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ht="15.75" customHeight="1">
      <c r="A148" s="11"/>
      <c r="B148" s="19"/>
      <c r="C148" s="11"/>
      <c r="D148" s="20"/>
      <c r="E148" s="20"/>
      <c r="F148" s="20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ht="15.75" customHeight="1">
      <c r="A149" s="11"/>
      <c r="B149" s="19"/>
      <c r="C149" s="11"/>
      <c r="D149" s="20"/>
      <c r="E149" s="20"/>
      <c r="F149" s="20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ht="15.75" customHeight="1">
      <c r="A150" s="11"/>
      <c r="B150" s="19"/>
      <c r="C150" s="11"/>
      <c r="D150" s="20"/>
      <c r="E150" s="20"/>
      <c r="F150" s="20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ht="15.75" customHeight="1">
      <c r="A151" s="11"/>
      <c r="B151" s="19"/>
      <c r="C151" s="11"/>
      <c r="D151" s="20"/>
      <c r="E151" s="20"/>
      <c r="F151" s="20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ht="15.75" customHeight="1">
      <c r="A152" s="11"/>
      <c r="B152" s="19"/>
      <c r="C152" s="11"/>
      <c r="D152" s="20"/>
      <c r="E152" s="20"/>
      <c r="F152" s="20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ht="15.75" customHeight="1">
      <c r="A153" s="11"/>
      <c r="B153" s="19"/>
      <c r="C153" s="11"/>
      <c r="D153" s="20"/>
      <c r="E153" s="20"/>
      <c r="F153" s="20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ht="15.75" customHeight="1">
      <c r="A154" s="11"/>
      <c r="B154" s="19"/>
      <c r="C154" s="11"/>
      <c r="D154" s="20"/>
      <c r="E154" s="20"/>
      <c r="F154" s="20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ht="15.75" customHeight="1">
      <c r="A155" s="11"/>
      <c r="B155" s="19"/>
      <c r="C155" s="11"/>
      <c r="D155" s="20"/>
      <c r="E155" s="20"/>
      <c r="F155" s="20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ht="15.75" customHeight="1">
      <c r="A156" s="11"/>
      <c r="B156" s="19"/>
      <c r="C156" s="11"/>
      <c r="D156" s="20"/>
      <c r="E156" s="20"/>
      <c r="F156" s="20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ht="15.75" customHeight="1">
      <c r="A157" s="11"/>
      <c r="B157" s="19"/>
      <c r="C157" s="11"/>
      <c r="D157" s="20"/>
      <c r="E157" s="20"/>
      <c r="F157" s="20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ht="15.75" customHeight="1">
      <c r="A158" s="11"/>
      <c r="B158" s="19"/>
      <c r="C158" s="11"/>
      <c r="D158" s="20"/>
      <c r="E158" s="20"/>
      <c r="F158" s="20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ht="15.75" customHeight="1">
      <c r="A159" s="11"/>
      <c r="B159" s="19"/>
      <c r="C159" s="11"/>
      <c r="D159" s="20"/>
      <c r="E159" s="20"/>
      <c r="F159" s="20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ht="15.75" customHeight="1">
      <c r="A160" s="11"/>
      <c r="B160" s="19"/>
      <c r="C160" s="11"/>
      <c r="D160" s="20"/>
      <c r="E160" s="20"/>
      <c r="F160" s="20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ht="15.75" customHeight="1">
      <c r="A161" s="11"/>
      <c r="B161" s="19"/>
      <c r="C161" s="11"/>
      <c r="D161" s="20"/>
      <c r="E161" s="20"/>
      <c r="F161" s="20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ht="15.75" customHeight="1">
      <c r="A162" s="11"/>
      <c r="B162" s="19"/>
      <c r="C162" s="11"/>
      <c r="D162" s="20"/>
      <c r="E162" s="20"/>
      <c r="F162" s="20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ht="15.75" customHeight="1">
      <c r="A163" s="11"/>
      <c r="B163" s="19"/>
      <c r="C163" s="11"/>
      <c r="D163" s="20"/>
      <c r="E163" s="20"/>
      <c r="F163" s="20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ht="15.75" customHeight="1">
      <c r="A164" s="11"/>
      <c r="B164" s="19"/>
      <c r="C164" s="11"/>
      <c r="D164" s="20"/>
      <c r="E164" s="20"/>
      <c r="F164" s="20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ht="15.75" customHeight="1">
      <c r="A165" s="11"/>
      <c r="B165" s="19"/>
      <c r="C165" s="11"/>
      <c r="D165" s="20"/>
      <c r="E165" s="20"/>
      <c r="F165" s="20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ht="15.75" customHeight="1">
      <c r="A166" s="11"/>
      <c r="B166" s="19"/>
      <c r="C166" s="11"/>
      <c r="D166" s="20"/>
      <c r="E166" s="20"/>
      <c r="F166" s="20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ht="15.75" customHeight="1">
      <c r="A167" s="11"/>
      <c r="B167" s="19"/>
      <c r="C167" s="11"/>
      <c r="D167" s="20"/>
      <c r="E167" s="20"/>
      <c r="F167" s="20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ht="15.75" customHeight="1">
      <c r="A168" s="11"/>
      <c r="B168" s="19"/>
      <c r="C168" s="11"/>
      <c r="D168" s="20"/>
      <c r="E168" s="20"/>
      <c r="F168" s="20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ht="15.75" customHeight="1">
      <c r="A169" s="11"/>
      <c r="B169" s="19"/>
      <c r="C169" s="11"/>
      <c r="D169" s="20"/>
      <c r="E169" s="20"/>
      <c r="F169" s="20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ht="15.75" customHeight="1">
      <c r="A170" s="11"/>
      <c r="B170" s="19"/>
      <c r="C170" s="11"/>
      <c r="D170" s="20"/>
      <c r="E170" s="20"/>
      <c r="F170" s="20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ht="15.75" customHeight="1">
      <c r="A171" s="11"/>
      <c r="B171" s="19"/>
      <c r="C171" s="11"/>
      <c r="D171" s="20"/>
      <c r="E171" s="20"/>
      <c r="F171" s="20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ht="15.75" customHeight="1">
      <c r="A172" s="11"/>
      <c r="B172" s="19"/>
      <c r="C172" s="11"/>
      <c r="D172" s="20"/>
      <c r="E172" s="20"/>
      <c r="F172" s="20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ht="15.75" customHeight="1">
      <c r="A173" s="11"/>
      <c r="B173" s="19"/>
      <c r="C173" s="11"/>
      <c r="D173" s="20"/>
      <c r="E173" s="20"/>
      <c r="F173" s="20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ht="15.75" customHeight="1">
      <c r="A174" s="11"/>
      <c r="B174" s="19"/>
      <c r="C174" s="11"/>
      <c r="D174" s="20"/>
      <c r="E174" s="20"/>
      <c r="F174" s="20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ht="15.75" customHeight="1">
      <c r="A175" s="11"/>
      <c r="B175" s="19"/>
      <c r="C175" s="11"/>
      <c r="D175" s="20"/>
      <c r="E175" s="20"/>
      <c r="F175" s="20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ht="15.75" customHeight="1">
      <c r="A176" s="11"/>
      <c r="B176" s="19"/>
      <c r="C176" s="11"/>
      <c r="D176" s="20"/>
      <c r="E176" s="20"/>
      <c r="F176" s="20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ht="15.75" customHeight="1">
      <c r="A177" s="11"/>
      <c r="B177" s="19"/>
      <c r="C177" s="11"/>
      <c r="D177" s="20"/>
      <c r="E177" s="20"/>
      <c r="F177" s="20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ht="15.75" customHeight="1">
      <c r="A178" s="11"/>
      <c r="B178" s="19"/>
      <c r="C178" s="11"/>
      <c r="D178" s="20"/>
      <c r="E178" s="20"/>
      <c r="F178" s="20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ht="15.75" customHeight="1">
      <c r="A179" s="11"/>
      <c r="B179" s="19"/>
      <c r="C179" s="11"/>
      <c r="D179" s="20"/>
      <c r="E179" s="20"/>
      <c r="F179" s="20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ht="15.75" customHeight="1">
      <c r="A180" s="11"/>
      <c r="B180" s="19"/>
      <c r="C180" s="11"/>
      <c r="D180" s="20"/>
      <c r="E180" s="20"/>
      <c r="F180" s="20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ht="15.75" customHeight="1">
      <c r="A181" s="11"/>
      <c r="B181" s="19"/>
      <c r="C181" s="11"/>
      <c r="D181" s="20"/>
      <c r="E181" s="20"/>
      <c r="F181" s="20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ht="15.75" customHeight="1">
      <c r="A182" s="11"/>
      <c r="B182" s="19"/>
      <c r="C182" s="11"/>
      <c r="D182" s="20"/>
      <c r="E182" s="20"/>
      <c r="F182" s="20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ht="15.75" customHeight="1">
      <c r="A183" s="11"/>
      <c r="B183" s="19"/>
      <c r="C183" s="11"/>
      <c r="D183" s="20"/>
      <c r="E183" s="20"/>
      <c r="F183" s="20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ht="15.75" customHeight="1">
      <c r="A184" s="11"/>
      <c r="B184" s="19"/>
      <c r="C184" s="11"/>
      <c r="D184" s="20"/>
      <c r="E184" s="20"/>
      <c r="F184" s="20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ht="15.75" customHeight="1">
      <c r="A185" s="11"/>
      <c r="B185" s="19"/>
      <c r="C185" s="11"/>
      <c r="D185" s="20"/>
      <c r="E185" s="20"/>
      <c r="F185" s="20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ht="15.75" customHeight="1">
      <c r="A186" s="11"/>
      <c r="B186" s="19"/>
      <c r="C186" s="11"/>
      <c r="D186" s="20"/>
      <c r="E186" s="20"/>
      <c r="F186" s="20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ht="15.75" customHeight="1">
      <c r="A187" s="11"/>
      <c r="B187" s="19"/>
      <c r="C187" s="11"/>
      <c r="D187" s="20"/>
      <c r="E187" s="20"/>
      <c r="F187" s="20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ht="15.75" customHeight="1">
      <c r="A188" s="11"/>
      <c r="B188" s="19"/>
      <c r="C188" s="11"/>
      <c r="D188" s="20"/>
      <c r="E188" s="20"/>
      <c r="F188" s="20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ht="15.75" customHeight="1">
      <c r="A189" s="11"/>
      <c r="B189" s="19"/>
      <c r="C189" s="11"/>
      <c r="D189" s="20"/>
      <c r="E189" s="20"/>
      <c r="F189" s="20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ht="15.75" customHeight="1">
      <c r="A190" s="11"/>
      <c r="B190" s="19"/>
      <c r="C190" s="11"/>
      <c r="D190" s="20"/>
      <c r="E190" s="20"/>
      <c r="F190" s="20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ht="15.75" customHeight="1">
      <c r="A191" s="11"/>
      <c r="B191" s="19"/>
      <c r="C191" s="11"/>
      <c r="D191" s="20"/>
      <c r="E191" s="20"/>
      <c r="F191" s="20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ht="15.75" customHeight="1">
      <c r="A192" s="11"/>
      <c r="B192" s="19"/>
      <c r="C192" s="11"/>
      <c r="D192" s="20"/>
      <c r="E192" s="20"/>
      <c r="F192" s="20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ht="15.75" customHeight="1">
      <c r="A193" s="11"/>
      <c r="B193" s="19"/>
      <c r="C193" s="11"/>
      <c r="D193" s="20"/>
      <c r="E193" s="20"/>
      <c r="F193" s="20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ht="15.75" customHeight="1">
      <c r="A194" s="11"/>
      <c r="B194" s="19"/>
      <c r="C194" s="11"/>
      <c r="D194" s="20"/>
      <c r="E194" s="20"/>
      <c r="F194" s="20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ht="15.75" customHeight="1">
      <c r="A195" s="11"/>
      <c r="B195" s="19"/>
      <c r="C195" s="11"/>
      <c r="D195" s="20"/>
      <c r="E195" s="20"/>
      <c r="F195" s="20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ht="15.75" customHeight="1">
      <c r="A196" s="11"/>
      <c r="B196" s="19"/>
      <c r="C196" s="11"/>
      <c r="D196" s="20"/>
      <c r="E196" s="20"/>
      <c r="F196" s="20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ht="15.75" customHeight="1">
      <c r="A197" s="11"/>
      <c r="B197" s="19"/>
      <c r="C197" s="11"/>
      <c r="D197" s="20"/>
      <c r="E197" s="20"/>
      <c r="F197" s="20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ht="15.75" customHeight="1">
      <c r="A198" s="11"/>
      <c r="B198" s="19"/>
      <c r="C198" s="11"/>
      <c r="D198" s="20"/>
      <c r="E198" s="20"/>
      <c r="F198" s="20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ht="15.75" customHeight="1">
      <c r="A199" s="11"/>
      <c r="B199" s="19"/>
      <c r="C199" s="11"/>
      <c r="D199" s="20"/>
      <c r="E199" s="20"/>
      <c r="F199" s="20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ht="15.75" customHeight="1">
      <c r="A200" s="11"/>
      <c r="B200" s="19"/>
      <c r="C200" s="11"/>
      <c r="D200" s="20"/>
      <c r="E200" s="20"/>
      <c r="F200" s="20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ht="15.75" customHeight="1">
      <c r="A201" s="11"/>
      <c r="B201" s="19"/>
      <c r="C201" s="11"/>
      <c r="D201" s="20"/>
      <c r="E201" s="20"/>
      <c r="F201" s="20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ht="15.75" customHeight="1">
      <c r="A202" s="11"/>
      <c r="B202" s="19"/>
      <c r="C202" s="11"/>
      <c r="D202" s="20"/>
      <c r="E202" s="20"/>
      <c r="F202" s="20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ht="15.75" customHeight="1">
      <c r="A203" s="11"/>
      <c r="B203" s="19"/>
      <c r="C203" s="11"/>
      <c r="D203" s="20"/>
      <c r="E203" s="20"/>
      <c r="F203" s="20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ht="15.75" customHeight="1">
      <c r="A204" s="11"/>
      <c r="B204" s="19"/>
      <c r="C204" s="11"/>
      <c r="D204" s="20"/>
      <c r="E204" s="20"/>
      <c r="F204" s="20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ht="15.75" customHeight="1">
      <c r="A205" s="11"/>
      <c r="B205" s="19"/>
      <c r="C205" s="11"/>
      <c r="D205" s="20"/>
      <c r="E205" s="20"/>
      <c r="F205" s="20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ht="15.75" customHeight="1">
      <c r="A206" s="11"/>
      <c r="B206" s="19"/>
      <c r="C206" s="11"/>
      <c r="D206" s="20"/>
      <c r="E206" s="20"/>
      <c r="F206" s="20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ht="15.75" customHeight="1">
      <c r="A207" s="11"/>
      <c r="B207" s="19"/>
      <c r="C207" s="11"/>
      <c r="D207" s="20"/>
      <c r="E207" s="20"/>
      <c r="F207" s="20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ht="15.75" customHeight="1">
      <c r="A208" s="11"/>
      <c r="B208" s="19"/>
      <c r="C208" s="11"/>
      <c r="D208" s="20"/>
      <c r="E208" s="20"/>
      <c r="F208" s="20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ht="15.75" customHeight="1">
      <c r="A209" s="11"/>
      <c r="B209" s="19"/>
      <c r="C209" s="11"/>
      <c r="D209" s="20"/>
      <c r="E209" s="20"/>
      <c r="F209" s="20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ht="15.75" customHeight="1">
      <c r="A210" s="11"/>
      <c r="B210" s="19"/>
      <c r="C210" s="11"/>
      <c r="D210" s="20"/>
      <c r="E210" s="20"/>
      <c r="F210" s="20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ht="15.75" customHeight="1">
      <c r="A211" s="11"/>
      <c r="B211" s="19"/>
      <c r="C211" s="11"/>
      <c r="D211" s="20"/>
      <c r="E211" s="20"/>
      <c r="F211" s="20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ht="15.75" customHeight="1">
      <c r="A212" s="11"/>
      <c r="B212" s="19"/>
      <c r="C212" s="11"/>
      <c r="D212" s="20"/>
      <c r="E212" s="20"/>
      <c r="F212" s="20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ht="15.75" customHeight="1">
      <c r="A213" s="11"/>
      <c r="B213" s="19"/>
      <c r="C213" s="11"/>
      <c r="D213" s="20"/>
      <c r="E213" s="20"/>
      <c r="F213" s="20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ht="15.75" customHeight="1">
      <c r="A214" s="11"/>
      <c r="B214" s="19"/>
      <c r="C214" s="11"/>
      <c r="D214" s="20"/>
      <c r="E214" s="20"/>
      <c r="F214" s="20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ht="15.75" customHeight="1">
      <c r="A215" s="11"/>
      <c r="B215" s="19"/>
      <c r="C215" s="11"/>
      <c r="D215" s="20"/>
      <c r="E215" s="20"/>
      <c r="F215" s="20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ht="15.75" customHeight="1">
      <c r="A216" s="11"/>
      <c r="B216" s="19"/>
      <c r="C216" s="11"/>
      <c r="D216" s="20"/>
      <c r="E216" s="20"/>
      <c r="F216" s="20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ht="15.75" customHeight="1">
      <c r="A217" s="11"/>
      <c r="B217" s="19"/>
      <c r="C217" s="11"/>
      <c r="D217" s="20"/>
      <c r="E217" s="20"/>
      <c r="F217" s="20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ht="15.75" customHeight="1">
      <c r="A218" s="11"/>
      <c r="B218" s="19"/>
      <c r="C218" s="11"/>
      <c r="D218" s="20"/>
      <c r="E218" s="20"/>
      <c r="F218" s="20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ht="15.75" customHeight="1">
      <c r="A219" s="11"/>
      <c r="B219" s="19"/>
      <c r="C219" s="11"/>
      <c r="D219" s="20"/>
      <c r="E219" s="20"/>
      <c r="F219" s="20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ht="15.75" customHeight="1">
      <c r="A220" s="11"/>
      <c r="B220" s="19"/>
      <c r="C220" s="11"/>
      <c r="D220" s="20"/>
      <c r="E220" s="20"/>
      <c r="F220" s="20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ht="15.75" customHeight="1">
      <c r="A221" s="11"/>
      <c r="B221" s="19"/>
      <c r="C221" s="11"/>
      <c r="D221" s="20"/>
      <c r="E221" s="20"/>
      <c r="F221" s="20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ht="15.75" customHeight="1">
      <c r="A222" s="11"/>
      <c r="B222" s="19"/>
      <c r="C222" s="11"/>
      <c r="D222" s="20"/>
      <c r="E222" s="20"/>
      <c r="F222" s="20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ht="15.75" customHeight="1">
      <c r="A223" s="11"/>
      <c r="B223" s="19"/>
      <c r="C223" s="11"/>
      <c r="D223" s="20"/>
      <c r="E223" s="20"/>
      <c r="F223" s="20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ht="15.75" customHeight="1">
      <c r="A224" s="11"/>
      <c r="B224" s="19"/>
      <c r="C224" s="11"/>
      <c r="D224" s="20"/>
      <c r="E224" s="20"/>
      <c r="F224" s="20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ht="15.75" customHeight="1">
      <c r="A225" s="11"/>
      <c r="B225" s="19"/>
      <c r="C225" s="11"/>
      <c r="D225" s="20"/>
      <c r="E225" s="20"/>
      <c r="F225" s="20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ht="15.75" customHeight="1">
      <c r="A226" s="11"/>
      <c r="B226" s="19"/>
      <c r="C226" s="11"/>
      <c r="D226" s="20"/>
      <c r="E226" s="20"/>
      <c r="F226" s="20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ht="15.75" customHeight="1">
      <c r="A227" s="11"/>
      <c r="B227" s="19"/>
      <c r="C227" s="11"/>
      <c r="D227" s="20"/>
      <c r="E227" s="20"/>
      <c r="F227" s="20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ht="15.75" customHeight="1">
      <c r="A228" s="11"/>
      <c r="B228" s="19"/>
      <c r="C228" s="11"/>
      <c r="D228" s="20"/>
      <c r="E228" s="20"/>
      <c r="F228" s="20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ht="15.75" customHeight="1">
      <c r="A229" s="11"/>
      <c r="B229" s="19"/>
      <c r="C229" s="11"/>
      <c r="D229" s="20"/>
      <c r="E229" s="20"/>
      <c r="F229" s="20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ht="15.75" customHeight="1">
      <c r="A230" s="11"/>
      <c r="B230" s="19"/>
      <c r="C230" s="11"/>
      <c r="D230" s="20"/>
      <c r="E230" s="20"/>
      <c r="F230" s="20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ht="15.75" customHeight="1">
      <c r="A231" s="11"/>
      <c r="B231" s="19"/>
      <c r="C231" s="11"/>
      <c r="D231" s="20"/>
      <c r="E231" s="20"/>
      <c r="F231" s="20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ht="15.75" customHeight="1">
      <c r="A232" s="11"/>
      <c r="B232" s="19"/>
      <c r="C232" s="11"/>
      <c r="D232" s="20"/>
      <c r="E232" s="20"/>
      <c r="F232" s="20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ht="15.75" customHeight="1">
      <c r="A233" s="11"/>
      <c r="B233" s="19"/>
      <c r="C233" s="11"/>
      <c r="D233" s="20"/>
      <c r="E233" s="20"/>
      <c r="F233" s="20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ht="15.75" customHeight="1">
      <c r="A234" s="11"/>
      <c r="B234" s="19"/>
      <c r="C234" s="11"/>
      <c r="D234" s="20"/>
      <c r="E234" s="20"/>
      <c r="F234" s="20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ht="15.75" customHeight="1">
      <c r="A235" s="11"/>
      <c r="B235" s="19"/>
      <c r="C235" s="11"/>
      <c r="D235" s="20"/>
      <c r="E235" s="20"/>
      <c r="F235" s="20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ht="15.75" customHeight="1">
      <c r="A236" s="11"/>
      <c r="B236" s="19"/>
      <c r="C236" s="11"/>
      <c r="D236" s="20"/>
      <c r="E236" s="20"/>
      <c r="F236" s="20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ht="15.75" customHeight="1">
      <c r="A237" s="11"/>
      <c r="B237" s="19"/>
      <c r="C237" s="11"/>
      <c r="D237" s="20"/>
      <c r="E237" s="20"/>
      <c r="F237" s="20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ht="15.75" customHeight="1">
      <c r="A238" s="11"/>
      <c r="B238" s="19"/>
      <c r="C238" s="11"/>
      <c r="D238" s="20"/>
      <c r="E238" s="20"/>
      <c r="F238" s="20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ht="15.75" customHeight="1">
      <c r="A239" s="11"/>
      <c r="B239" s="19"/>
      <c r="C239" s="11"/>
      <c r="D239" s="20"/>
      <c r="E239" s="20"/>
      <c r="F239" s="20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ht="15.75" customHeight="1">
      <c r="A240" s="11"/>
      <c r="B240" s="19"/>
      <c r="C240" s="11"/>
      <c r="D240" s="20"/>
      <c r="E240" s="20"/>
      <c r="F240" s="20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ht="15.75" customHeight="1">
      <c r="A241" s="11"/>
      <c r="B241" s="19"/>
      <c r="C241" s="11"/>
      <c r="D241" s="20"/>
      <c r="E241" s="20"/>
      <c r="F241" s="20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ht="15.75" customHeight="1">
      <c r="A242" s="11"/>
      <c r="B242" s="19"/>
      <c r="C242" s="11"/>
      <c r="D242" s="20"/>
      <c r="E242" s="20"/>
      <c r="F242" s="20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ht="15.75" customHeight="1">
      <c r="A243" s="11"/>
      <c r="B243" s="19"/>
      <c r="C243" s="11"/>
      <c r="D243" s="20"/>
      <c r="E243" s="20"/>
      <c r="F243" s="20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ht="15.75" customHeight="1">
      <c r="A244" s="11"/>
      <c r="B244" s="19"/>
      <c r="C244" s="11"/>
      <c r="D244" s="20"/>
      <c r="E244" s="20"/>
      <c r="F244" s="20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ht="15.75" customHeight="1">
      <c r="A245" s="11"/>
      <c r="B245" s="19"/>
      <c r="C245" s="11"/>
      <c r="D245" s="20"/>
      <c r="E245" s="20"/>
      <c r="F245" s="20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ht="15.75" customHeight="1">
      <c r="A246" s="11"/>
      <c r="B246" s="19"/>
      <c r="C246" s="11"/>
      <c r="D246" s="20"/>
      <c r="E246" s="20"/>
      <c r="F246" s="20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ht="15.75" customHeight="1">
      <c r="A247" s="11"/>
      <c r="B247" s="19"/>
      <c r="C247" s="11"/>
      <c r="D247" s="20"/>
      <c r="E247" s="20"/>
      <c r="F247" s="20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ht="15.75" customHeight="1">
      <c r="A248" s="11"/>
      <c r="B248" s="19"/>
      <c r="C248" s="11"/>
      <c r="D248" s="20"/>
      <c r="E248" s="20"/>
      <c r="F248" s="20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ht="15.75" customHeight="1">
      <c r="A249" s="11"/>
      <c r="B249" s="19"/>
      <c r="C249" s="11"/>
      <c r="D249" s="20"/>
      <c r="E249" s="20"/>
      <c r="F249" s="20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ht="15.75" customHeight="1">
      <c r="A250" s="11"/>
      <c r="B250" s="19"/>
      <c r="C250" s="11"/>
      <c r="D250" s="20"/>
      <c r="E250" s="20"/>
      <c r="F250" s="20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ht="15.75" customHeight="1">
      <c r="A251" s="11"/>
      <c r="B251" s="19"/>
      <c r="C251" s="11"/>
      <c r="D251" s="20"/>
      <c r="E251" s="20"/>
      <c r="F251" s="20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ht="15.75" customHeight="1">
      <c r="A252" s="11"/>
      <c r="B252" s="19"/>
      <c r="C252" s="11"/>
      <c r="D252" s="20"/>
      <c r="E252" s="20"/>
      <c r="F252" s="20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ht="15.75" customHeight="1">
      <c r="A253" s="11"/>
      <c r="B253" s="19"/>
      <c r="C253" s="11"/>
      <c r="D253" s="20"/>
      <c r="E253" s="20"/>
      <c r="F253" s="20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ht="15.75" customHeight="1">
      <c r="A254" s="11"/>
      <c r="B254" s="19"/>
      <c r="C254" s="11"/>
      <c r="D254" s="20"/>
      <c r="E254" s="20"/>
      <c r="F254" s="20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ht="15.75" customHeight="1">
      <c r="A255" s="11"/>
      <c r="B255" s="19"/>
      <c r="C255" s="11"/>
      <c r="D255" s="20"/>
      <c r="E255" s="20"/>
      <c r="F255" s="20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ht="15.75" customHeight="1">
      <c r="A256" s="11"/>
      <c r="B256" s="19"/>
      <c r="C256" s="11"/>
      <c r="D256" s="20"/>
      <c r="E256" s="20"/>
      <c r="F256" s="20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ht="15.75" customHeight="1">
      <c r="A257" s="11"/>
      <c r="B257" s="19"/>
      <c r="C257" s="11"/>
      <c r="D257" s="20"/>
      <c r="E257" s="20"/>
      <c r="F257" s="20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ht="15.75" customHeight="1">
      <c r="A258" s="11"/>
      <c r="B258" s="19"/>
      <c r="C258" s="11"/>
      <c r="D258" s="20"/>
      <c r="E258" s="20"/>
      <c r="F258" s="20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ht="15.75" customHeight="1">
      <c r="A259" s="11"/>
      <c r="B259" s="19"/>
      <c r="C259" s="11"/>
      <c r="D259" s="20"/>
      <c r="E259" s="20"/>
      <c r="F259" s="20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ht="15.75" customHeight="1">
      <c r="A260" s="11"/>
      <c r="B260" s="19"/>
      <c r="C260" s="11"/>
      <c r="D260" s="20"/>
      <c r="E260" s="20"/>
      <c r="F260" s="20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ht="15.75" customHeight="1">
      <c r="A261" s="11"/>
      <c r="B261" s="19"/>
      <c r="C261" s="11"/>
      <c r="D261" s="20"/>
      <c r="E261" s="20"/>
      <c r="F261" s="20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ht="15.75" customHeight="1">
      <c r="A262" s="11"/>
      <c r="B262" s="19"/>
      <c r="C262" s="11"/>
      <c r="D262" s="20"/>
      <c r="E262" s="20"/>
      <c r="F262" s="20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ht="15.75" customHeight="1">
      <c r="A263" s="11"/>
      <c r="B263" s="19"/>
      <c r="C263" s="11"/>
      <c r="D263" s="20"/>
      <c r="E263" s="20"/>
      <c r="F263" s="20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ht="15.75" customHeight="1">
      <c r="A264" s="11"/>
      <c r="B264" s="19"/>
      <c r="C264" s="11"/>
      <c r="D264" s="20"/>
      <c r="E264" s="20"/>
      <c r="F264" s="20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ht="15.75" customHeight="1">
      <c r="A265" s="11"/>
      <c r="B265" s="19"/>
      <c r="C265" s="11"/>
      <c r="D265" s="20"/>
      <c r="E265" s="20"/>
      <c r="F265" s="20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ht="15.75" customHeight="1">
      <c r="A266" s="11"/>
      <c r="B266" s="19"/>
      <c r="C266" s="11"/>
      <c r="D266" s="20"/>
      <c r="E266" s="20"/>
      <c r="F266" s="20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ht="15.75" customHeight="1">
      <c r="A267" s="11"/>
      <c r="B267" s="19"/>
      <c r="C267" s="11"/>
      <c r="D267" s="20"/>
      <c r="E267" s="20"/>
      <c r="F267" s="20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ht="15.75" customHeight="1">
      <c r="A268" s="11"/>
      <c r="B268" s="19"/>
      <c r="C268" s="11"/>
      <c r="D268" s="20"/>
      <c r="E268" s="20"/>
      <c r="F268" s="20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ht="15.75" customHeight="1">
      <c r="A269" s="11"/>
      <c r="B269" s="19"/>
      <c r="C269" s="11"/>
      <c r="D269" s="20"/>
      <c r="E269" s="20"/>
      <c r="F269" s="20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ht="15.75" customHeight="1">
      <c r="A270" s="11"/>
      <c r="B270" s="19"/>
      <c r="C270" s="11"/>
      <c r="D270" s="20"/>
      <c r="E270" s="20"/>
      <c r="F270" s="20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ht="15.75" customHeight="1">
      <c r="A271" s="11"/>
      <c r="B271" s="19"/>
      <c r="C271" s="11"/>
      <c r="D271" s="20"/>
      <c r="E271" s="20"/>
      <c r="F271" s="20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ht="15.75" customHeight="1">
      <c r="A272" s="11"/>
      <c r="B272" s="19"/>
      <c r="C272" s="11"/>
      <c r="D272" s="20"/>
      <c r="E272" s="20"/>
      <c r="F272" s="20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ht="15.75" customHeight="1">
      <c r="A273" s="11"/>
      <c r="B273" s="19"/>
      <c r="C273" s="11"/>
      <c r="D273" s="20"/>
      <c r="E273" s="20"/>
      <c r="F273" s="20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ht="15.75" customHeight="1">
      <c r="A274" s="11"/>
      <c r="B274" s="19"/>
      <c r="C274" s="11"/>
      <c r="D274" s="20"/>
      <c r="E274" s="20"/>
      <c r="F274" s="20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ht="15.75" customHeight="1">
      <c r="A275" s="11"/>
      <c r="B275" s="19"/>
      <c r="C275" s="11"/>
      <c r="D275" s="20"/>
      <c r="E275" s="20"/>
      <c r="F275" s="20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ht="15.75" customHeight="1">
      <c r="A276" s="11"/>
      <c r="B276" s="19"/>
      <c r="C276" s="11"/>
      <c r="D276" s="20"/>
      <c r="E276" s="20"/>
      <c r="F276" s="20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ht="15.75" customHeight="1">
      <c r="A277" s="11"/>
      <c r="B277" s="19"/>
      <c r="C277" s="11"/>
      <c r="D277" s="20"/>
      <c r="E277" s="20"/>
      <c r="F277" s="20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ht="15.75" customHeight="1">
      <c r="A278" s="11"/>
      <c r="B278" s="19"/>
      <c r="C278" s="11"/>
      <c r="D278" s="20"/>
      <c r="E278" s="20"/>
      <c r="F278" s="20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ht="15.75" customHeight="1">
      <c r="A279" s="11"/>
      <c r="B279" s="19"/>
      <c r="C279" s="11"/>
      <c r="D279" s="20"/>
      <c r="E279" s="20"/>
      <c r="F279" s="20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ht="15.75" customHeight="1">
      <c r="A280" s="11"/>
      <c r="B280" s="19"/>
      <c r="C280" s="11"/>
      <c r="D280" s="20"/>
      <c r="E280" s="20"/>
      <c r="F280" s="20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ht="15.75" customHeight="1">
      <c r="A281" s="11"/>
      <c r="B281" s="19"/>
      <c r="C281" s="11"/>
      <c r="D281" s="20"/>
      <c r="E281" s="20"/>
      <c r="F281" s="20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ht="15.75" customHeight="1">
      <c r="A282" s="11"/>
      <c r="B282" s="19"/>
      <c r="C282" s="11"/>
      <c r="D282" s="20"/>
      <c r="E282" s="20"/>
      <c r="F282" s="20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ht="15.75" customHeight="1">
      <c r="A283" s="11"/>
      <c r="B283" s="19"/>
      <c r="C283" s="11"/>
      <c r="D283" s="20"/>
      <c r="E283" s="20"/>
      <c r="F283" s="20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ht="15.75" customHeight="1">
      <c r="A284" s="11"/>
      <c r="B284" s="19"/>
      <c r="C284" s="11"/>
      <c r="D284" s="20"/>
      <c r="E284" s="20"/>
      <c r="F284" s="20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ht="15.75" customHeight="1">
      <c r="A285" s="11"/>
      <c r="B285" s="19"/>
      <c r="C285" s="11"/>
      <c r="D285" s="20"/>
      <c r="E285" s="20"/>
      <c r="F285" s="20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ht="15.75" customHeight="1">
      <c r="A286" s="11"/>
      <c r="B286" s="19"/>
      <c r="C286" s="11"/>
      <c r="D286" s="20"/>
      <c r="E286" s="20"/>
      <c r="F286" s="20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ht="15.75" customHeight="1">
      <c r="A287" s="11"/>
      <c r="B287" s="19"/>
      <c r="C287" s="11"/>
      <c r="D287" s="20"/>
      <c r="E287" s="20"/>
      <c r="F287" s="20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ht="15.75" customHeight="1">
      <c r="A288" s="11"/>
      <c r="B288" s="19"/>
      <c r="C288" s="11"/>
      <c r="D288" s="20"/>
      <c r="E288" s="20"/>
      <c r="F288" s="20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ht="15.75" customHeight="1">
      <c r="A289" s="11"/>
      <c r="B289" s="19"/>
      <c r="C289" s="11"/>
      <c r="D289" s="20"/>
      <c r="E289" s="20"/>
      <c r="F289" s="20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ht="15.75" customHeight="1">
      <c r="A290" s="11"/>
      <c r="B290" s="19"/>
      <c r="C290" s="11"/>
      <c r="D290" s="20"/>
      <c r="E290" s="20"/>
      <c r="F290" s="20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ht="15.75" customHeight="1">
      <c r="A291" s="11"/>
      <c r="B291" s="19"/>
      <c r="C291" s="11"/>
      <c r="D291" s="20"/>
      <c r="E291" s="20"/>
      <c r="F291" s="20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ht="15.75" customHeight="1">
      <c r="A292" s="11"/>
      <c r="B292" s="19"/>
      <c r="C292" s="11"/>
      <c r="D292" s="20"/>
      <c r="E292" s="20"/>
      <c r="F292" s="20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ht="15.75" customHeight="1">
      <c r="A293" s="11"/>
      <c r="B293" s="19"/>
      <c r="C293" s="11"/>
      <c r="D293" s="20"/>
      <c r="E293" s="20"/>
      <c r="F293" s="20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ht="15.75" customHeight="1">
      <c r="A294" s="11"/>
      <c r="B294" s="19"/>
      <c r="C294" s="11"/>
      <c r="D294" s="20"/>
      <c r="E294" s="20"/>
      <c r="F294" s="20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ht="15.75" customHeight="1">
      <c r="A295" s="11"/>
      <c r="B295" s="19"/>
      <c r="C295" s="11"/>
      <c r="D295" s="20"/>
      <c r="E295" s="20"/>
      <c r="F295" s="20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ht="15.75" customHeight="1">
      <c r="A296" s="11"/>
      <c r="B296" s="19"/>
      <c r="C296" s="11"/>
      <c r="D296" s="20"/>
      <c r="E296" s="20"/>
      <c r="F296" s="20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ht="15.75" customHeight="1">
      <c r="A297" s="11"/>
      <c r="B297" s="19"/>
      <c r="C297" s="11"/>
      <c r="D297" s="20"/>
      <c r="E297" s="20"/>
      <c r="F297" s="20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ht="15.75" customHeight="1">
      <c r="A298" s="11"/>
      <c r="B298" s="19"/>
      <c r="C298" s="11"/>
      <c r="D298" s="20"/>
      <c r="E298" s="20"/>
      <c r="F298" s="20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ht="15.75" customHeight="1">
      <c r="A299" s="11"/>
      <c r="B299" s="19"/>
      <c r="C299" s="11"/>
      <c r="D299" s="20"/>
      <c r="E299" s="20"/>
      <c r="F299" s="20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ht="15.75" customHeight="1">
      <c r="A300" s="11"/>
      <c r="B300" s="19"/>
      <c r="C300" s="11"/>
      <c r="D300" s="20"/>
      <c r="E300" s="20"/>
      <c r="F300" s="20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ht="15.75" customHeight="1">
      <c r="A301" s="11"/>
      <c r="B301" s="19"/>
      <c r="C301" s="11"/>
      <c r="D301" s="20"/>
      <c r="E301" s="20"/>
      <c r="F301" s="20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ht="15.75" customHeight="1">
      <c r="A302" s="11"/>
      <c r="B302" s="19"/>
      <c r="C302" s="11"/>
      <c r="D302" s="20"/>
      <c r="E302" s="20"/>
      <c r="F302" s="20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ht="15.75" customHeight="1">
      <c r="A303" s="11"/>
      <c r="B303" s="19"/>
      <c r="C303" s="11"/>
      <c r="D303" s="20"/>
      <c r="E303" s="20"/>
      <c r="F303" s="20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ht="15.75" customHeight="1">
      <c r="A304" s="11"/>
      <c r="B304" s="19"/>
      <c r="C304" s="11"/>
      <c r="D304" s="20"/>
      <c r="E304" s="20"/>
      <c r="F304" s="20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ht="15.75" customHeight="1">
      <c r="A305" s="11"/>
      <c r="B305" s="19"/>
      <c r="C305" s="11"/>
      <c r="D305" s="20"/>
      <c r="E305" s="20"/>
      <c r="F305" s="20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ht="15.75" customHeight="1">
      <c r="A306" s="11"/>
      <c r="B306" s="19"/>
      <c r="C306" s="11"/>
      <c r="D306" s="20"/>
      <c r="E306" s="20"/>
      <c r="F306" s="20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ht="15.75" customHeight="1">
      <c r="A307" s="11"/>
      <c r="B307" s="19"/>
      <c r="C307" s="11"/>
      <c r="D307" s="20"/>
      <c r="E307" s="20"/>
      <c r="F307" s="20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ht="15.75" customHeight="1">
      <c r="A308" s="11"/>
      <c r="B308" s="19"/>
      <c r="C308" s="11"/>
      <c r="D308" s="20"/>
      <c r="E308" s="20"/>
      <c r="F308" s="20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ht="15.75" customHeight="1">
      <c r="A309" s="11"/>
      <c r="B309" s="19"/>
      <c r="C309" s="11"/>
      <c r="D309" s="20"/>
      <c r="E309" s="20"/>
      <c r="F309" s="20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ht="15.75" customHeight="1">
      <c r="A310" s="11"/>
      <c r="B310" s="19"/>
      <c r="C310" s="11"/>
      <c r="D310" s="20"/>
      <c r="E310" s="20"/>
      <c r="F310" s="20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ht="15.75" customHeight="1">
      <c r="A311" s="11"/>
      <c r="B311" s="19"/>
      <c r="C311" s="11"/>
      <c r="D311" s="20"/>
      <c r="E311" s="20"/>
      <c r="F311" s="20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ht="15.75" customHeight="1">
      <c r="A312" s="11"/>
      <c r="B312" s="19"/>
      <c r="C312" s="11"/>
      <c r="D312" s="20"/>
      <c r="E312" s="20"/>
      <c r="F312" s="20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ht="15.75" customHeight="1">
      <c r="A313" s="11"/>
      <c r="B313" s="19"/>
      <c r="C313" s="11"/>
      <c r="D313" s="20"/>
      <c r="E313" s="20"/>
      <c r="F313" s="20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ht="15.75" customHeight="1">
      <c r="A314" s="11"/>
      <c r="B314" s="19"/>
      <c r="C314" s="11"/>
      <c r="D314" s="20"/>
      <c r="E314" s="20"/>
      <c r="F314" s="20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ht="15.75" customHeight="1">
      <c r="A315" s="11"/>
      <c r="B315" s="19"/>
      <c r="C315" s="11"/>
      <c r="D315" s="20"/>
      <c r="E315" s="20"/>
      <c r="F315" s="20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ht="15.75" customHeight="1">
      <c r="A316" s="11"/>
      <c r="B316" s="19"/>
      <c r="C316" s="11"/>
      <c r="D316" s="20"/>
      <c r="E316" s="20"/>
      <c r="F316" s="20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ht="15.75" customHeight="1">
      <c r="A317" s="11"/>
      <c r="B317" s="19"/>
      <c r="C317" s="11"/>
      <c r="D317" s="20"/>
      <c r="E317" s="20"/>
      <c r="F317" s="20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ht="15.75" customHeight="1">
      <c r="A318" s="11"/>
      <c r="B318" s="19"/>
      <c r="C318" s="11"/>
      <c r="D318" s="20"/>
      <c r="E318" s="20"/>
      <c r="F318" s="20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ht="15.75" customHeight="1">
      <c r="A319" s="11"/>
      <c r="B319" s="19"/>
      <c r="C319" s="11"/>
      <c r="D319" s="20"/>
      <c r="E319" s="20"/>
      <c r="F319" s="20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ht="15.75" customHeight="1">
      <c r="A320" s="11"/>
      <c r="B320" s="19"/>
      <c r="C320" s="11"/>
      <c r="D320" s="20"/>
      <c r="E320" s="20"/>
      <c r="F320" s="20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ht="15.75" customHeight="1">
      <c r="A321" s="11"/>
      <c r="B321" s="19"/>
      <c r="C321" s="11"/>
      <c r="D321" s="20"/>
      <c r="E321" s="20"/>
      <c r="F321" s="20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ht="15.75" customHeight="1">
      <c r="A322" s="11"/>
      <c r="B322" s="19"/>
      <c r="C322" s="11"/>
      <c r="D322" s="20"/>
      <c r="E322" s="20"/>
      <c r="F322" s="20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ht="15.75" customHeight="1">
      <c r="A323" s="11"/>
      <c r="B323" s="19"/>
      <c r="C323" s="11"/>
      <c r="D323" s="20"/>
      <c r="E323" s="20"/>
      <c r="F323" s="20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ht="15.75" customHeight="1">
      <c r="A324" s="11"/>
      <c r="B324" s="19"/>
      <c r="C324" s="11"/>
      <c r="D324" s="20"/>
      <c r="E324" s="20"/>
      <c r="F324" s="20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ht="15.75" customHeight="1">
      <c r="A325" s="11"/>
      <c r="B325" s="19"/>
      <c r="C325" s="11"/>
      <c r="D325" s="20"/>
      <c r="E325" s="20"/>
      <c r="F325" s="20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ht="15.75" customHeight="1">
      <c r="A326" s="11"/>
      <c r="B326" s="19"/>
      <c r="C326" s="11"/>
      <c r="D326" s="20"/>
      <c r="E326" s="20"/>
      <c r="F326" s="20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ht="15.75" customHeight="1">
      <c r="A327" s="11"/>
      <c r="B327" s="19"/>
      <c r="C327" s="11"/>
      <c r="D327" s="20"/>
      <c r="E327" s="20"/>
      <c r="F327" s="20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ht="15.75" customHeight="1">
      <c r="A328" s="11"/>
      <c r="B328" s="19"/>
      <c r="C328" s="11"/>
      <c r="D328" s="20"/>
      <c r="E328" s="20"/>
      <c r="F328" s="20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ht="15.75" customHeight="1">
      <c r="A329" s="11"/>
      <c r="B329" s="19"/>
      <c r="C329" s="11"/>
      <c r="D329" s="20"/>
      <c r="E329" s="20"/>
      <c r="F329" s="20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ht="15.75" customHeight="1">
      <c r="A330" s="11"/>
      <c r="B330" s="19"/>
      <c r="C330" s="11"/>
      <c r="D330" s="20"/>
      <c r="E330" s="20"/>
      <c r="F330" s="20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ht="15.75" customHeight="1">
      <c r="A331" s="11"/>
      <c r="B331" s="19"/>
      <c r="C331" s="11"/>
      <c r="D331" s="20"/>
      <c r="E331" s="20"/>
      <c r="F331" s="20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ht="15.75" customHeight="1">
      <c r="A332" s="11"/>
      <c r="B332" s="19"/>
      <c r="C332" s="11"/>
      <c r="D332" s="20"/>
      <c r="E332" s="20"/>
      <c r="F332" s="20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ht="15.75" customHeight="1">
      <c r="A333" s="11"/>
      <c r="B333" s="19"/>
      <c r="C333" s="11"/>
      <c r="D333" s="20"/>
      <c r="E333" s="20"/>
      <c r="F333" s="20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ht="15.75" customHeight="1">
      <c r="A334" s="11"/>
      <c r="B334" s="19"/>
      <c r="C334" s="11"/>
      <c r="D334" s="20"/>
      <c r="E334" s="20"/>
      <c r="F334" s="20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ht="15.75" customHeight="1">
      <c r="A335" s="11"/>
      <c r="B335" s="19"/>
      <c r="C335" s="11"/>
      <c r="D335" s="20"/>
      <c r="E335" s="20"/>
      <c r="F335" s="20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ht="15.75" customHeight="1">
      <c r="A336" s="11"/>
      <c r="B336" s="19"/>
      <c r="C336" s="11"/>
      <c r="D336" s="20"/>
      <c r="E336" s="20"/>
      <c r="F336" s="20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ht="15.75" customHeight="1">
      <c r="A337" s="11"/>
      <c r="B337" s="19"/>
      <c r="C337" s="11"/>
      <c r="D337" s="20"/>
      <c r="E337" s="20"/>
      <c r="F337" s="20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ht="15.75" customHeight="1">
      <c r="A338" s="11"/>
      <c r="B338" s="19"/>
      <c r="C338" s="11"/>
      <c r="D338" s="20"/>
      <c r="E338" s="20"/>
      <c r="F338" s="20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ht="15.75" customHeight="1">
      <c r="A339" s="11"/>
      <c r="B339" s="19"/>
      <c r="C339" s="11"/>
      <c r="D339" s="20"/>
      <c r="E339" s="20"/>
      <c r="F339" s="20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ht="15.75" customHeight="1">
      <c r="A340" s="11"/>
      <c r="B340" s="19"/>
      <c r="C340" s="11"/>
      <c r="D340" s="20"/>
      <c r="E340" s="20"/>
      <c r="F340" s="20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ht="15.75" customHeight="1">
      <c r="A341" s="11"/>
      <c r="B341" s="19"/>
      <c r="C341" s="11"/>
      <c r="D341" s="20"/>
      <c r="E341" s="20"/>
      <c r="F341" s="20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ht="15.75" customHeight="1">
      <c r="A342" s="11"/>
      <c r="B342" s="19"/>
      <c r="C342" s="11"/>
      <c r="D342" s="20"/>
      <c r="E342" s="20"/>
      <c r="F342" s="20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ht="15.75" customHeight="1">
      <c r="A343" s="11"/>
      <c r="B343" s="19"/>
      <c r="C343" s="11"/>
      <c r="D343" s="20"/>
      <c r="E343" s="20"/>
      <c r="F343" s="20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ht="15.75" customHeight="1">
      <c r="A344" s="11"/>
      <c r="B344" s="19"/>
      <c r="C344" s="11"/>
      <c r="D344" s="20"/>
      <c r="E344" s="20"/>
      <c r="F344" s="20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ht="15.75" customHeight="1">
      <c r="A345" s="11"/>
      <c r="B345" s="19"/>
      <c r="C345" s="11"/>
      <c r="D345" s="20"/>
      <c r="E345" s="20"/>
      <c r="F345" s="20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ht="15.75" customHeight="1">
      <c r="A346" s="11"/>
      <c r="B346" s="19"/>
      <c r="C346" s="11"/>
      <c r="D346" s="20"/>
      <c r="E346" s="20"/>
      <c r="F346" s="20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ht="15.75" customHeight="1">
      <c r="A347" s="11"/>
      <c r="B347" s="19"/>
      <c r="C347" s="11"/>
      <c r="D347" s="20"/>
      <c r="E347" s="20"/>
      <c r="F347" s="20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ht="15.75" customHeight="1">
      <c r="A348" s="11"/>
      <c r="B348" s="19"/>
      <c r="C348" s="11"/>
      <c r="D348" s="20"/>
      <c r="E348" s="20"/>
      <c r="F348" s="20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ht="15.75" customHeight="1">
      <c r="A349" s="11"/>
      <c r="B349" s="19"/>
      <c r="C349" s="11"/>
      <c r="D349" s="20"/>
      <c r="E349" s="20"/>
      <c r="F349" s="20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ht="15.75" customHeight="1">
      <c r="A350" s="11"/>
      <c r="B350" s="19"/>
      <c r="C350" s="11"/>
      <c r="D350" s="20"/>
      <c r="E350" s="20"/>
      <c r="F350" s="20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ht="15.75" customHeight="1">
      <c r="A351" s="11"/>
      <c r="B351" s="19"/>
      <c r="C351" s="11"/>
      <c r="D351" s="20"/>
      <c r="E351" s="20"/>
      <c r="F351" s="20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ht="15.75" customHeight="1">
      <c r="A352" s="11"/>
      <c r="B352" s="19"/>
      <c r="C352" s="11"/>
      <c r="D352" s="20"/>
      <c r="E352" s="20"/>
      <c r="F352" s="20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ht="15.75" customHeight="1">
      <c r="A353" s="11"/>
      <c r="B353" s="19"/>
      <c r="C353" s="11"/>
      <c r="D353" s="20"/>
      <c r="E353" s="20"/>
      <c r="F353" s="20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ht="15.75" customHeight="1">
      <c r="A354" s="11"/>
      <c r="B354" s="19"/>
      <c r="C354" s="11"/>
      <c r="D354" s="20"/>
      <c r="E354" s="20"/>
      <c r="F354" s="20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ht="15.75" customHeight="1">
      <c r="A355" s="11"/>
      <c r="B355" s="19"/>
      <c r="C355" s="11"/>
      <c r="D355" s="20"/>
      <c r="E355" s="20"/>
      <c r="F355" s="20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ht="15.75" customHeight="1">
      <c r="A356" s="11"/>
      <c r="B356" s="19"/>
      <c r="C356" s="11"/>
      <c r="D356" s="20"/>
      <c r="E356" s="20"/>
      <c r="F356" s="20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ht="15.75" customHeight="1">
      <c r="A357" s="11"/>
      <c r="B357" s="19"/>
      <c r="C357" s="11"/>
      <c r="D357" s="20"/>
      <c r="E357" s="20"/>
      <c r="F357" s="20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ht="15.75" customHeight="1">
      <c r="A358" s="11"/>
      <c r="B358" s="19"/>
      <c r="C358" s="11"/>
      <c r="D358" s="20"/>
      <c r="E358" s="20"/>
      <c r="F358" s="20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ht="15.75" customHeight="1">
      <c r="A359" s="11"/>
      <c r="B359" s="19"/>
      <c r="C359" s="11"/>
      <c r="D359" s="20"/>
      <c r="E359" s="20"/>
      <c r="F359" s="20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ht="15.75" customHeight="1">
      <c r="A360" s="11"/>
      <c r="B360" s="19"/>
      <c r="C360" s="11"/>
      <c r="D360" s="20"/>
      <c r="E360" s="20"/>
      <c r="F360" s="20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ht="15.75" customHeight="1">
      <c r="A361" s="11"/>
      <c r="B361" s="19"/>
      <c r="C361" s="11"/>
      <c r="D361" s="20"/>
      <c r="E361" s="20"/>
      <c r="F361" s="20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ht="15.75" customHeight="1">
      <c r="A362" s="11"/>
      <c r="B362" s="19"/>
      <c r="C362" s="11"/>
      <c r="D362" s="20"/>
      <c r="E362" s="20"/>
      <c r="F362" s="20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ht="15.75" customHeight="1">
      <c r="A363" s="11"/>
      <c r="B363" s="19"/>
      <c r="C363" s="11"/>
      <c r="D363" s="20"/>
      <c r="E363" s="20"/>
      <c r="F363" s="20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ht="15.75" customHeight="1">
      <c r="A364" s="11"/>
      <c r="B364" s="19"/>
      <c r="C364" s="11"/>
      <c r="D364" s="20"/>
      <c r="E364" s="20"/>
      <c r="F364" s="20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ht="15.75" customHeight="1">
      <c r="A365" s="11"/>
      <c r="B365" s="19"/>
      <c r="C365" s="11"/>
      <c r="D365" s="20"/>
      <c r="E365" s="20"/>
      <c r="F365" s="20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ht="15.75" customHeight="1">
      <c r="A366" s="11"/>
      <c r="B366" s="19"/>
      <c r="C366" s="11"/>
      <c r="D366" s="20"/>
      <c r="E366" s="20"/>
      <c r="F366" s="20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ht="15.75" customHeight="1">
      <c r="A367" s="11"/>
      <c r="B367" s="19"/>
      <c r="C367" s="11"/>
      <c r="D367" s="20"/>
      <c r="E367" s="20"/>
      <c r="F367" s="20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ht="15.75" customHeight="1">
      <c r="A368" s="11"/>
      <c r="B368" s="19"/>
      <c r="C368" s="11"/>
      <c r="D368" s="20"/>
      <c r="E368" s="20"/>
      <c r="F368" s="20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ht="15.75" customHeight="1">
      <c r="A369" s="11"/>
      <c r="B369" s="19"/>
      <c r="C369" s="11"/>
      <c r="D369" s="20"/>
      <c r="E369" s="20"/>
      <c r="F369" s="20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ht="15.75" customHeight="1">
      <c r="A370" s="11"/>
      <c r="B370" s="19"/>
      <c r="C370" s="11"/>
      <c r="D370" s="20"/>
      <c r="E370" s="20"/>
      <c r="F370" s="20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ht="15.75" customHeight="1">
      <c r="A371" s="11"/>
      <c r="B371" s="19"/>
      <c r="C371" s="11"/>
      <c r="D371" s="20"/>
      <c r="E371" s="20"/>
      <c r="F371" s="20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ht="15.75" customHeight="1">
      <c r="A372" s="11"/>
      <c r="B372" s="19"/>
      <c r="C372" s="11"/>
      <c r="D372" s="20"/>
      <c r="E372" s="20"/>
      <c r="F372" s="20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ht="15.75" customHeight="1">
      <c r="A373" s="11"/>
      <c r="B373" s="19"/>
      <c r="C373" s="11"/>
      <c r="D373" s="20"/>
      <c r="E373" s="20"/>
      <c r="F373" s="20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ht="15.75" customHeight="1">
      <c r="A374" s="11"/>
      <c r="B374" s="19"/>
      <c r="C374" s="11"/>
      <c r="D374" s="20"/>
      <c r="E374" s="20"/>
      <c r="F374" s="20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ht="15.75" customHeight="1">
      <c r="A375" s="11"/>
      <c r="B375" s="19"/>
      <c r="C375" s="11"/>
      <c r="D375" s="20"/>
      <c r="E375" s="20"/>
      <c r="F375" s="20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ht="15.75" customHeight="1">
      <c r="A376" s="11"/>
      <c r="B376" s="19"/>
      <c r="C376" s="11"/>
      <c r="D376" s="20"/>
      <c r="E376" s="20"/>
      <c r="F376" s="20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ht="15.75" customHeight="1">
      <c r="A377" s="11"/>
      <c r="B377" s="19"/>
      <c r="C377" s="11"/>
      <c r="D377" s="20"/>
      <c r="E377" s="20"/>
      <c r="F377" s="20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ht="15.75" customHeight="1">
      <c r="A378" s="11"/>
      <c r="B378" s="19"/>
      <c r="C378" s="11"/>
      <c r="D378" s="20"/>
      <c r="E378" s="20"/>
      <c r="F378" s="20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ht="15.75" customHeight="1">
      <c r="A379" s="11"/>
      <c r="B379" s="19"/>
      <c r="C379" s="11"/>
      <c r="D379" s="20"/>
      <c r="E379" s="20"/>
      <c r="F379" s="20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ht="15.75" customHeight="1">
      <c r="A380" s="11"/>
      <c r="B380" s="19"/>
      <c r="C380" s="11"/>
      <c r="D380" s="20"/>
      <c r="E380" s="20"/>
      <c r="F380" s="20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ht="15.75" customHeight="1">
      <c r="A381" s="11"/>
      <c r="B381" s="19"/>
      <c r="C381" s="11"/>
      <c r="D381" s="20"/>
      <c r="E381" s="20"/>
      <c r="F381" s="20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ht="15.75" customHeight="1">
      <c r="A382" s="11"/>
      <c r="B382" s="19"/>
      <c r="C382" s="11"/>
      <c r="D382" s="20"/>
      <c r="E382" s="20"/>
      <c r="F382" s="20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ht="15.75" customHeight="1">
      <c r="A383" s="11"/>
      <c r="B383" s="19"/>
      <c r="C383" s="11"/>
      <c r="D383" s="20"/>
      <c r="E383" s="20"/>
      <c r="F383" s="20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ht="15.75" customHeight="1">
      <c r="A384" s="11"/>
      <c r="B384" s="19"/>
      <c r="C384" s="11"/>
      <c r="D384" s="20"/>
      <c r="E384" s="20"/>
      <c r="F384" s="20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ht="15.75" customHeight="1">
      <c r="A385" s="11"/>
      <c r="B385" s="19"/>
      <c r="C385" s="11"/>
      <c r="D385" s="20"/>
      <c r="E385" s="20"/>
      <c r="F385" s="20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ht="15.75" customHeight="1">
      <c r="A386" s="11"/>
      <c r="B386" s="19"/>
      <c r="C386" s="11"/>
      <c r="D386" s="20"/>
      <c r="E386" s="20"/>
      <c r="F386" s="20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ht="15.75" customHeight="1">
      <c r="A387" s="11"/>
      <c r="B387" s="19"/>
      <c r="C387" s="11"/>
      <c r="D387" s="20"/>
      <c r="E387" s="20"/>
      <c r="F387" s="20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ht="15.75" customHeight="1">
      <c r="A388" s="11"/>
      <c r="B388" s="19"/>
      <c r="C388" s="11"/>
      <c r="D388" s="20"/>
      <c r="E388" s="20"/>
      <c r="F388" s="20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ht="15.75" customHeight="1">
      <c r="A389" s="11"/>
      <c r="B389" s="19"/>
      <c r="C389" s="11"/>
      <c r="D389" s="20"/>
      <c r="E389" s="20"/>
      <c r="F389" s="20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ht="15.75" customHeight="1">
      <c r="A390" s="11"/>
      <c r="B390" s="19"/>
      <c r="C390" s="11"/>
      <c r="D390" s="20"/>
      <c r="E390" s="20"/>
      <c r="F390" s="20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ht="15.75" customHeight="1">
      <c r="A391" s="11"/>
      <c r="B391" s="19"/>
      <c r="C391" s="11"/>
      <c r="D391" s="20"/>
      <c r="E391" s="20"/>
      <c r="F391" s="20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ht="15.75" customHeight="1">
      <c r="A392" s="11"/>
      <c r="B392" s="19"/>
      <c r="C392" s="11"/>
      <c r="D392" s="20"/>
      <c r="E392" s="20"/>
      <c r="F392" s="20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ht="15.75" customHeight="1">
      <c r="A393" s="11"/>
      <c r="B393" s="19"/>
      <c r="C393" s="11"/>
      <c r="D393" s="20"/>
      <c r="E393" s="20"/>
      <c r="F393" s="20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ht="15.75" customHeight="1">
      <c r="A394" s="11"/>
      <c r="B394" s="19"/>
      <c r="C394" s="11"/>
      <c r="D394" s="20"/>
      <c r="E394" s="20"/>
      <c r="F394" s="20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ht="15.75" customHeight="1">
      <c r="A395" s="11"/>
      <c r="B395" s="19"/>
      <c r="C395" s="11"/>
      <c r="D395" s="20"/>
      <c r="E395" s="20"/>
      <c r="F395" s="20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ht="15.75" customHeight="1">
      <c r="A396" s="11"/>
      <c r="B396" s="19"/>
      <c r="C396" s="11"/>
      <c r="D396" s="20"/>
      <c r="E396" s="20"/>
      <c r="F396" s="20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ht="15.75" customHeight="1">
      <c r="A397" s="11"/>
      <c r="B397" s="19"/>
      <c r="C397" s="11"/>
      <c r="D397" s="20"/>
      <c r="E397" s="20"/>
      <c r="F397" s="20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ht="15.75" customHeight="1">
      <c r="A398" s="11"/>
      <c r="B398" s="19"/>
      <c r="C398" s="11"/>
      <c r="D398" s="20"/>
      <c r="E398" s="20"/>
      <c r="F398" s="20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ht="15.75" customHeight="1">
      <c r="A399" s="11"/>
      <c r="B399" s="19"/>
      <c r="C399" s="11"/>
      <c r="D399" s="20"/>
      <c r="E399" s="20"/>
      <c r="F399" s="20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ht="15.75" customHeight="1">
      <c r="A400" s="11"/>
      <c r="B400" s="19"/>
      <c r="C400" s="11"/>
      <c r="D400" s="20"/>
      <c r="E400" s="20"/>
      <c r="F400" s="20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ht="15.75" customHeight="1">
      <c r="A401" s="11"/>
      <c r="B401" s="19"/>
      <c r="C401" s="11"/>
      <c r="D401" s="20"/>
      <c r="E401" s="20"/>
      <c r="F401" s="20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ht="15.75" customHeight="1">
      <c r="A402" s="11"/>
      <c r="B402" s="19"/>
      <c r="C402" s="11"/>
      <c r="D402" s="20"/>
      <c r="E402" s="20"/>
      <c r="F402" s="20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ht="15.75" customHeight="1">
      <c r="A403" s="11"/>
      <c r="B403" s="19"/>
      <c r="C403" s="11"/>
      <c r="D403" s="20"/>
      <c r="E403" s="20"/>
      <c r="F403" s="20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ht="15.75" customHeight="1">
      <c r="A404" s="11"/>
      <c r="B404" s="19"/>
      <c r="C404" s="11"/>
      <c r="D404" s="20"/>
      <c r="E404" s="20"/>
      <c r="F404" s="20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ht="15.75" customHeight="1">
      <c r="A405" s="11"/>
      <c r="B405" s="19"/>
      <c r="C405" s="11"/>
      <c r="D405" s="20"/>
      <c r="E405" s="20"/>
      <c r="F405" s="20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ht="15.75" customHeight="1">
      <c r="A406" s="11"/>
      <c r="B406" s="19"/>
      <c r="C406" s="11"/>
      <c r="D406" s="20"/>
      <c r="E406" s="20"/>
      <c r="F406" s="20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ht="15.75" customHeight="1">
      <c r="A407" s="11"/>
      <c r="B407" s="19"/>
      <c r="C407" s="11"/>
      <c r="D407" s="20"/>
      <c r="E407" s="20"/>
      <c r="F407" s="20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ht="15.75" customHeight="1">
      <c r="A408" s="11"/>
      <c r="B408" s="19"/>
      <c r="C408" s="11"/>
      <c r="D408" s="20"/>
      <c r="E408" s="20"/>
      <c r="F408" s="20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ht="15.75" customHeight="1">
      <c r="A409" s="11"/>
      <c r="B409" s="19"/>
      <c r="C409" s="11"/>
      <c r="D409" s="20"/>
      <c r="E409" s="20"/>
      <c r="F409" s="20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ht="15.75" customHeight="1">
      <c r="A410" s="11"/>
      <c r="B410" s="19"/>
      <c r="C410" s="11"/>
      <c r="D410" s="20"/>
      <c r="E410" s="20"/>
      <c r="F410" s="20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ht="15.75" customHeight="1">
      <c r="A411" s="11"/>
      <c r="B411" s="19"/>
      <c r="C411" s="11"/>
      <c r="D411" s="20"/>
      <c r="E411" s="20"/>
      <c r="F411" s="20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ht="15.75" customHeight="1">
      <c r="A412" s="11"/>
      <c r="B412" s="19"/>
      <c r="C412" s="11"/>
      <c r="D412" s="20"/>
      <c r="E412" s="20"/>
      <c r="F412" s="20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ht="15.75" customHeight="1">
      <c r="A413" s="11"/>
      <c r="B413" s="19"/>
      <c r="C413" s="11"/>
      <c r="D413" s="20"/>
      <c r="E413" s="20"/>
      <c r="F413" s="20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ht="15.75" customHeight="1">
      <c r="A414" s="11"/>
      <c r="B414" s="19"/>
      <c r="C414" s="11"/>
      <c r="D414" s="20"/>
      <c r="E414" s="20"/>
      <c r="F414" s="20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ht="15.75" customHeight="1">
      <c r="A415" s="11"/>
      <c r="B415" s="19"/>
      <c r="C415" s="11"/>
      <c r="D415" s="20"/>
      <c r="E415" s="20"/>
      <c r="F415" s="20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ht="15.75" customHeight="1">
      <c r="A416" s="11"/>
      <c r="B416" s="19"/>
      <c r="C416" s="11"/>
      <c r="D416" s="20"/>
      <c r="E416" s="20"/>
      <c r="F416" s="20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ht="15.75" customHeight="1">
      <c r="A417" s="11"/>
      <c r="B417" s="19"/>
      <c r="C417" s="11"/>
      <c r="D417" s="20"/>
      <c r="E417" s="20"/>
      <c r="F417" s="20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ht="15.75" customHeight="1">
      <c r="A418" s="11"/>
      <c r="B418" s="19"/>
      <c r="C418" s="11"/>
      <c r="D418" s="20"/>
      <c r="E418" s="20"/>
      <c r="F418" s="20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ht="15.75" customHeight="1">
      <c r="A419" s="11"/>
      <c r="B419" s="19"/>
      <c r="C419" s="11"/>
      <c r="D419" s="20"/>
      <c r="E419" s="20"/>
      <c r="F419" s="20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ht="15.75" customHeight="1">
      <c r="A420" s="11"/>
      <c r="B420" s="19"/>
      <c r="C420" s="11"/>
      <c r="D420" s="20"/>
      <c r="E420" s="20"/>
      <c r="F420" s="20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ht="15.75" customHeight="1">
      <c r="A421" s="11"/>
      <c r="B421" s="19"/>
      <c r="C421" s="11"/>
      <c r="D421" s="20"/>
      <c r="E421" s="20"/>
      <c r="F421" s="20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ht="15.75" customHeight="1">
      <c r="A422" s="11"/>
      <c r="B422" s="19"/>
      <c r="C422" s="11"/>
      <c r="D422" s="20"/>
      <c r="E422" s="20"/>
      <c r="F422" s="20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ht="15.75" customHeight="1">
      <c r="A423" s="11"/>
      <c r="B423" s="19"/>
      <c r="C423" s="11"/>
      <c r="D423" s="20"/>
      <c r="E423" s="20"/>
      <c r="F423" s="20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ht="15.75" customHeight="1">
      <c r="A424" s="11"/>
      <c r="B424" s="19"/>
      <c r="C424" s="11"/>
      <c r="D424" s="20"/>
      <c r="E424" s="20"/>
      <c r="F424" s="20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ht="15.75" customHeight="1">
      <c r="A425" s="11"/>
      <c r="B425" s="19"/>
      <c r="C425" s="11"/>
      <c r="D425" s="20"/>
      <c r="E425" s="20"/>
      <c r="F425" s="20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ht="15.75" customHeight="1">
      <c r="A426" s="11"/>
      <c r="B426" s="19"/>
      <c r="C426" s="11"/>
      <c r="D426" s="20"/>
      <c r="E426" s="20"/>
      <c r="F426" s="20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ht="15.75" customHeight="1">
      <c r="A427" s="11"/>
      <c r="B427" s="19"/>
      <c r="C427" s="11"/>
      <c r="D427" s="20"/>
      <c r="E427" s="20"/>
      <c r="F427" s="20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ht="15.75" customHeight="1">
      <c r="A428" s="11"/>
      <c r="B428" s="19"/>
      <c r="C428" s="11"/>
      <c r="D428" s="20"/>
      <c r="E428" s="20"/>
      <c r="F428" s="20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ht="15.75" customHeight="1">
      <c r="A429" s="11"/>
      <c r="B429" s="19"/>
      <c r="C429" s="11"/>
      <c r="D429" s="20"/>
      <c r="E429" s="20"/>
      <c r="F429" s="20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ht="15.75" customHeight="1">
      <c r="A430" s="11"/>
      <c r="B430" s="19"/>
      <c r="C430" s="11"/>
      <c r="D430" s="20"/>
      <c r="E430" s="20"/>
      <c r="F430" s="20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ht="15.75" customHeight="1">
      <c r="A431" s="11"/>
      <c r="B431" s="19"/>
      <c r="C431" s="11"/>
      <c r="D431" s="20"/>
      <c r="E431" s="20"/>
      <c r="F431" s="20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ht="15.75" customHeight="1">
      <c r="A432" s="11"/>
      <c r="B432" s="19"/>
      <c r="C432" s="11"/>
      <c r="D432" s="20"/>
      <c r="E432" s="20"/>
      <c r="F432" s="20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ht="15.75" customHeight="1">
      <c r="A433" s="11"/>
      <c r="B433" s="19"/>
      <c r="C433" s="11"/>
      <c r="D433" s="20"/>
      <c r="E433" s="20"/>
      <c r="F433" s="20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ht="15.75" customHeight="1">
      <c r="A434" s="11"/>
      <c r="B434" s="19"/>
      <c r="C434" s="11"/>
      <c r="D434" s="20"/>
      <c r="E434" s="20"/>
      <c r="F434" s="20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ht="15.75" customHeight="1">
      <c r="A435" s="11"/>
      <c r="B435" s="19"/>
      <c r="C435" s="11"/>
      <c r="D435" s="20"/>
      <c r="E435" s="20"/>
      <c r="F435" s="20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ht="15.75" customHeight="1">
      <c r="A436" s="11"/>
      <c r="B436" s="19"/>
      <c r="C436" s="11"/>
      <c r="D436" s="20"/>
      <c r="E436" s="20"/>
      <c r="F436" s="20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ht="15.75" customHeight="1">
      <c r="A437" s="11"/>
      <c r="B437" s="19"/>
      <c r="C437" s="11"/>
      <c r="D437" s="20"/>
      <c r="E437" s="20"/>
      <c r="F437" s="20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ht="15.75" customHeight="1">
      <c r="A438" s="11"/>
      <c r="B438" s="19"/>
      <c r="C438" s="11"/>
      <c r="D438" s="20"/>
      <c r="E438" s="20"/>
      <c r="F438" s="20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ht="15.75" customHeight="1">
      <c r="A439" s="11"/>
      <c r="B439" s="19"/>
      <c r="C439" s="11"/>
      <c r="D439" s="20"/>
      <c r="E439" s="20"/>
      <c r="F439" s="20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ht="15.75" customHeight="1">
      <c r="A440" s="11"/>
      <c r="B440" s="19"/>
      <c r="C440" s="11"/>
      <c r="D440" s="20"/>
      <c r="E440" s="20"/>
      <c r="F440" s="20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ht="15.75" customHeight="1">
      <c r="A441" s="11"/>
      <c r="B441" s="19"/>
      <c r="C441" s="11"/>
      <c r="D441" s="20"/>
      <c r="E441" s="20"/>
      <c r="F441" s="20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ht="15.75" customHeight="1">
      <c r="A442" s="11"/>
      <c r="B442" s="19"/>
      <c r="C442" s="11"/>
      <c r="D442" s="20"/>
      <c r="E442" s="20"/>
      <c r="F442" s="20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ht="15.75" customHeight="1">
      <c r="A443" s="11"/>
      <c r="B443" s="19"/>
      <c r="C443" s="11"/>
      <c r="D443" s="20"/>
      <c r="E443" s="20"/>
      <c r="F443" s="20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ht="15.75" customHeight="1">
      <c r="A444" s="11"/>
      <c r="B444" s="19"/>
      <c r="C444" s="11"/>
      <c r="D444" s="20"/>
      <c r="E444" s="20"/>
      <c r="F444" s="20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ht="15.75" customHeight="1">
      <c r="A445" s="11"/>
      <c r="B445" s="19"/>
      <c r="C445" s="11"/>
      <c r="D445" s="20"/>
      <c r="E445" s="20"/>
      <c r="F445" s="20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ht="15.75" customHeight="1">
      <c r="A446" s="11"/>
      <c r="B446" s="19"/>
      <c r="C446" s="11"/>
      <c r="D446" s="20"/>
      <c r="E446" s="20"/>
      <c r="F446" s="20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ht="15.75" customHeight="1">
      <c r="A447" s="11"/>
      <c r="B447" s="19"/>
      <c r="C447" s="11"/>
      <c r="D447" s="20"/>
      <c r="E447" s="20"/>
      <c r="F447" s="20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ht="15.75" customHeight="1">
      <c r="A448" s="11"/>
      <c r="B448" s="19"/>
      <c r="C448" s="11"/>
      <c r="D448" s="20"/>
      <c r="E448" s="20"/>
      <c r="F448" s="20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ht="15.75" customHeight="1">
      <c r="A449" s="11"/>
      <c r="B449" s="19"/>
      <c r="C449" s="11"/>
      <c r="D449" s="20"/>
      <c r="E449" s="20"/>
      <c r="F449" s="20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ht="15.75" customHeight="1">
      <c r="A450" s="11"/>
      <c r="B450" s="19"/>
      <c r="C450" s="11"/>
      <c r="D450" s="20"/>
      <c r="E450" s="20"/>
      <c r="F450" s="20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ht="15.75" customHeight="1">
      <c r="A451" s="11"/>
      <c r="B451" s="19"/>
      <c r="C451" s="11"/>
      <c r="D451" s="20"/>
      <c r="E451" s="20"/>
      <c r="F451" s="20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ht="15.75" customHeight="1">
      <c r="A452" s="11"/>
      <c r="B452" s="19"/>
      <c r="C452" s="11"/>
      <c r="D452" s="20"/>
      <c r="E452" s="20"/>
      <c r="F452" s="20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ht="15.75" customHeight="1">
      <c r="A453" s="11"/>
      <c r="B453" s="19"/>
      <c r="C453" s="11"/>
      <c r="D453" s="20"/>
      <c r="E453" s="20"/>
      <c r="F453" s="20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ht="15.75" customHeight="1">
      <c r="A454" s="11"/>
      <c r="B454" s="19"/>
      <c r="C454" s="11"/>
      <c r="D454" s="20"/>
      <c r="E454" s="20"/>
      <c r="F454" s="20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ht="15.75" customHeight="1">
      <c r="A455" s="11"/>
      <c r="B455" s="19"/>
      <c r="C455" s="11"/>
      <c r="D455" s="20"/>
      <c r="E455" s="20"/>
      <c r="F455" s="20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ht="15.75" customHeight="1">
      <c r="A456" s="11"/>
      <c r="B456" s="19"/>
      <c r="C456" s="11"/>
      <c r="D456" s="20"/>
      <c r="E456" s="20"/>
      <c r="F456" s="20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ht="15.75" customHeight="1">
      <c r="A457" s="11"/>
      <c r="B457" s="19"/>
      <c r="C457" s="11"/>
      <c r="D457" s="20"/>
      <c r="E457" s="20"/>
      <c r="F457" s="20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ht="15.75" customHeight="1">
      <c r="A458" s="11"/>
      <c r="B458" s="19"/>
      <c r="C458" s="11"/>
      <c r="D458" s="20"/>
      <c r="E458" s="20"/>
      <c r="F458" s="20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ht="15.75" customHeight="1">
      <c r="A459" s="11"/>
      <c r="B459" s="19"/>
      <c r="C459" s="11"/>
      <c r="D459" s="20"/>
      <c r="E459" s="20"/>
      <c r="F459" s="20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ht="15.75" customHeight="1">
      <c r="A460" s="11"/>
      <c r="B460" s="19"/>
      <c r="C460" s="11"/>
      <c r="D460" s="20"/>
      <c r="E460" s="20"/>
      <c r="F460" s="20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ht="15.75" customHeight="1">
      <c r="A461" s="11"/>
      <c r="B461" s="19"/>
      <c r="C461" s="11"/>
      <c r="D461" s="20"/>
      <c r="E461" s="20"/>
      <c r="F461" s="20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ht="15.75" customHeight="1">
      <c r="A462" s="11"/>
      <c r="B462" s="19"/>
      <c r="C462" s="11"/>
      <c r="D462" s="20"/>
      <c r="E462" s="20"/>
      <c r="F462" s="20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ht="15.75" customHeight="1">
      <c r="A463" s="11"/>
      <c r="B463" s="19"/>
      <c r="C463" s="11"/>
      <c r="D463" s="20"/>
      <c r="E463" s="20"/>
      <c r="F463" s="20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ht="15.75" customHeight="1">
      <c r="A464" s="11"/>
      <c r="B464" s="19"/>
      <c r="C464" s="11"/>
      <c r="D464" s="20"/>
      <c r="E464" s="20"/>
      <c r="F464" s="20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ht="15.75" customHeight="1">
      <c r="A465" s="11"/>
      <c r="B465" s="19"/>
      <c r="C465" s="11"/>
      <c r="D465" s="20"/>
      <c r="E465" s="20"/>
      <c r="F465" s="20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ht="15.75" customHeight="1">
      <c r="A466" s="11"/>
      <c r="B466" s="19"/>
      <c r="C466" s="11"/>
      <c r="D466" s="20"/>
      <c r="E466" s="20"/>
      <c r="F466" s="20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ht="15.75" customHeight="1">
      <c r="A467" s="11"/>
      <c r="B467" s="19"/>
      <c r="C467" s="11"/>
      <c r="D467" s="20"/>
      <c r="E467" s="20"/>
      <c r="F467" s="20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ht="15.75" customHeight="1">
      <c r="A468" s="11"/>
      <c r="B468" s="19"/>
      <c r="C468" s="11"/>
      <c r="D468" s="20"/>
      <c r="E468" s="20"/>
      <c r="F468" s="20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ht="15.75" customHeight="1">
      <c r="A469" s="11"/>
      <c r="B469" s="19"/>
      <c r="C469" s="11"/>
      <c r="D469" s="20"/>
      <c r="E469" s="20"/>
      <c r="F469" s="20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ht="15.75" customHeight="1">
      <c r="A470" s="11"/>
      <c r="B470" s="19"/>
      <c r="C470" s="11"/>
      <c r="D470" s="20"/>
      <c r="E470" s="20"/>
      <c r="F470" s="20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ht="15.75" customHeight="1">
      <c r="A471" s="11"/>
      <c r="B471" s="19"/>
      <c r="C471" s="11"/>
      <c r="D471" s="20"/>
      <c r="E471" s="20"/>
      <c r="F471" s="20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ht="15.75" customHeight="1">
      <c r="A472" s="11"/>
      <c r="B472" s="19"/>
      <c r="C472" s="11"/>
      <c r="D472" s="20"/>
      <c r="E472" s="20"/>
      <c r="F472" s="20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ht="15.75" customHeight="1">
      <c r="A473" s="11"/>
      <c r="B473" s="19"/>
      <c r="C473" s="11"/>
      <c r="D473" s="20"/>
      <c r="E473" s="20"/>
      <c r="F473" s="20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ht="15.75" customHeight="1">
      <c r="A474" s="11"/>
      <c r="B474" s="19"/>
      <c r="C474" s="11"/>
      <c r="D474" s="20"/>
      <c r="E474" s="20"/>
      <c r="F474" s="20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ht="15.75" customHeight="1">
      <c r="A475" s="11"/>
      <c r="B475" s="19"/>
      <c r="C475" s="11"/>
      <c r="D475" s="20"/>
      <c r="E475" s="20"/>
      <c r="F475" s="20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ht="15.75" customHeight="1">
      <c r="A476" s="11"/>
      <c r="B476" s="19"/>
      <c r="C476" s="11"/>
      <c r="D476" s="20"/>
      <c r="E476" s="20"/>
      <c r="F476" s="20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ht="15.75" customHeight="1">
      <c r="A477" s="11"/>
      <c r="B477" s="19"/>
      <c r="C477" s="11"/>
      <c r="D477" s="20"/>
      <c r="E477" s="20"/>
      <c r="F477" s="20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ht="15.75" customHeight="1">
      <c r="A478" s="11"/>
      <c r="B478" s="19"/>
      <c r="C478" s="11"/>
      <c r="D478" s="20"/>
      <c r="E478" s="20"/>
      <c r="F478" s="20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ht="15.75" customHeight="1">
      <c r="A479" s="11"/>
      <c r="B479" s="19"/>
      <c r="C479" s="11"/>
      <c r="D479" s="20"/>
      <c r="E479" s="20"/>
      <c r="F479" s="20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ht="15.75" customHeight="1">
      <c r="A480" s="11"/>
      <c r="B480" s="19"/>
      <c r="C480" s="11"/>
      <c r="D480" s="20"/>
      <c r="E480" s="20"/>
      <c r="F480" s="20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ht="15.75" customHeight="1">
      <c r="A481" s="11"/>
      <c r="B481" s="19"/>
      <c r="C481" s="11"/>
      <c r="D481" s="20"/>
      <c r="E481" s="20"/>
      <c r="F481" s="20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ht="15.75" customHeight="1">
      <c r="A482" s="11"/>
      <c r="B482" s="19"/>
      <c r="C482" s="11"/>
      <c r="D482" s="20"/>
      <c r="E482" s="20"/>
      <c r="F482" s="20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ht="15.75" customHeight="1">
      <c r="A483" s="11"/>
      <c r="B483" s="19"/>
      <c r="C483" s="11"/>
      <c r="D483" s="20"/>
      <c r="E483" s="20"/>
      <c r="F483" s="20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ht="15.75" customHeight="1">
      <c r="A484" s="11"/>
      <c r="B484" s="19"/>
      <c r="C484" s="11"/>
      <c r="D484" s="20"/>
      <c r="E484" s="20"/>
      <c r="F484" s="20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ht="15.75" customHeight="1">
      <c r="A485" s="11"/>
      <c r="B485" s="19"/>
      <c r="C485" s="11"/>
      <c r="D485" s="20"/>
      <c r="E485" s="20"/>
      <c r="F485" s="20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ht="15.75" customHeight="1">
      <c r="A486" s="11"/>
      <c r="B486" s="19"/>
      <c r="C486" s="11"/>
      <c r="D486" s="20"/>
      <c r="E486" s="20"/>
      <c r="F486" s="20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ht="15.75" customHeight="1">
      <c r="A487" s="11"/>
      <c r="B487" s="19"/>
      <c r="C487" s="11"/>
      <c r="D487" s="20"/>
      <c r="E487" s="20"/>
      <c r="F487" s="20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ht="15.75" customHeight="1">
      <c r="A488" s="11"/>
      <c r="B488" s="19"/>
      <c r="C488" s="11"/>
      <c r="D488" s="20"/>
      <c r="E488" s="20"/>
      <c r="F488" s="20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ht="15.75" customHeight="1">
      <c r="A489" s="11"/>
      <c r="B489" s="19"/>
      <c r="C489" s="11"/>
      <c r="D489" s="20"/>
      <c r="E489" s="20"/>
      <c r="F489" s="20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ht="15.75" customHeight="1">
      <c r="A490" s="11"/>
      <c r="B490" s="19"/>
      <c r="C490" s="11"/>
      <c r="D490" s="20"/>
      <c r="E490" s="20"/>
      <c r="F490" s="20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ht="15.75" customHeight="1">
      <c r="A491" s="11"/>
      <c r="B491" s="19"/>
      <c r="C491" s="11"/>
      <c r="D491" s="20"/>
      <c r="E491" s="20"/>
      <c r="F491" s="20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ht="15.75" customHeight="1">
      <c r="A492" s="11"/>
      <c r="B492" s="19"/>
      <c r="C492" s="11"/>
      <c r="D492" s="20"/>
      <c r="E492" s="20"/>
      <c r="F492" s="20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ht="15.75" customHeight="1">
      <c r="A493" s="11"/>
      <c r="B493" s="19"/>
      <c r="C493" s="11"/>
      <c r="D493" s="20"/>
      <c r="E493" s="20"/>
      <c r="F493" s="20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ht="15.75" customHeight="1">
      <c r="A494" s="11"/>
      <c r="B494" s="19"/>
      <c r="C494" s="11"/>
      <c r="D494" s="20"/>
      <c r="E494" s="20"/>
      <c r="F494" s="20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ht="15.75" customHeight="1">
      <c r="A495" s="11"/>
      <c r="B495" s="19"/>
      <c r="C495" s="11"/>
      <c r="D495" s="20"/>
      <c r="E495" s="20"/>
      <c r="F495" s="20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ht="15.75" customHeight="1">
      <c r="A496" s="11"/>
      <c r="B496" s="19"/>
      <c r="C496" s="11"/>
      <c r="D496" s="20"/>
      <c r="E496" s="20"/>
      <c r="F496" s="20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ht="15.75" customHeight="1">
      <c r="A497" s="11"/>
      <c r="B497" s="19"/>
      <c r="C497" s="11"/>
      <c r="D497" s="20"/>
      <c r="E497" s="20"/>
      <c r="F497" s="20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ht="15.75" customHeight="1">
      <c r="A498" s="11"/>
      <c r="B498" s="19"/>
      <c r="C498" s="11"/>
      <c r="D498" s="20"/>
      <c r="E498" s="20"/>
      <c r="F498" s="20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ht="15.75" customHeight="1">
      <c r="A499" s="11"/>
      <c r="B499" s="19"/>
      <c r="C499" s="11"/>
      <c r="D499" s="20"/>
      <c r="E499" s="20"/>
      <c r="F499" s="20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ht="15.75" customHeight="1">
      <c r="A500" s="11"/>
      <c r="B500" s="19"/>
      <c r="C500" s="11"/>
      <c r="D500" s="20"/>
      <c r="E500" s="20"/>
      <c r="F500" s="20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ht="15.75" customHeight="1">
      <c r="A501" s="11"/>
      <c r="B501" s="19"/>
      <c r="C501" s="11"/>
      <c r="D501" s="20"/>
      <c r="E501" s="20"/>
      <c r="F501" s="20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ht="15.75" customHeight="1">
      <c r="A502" s="11"/>
      <c r="B502" s="19"/>
      <c r="C502" s="11"/>
      <c r="D502" s="20"/>
      <c r="E502" s="20"/>
      <c r="F502" s="20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ht="15.75" customHeight="1">
      <c r="A503" s="11"/>
      <c r="B503" s="19"/>
      <c r="C503" s="11"/>
      <c r="D503" s="20"/>
      <c r="E503" s="20"/>
      <c r="F503" s="20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ht="15.75" customHeight="1">
      <c r="A504" s="11"/>
      <c r="B504" s="19"/>
      <c r="C504" s="11"/>
      <c r="D504" s="20"/>
      <c r="E504" s="20"/>
      <c r="F504" s="20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ht="15.75" customHeight="1">
      <c r="A505" s="11"/>
      <c r="B505" s="19"/>
      <c r="C505" s="11"/>
      <c r="D505" s="20"/>
      <c r="E505" s="20"/>
      <c r="F505" s="20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ht="15.75" customHeight="1">
      <c r="A506" s="11"/>
      <c r="B506" s="19"/>
      <c r="C506" s="11"/>
      <c r="D506" s="20"/>
      <c r="E506" s="20"/>
      <c r="F506" s="20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ht="15.75" customHeight="1">
      <c r="A507" s="11"/>
      <c r="B507" s="19"/>
      <c r="C507" s="11"/>
      <c r="D507" s="20"/>
      <c r="E507" s="20"/>
      <c r="F507" s="20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ht="15.75" customHeight="1">
      <c r="A508" s="11"/>
      <c r="B508" s="19"/>
      <c r="C508" s="11"/>
      <c r="D508" s="20"/>
      <c r="E508" s="20"/>
      <c r="F508" s="20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ht="15.75" customHeight="1">
      <c r="A509" s="11"/>
      <c r="B509" s="19"/>
      <c r="C509" s="11"/>
      <c r="D509" s="20"/>
      <c r="E509" s="20"/>
      <c r="F509" s="20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ht="15.75" customHeight="1">
      <c r="A510" s="11"/>
      <c r="B510" s="19"/>
      <c r="C510" s="11"/>
      <c r="D510" s="20"/>
      <c r="E510" s="20"/>
      <c r="F510" s="20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ht="15.75" customHeight="1">
      <c r="A511" s="11"/>
      <c r="B511" s="19"/>
      <c r="C511" s="11"/>
      <c r="D511" s="20"/>
      <c r="E511" s="20"/>
      <c r="F511" s="20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ht="15.75" customHeight="1">
      <c r="A512" s="11"/>
      <c r="B512" s="19"/>
      <c r="C512" s="11"/>
      <c r="D512" s="20"/>
      <c r="E512" s="20"/>
      <c r="F512" s="20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ht="15.75" customHeight="1">
      <c r="A513" s="11"/>
      <c r="B513" s="19"/>
      <c r="C513" s="11"/>
      <c r="D513" s="20"/>
      <c r="E513" s="20"/>
      <c r="F513" s="20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ht="15.75" customHeight="1">
      <c r="A514" s="11"/>
      <c r="B514" s="19"/>
      <c r="C514" s="11"/>
      <c r="D514" s="20"/>
      <c r="E514" s="20"/>
      <c r="F514" s="20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ht="15.75" customHeight="1">
      <c r="A515" s="11"/>
      <c r="B515" s="19"/>
      <c r="C515" s="11"/>
      <c r="D515" s="20"/>
      <c r="E515" s="20"/>
      <c r="F515" s="20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ht="15.75" customHeight="1">
      <c r="A516" s="11"/>
      <c r="B516" s="19"/>
      <c r="C516" s="11"/>
      <c r="D516" s="20"/>
      <c r="E516" s="20"/>
      <c r="F516" s="20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ht="15.75" customHeight="1">
      <c r="A517" s="11"/>
      <c r="B517" s="19"/>
      <c r="C517" s="11"/>
      <c r="D517" s="20"/>
      <c r="E517" s="20"/>
      <c r="F517" s="20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ht="15.75" customHeight="1">
      <c r="A518" s="11"/>
      <c r="B518" s="19"/>
      <c r="C518" s="11"/>
      <c r="D518" s="20"/>
      <c r="E518" s="20"/>
      <c r="F518" s="20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ht="15.75" customHeight="1">
      <c r="A519" s="11"/>
      <c r="B519" s="19"/>
      <c r="C519" s="11"/>
      <c r="D519" s="20"/>
      <c r="E519" s="20"/>
      <c r="F519" s="20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ht="15.75" customHeight="1">
      <c r="A520" s="11"/>
      <c r="B520" s="19"/>
      <c r="C520" s="11"/>
      <c r="D520" s="20"/>
      <c r="E520" s="20"/>
      <c r="F520" s="20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ht="15.75" customHeight="1">
      <c r="A521" s="11"/>
      <c r="B521" s="19"/>
      <c r="C521" s="11"/>
      <c r="D521" s="20"/>
      <c r="E521" s="20"/>
      <c r="F521" s="20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ht="15.75" customHeight="1">
      <c r="A522" s="11"/>
      <c r="B522" s="19"/>
      <c r="C522" s="11"/>
      <c r="D522" s="20"/>
      <c r="E522" s="20"/>
      <c r="F522" s="20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ht="15.75" customHeight="1">
      <c r="A523" s="11"/>
      <c r="B523" s="19"/>
      <c r="C523" s="11"/>
      <c r="D523" s="20"/>
      <c r="E523" s="20"/>
      <c r="F523" s="20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ht="15.75" customHeight="1">
      <c r="A524" s="11"/>
      <c r="B524" s="19"/>
      <c r="C524" s="11"/>
      <c r="D524" s="20"/>
      <c r="E524" s="20"/>
      <c r="F524" s="20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ht="15.75" customHeight="1">
      <c r="A525" s="11"/>
      <c r="B525" s="19"/>
      <c r="C525" s="11"/>
      <c r="D525" s="20"/>
      <c r="E525" s="20"/>
      <c r="F525" s="20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ht="15.75" customHeight="1">
      <c r="A526" s="11"/>
      <c r="B526" s="19"/>
      <c r="C526" s="11"/>
      <c r="D526" s="20"/>
      <c r="E526" s="20"/>
      <c r="F526" s="20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ht="15.75" customHeight="1">
      <c r="A527" s="11"/>
      <c r="B527" s="19"/>
      <c r="C527" s="11"/>
      <c r="D527" s="20"/>
      <c r="E527" s="20"/>
      <c r="F527" s="20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ht="15.75" customHeight="1">
      <c r="A528" s="11"/>
      <c r="B528" s="19"/>
      <c r="C528" s="11"/>
      <c r="D528" s="20"/>
      <c r="E528" s="20"/>
      <c r="F528" s="20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ht="15.75" customHeight="1">
      <c r="A529" s="11"/>
      <c r="B529" s="19"/>
      <c r="C529" s="11"/>
      <c r="D529" s="20"/>
      <c r="E529" s="20"/>
      <c r="F529" s="20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ht="15.75" customHeight="1">
      <c r="A530" s="11"/>
      <c r="B530" s="19"/>
      <c r="C530" s="11"/>
      <c r="D530" s="20"/>
      <c r="E530" s="20"/>
      <c r="F530" s="20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ht="15.75" customHeight="1">
      <c r="A531" s="11"/>
      <c r="B531" s="19"/>
      <c r="C531" s="11"/>
      <c r="D531" s="20"/>
      <c r="E531" s="20"/>
      <c r="F531" s="20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ht="15.75" customHeight="1">
      <c r="A532" s="11"/>
      <c r="B532" s="19"/>
      <c r="C532" s="11"/>
      <c r="D532" s="20"/>
      <c r="E532" s="20"/>
      <c r="F532" s="20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ht="15.75" customHeight="1">
      <c r="A533" s="11"/>
      <c r="B533" s="19"/>
      <c r="C533" s="11"/>
      <c r="D533" s="20"/>
      <c r="E533" s="20"/>
      <c r="F533" s="20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ht="15.75" customHeight="1">
      <c r="A534" s="11"/>
      <c r="B534" s="19"/>
      <c r="C534" s="11"/>
      <c r="D534" s="20"/>
      <c r="E534" s="20"/>
      <c r="F534" s="20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ht="15.75" customHeight="1">
      <c r="A535" s="11"/>
      <c r="B535" s="19"/>
      <c r="C535" s="11"/>
      <c r="D535" s="20"/>
      <c r="E535" s="20"/>
      <c r="F535" s="20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ht="15.75" customHeight="1">
      <c r="A536" s="11"/>
      <c r="B536" s="19"/>
      <c r="C536" s="11"/>
      <c r="D536" s="20"/>
      <c r="E536" s="20"/>
      <c r="F536" s="20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ht="15.75" customHeight="1">
      <c r="A537" s="11"/>
      <c r="B537" s="19"/>
      <c r="C537" s="11"/>
      <c r="D537" s="20"/>
      <c r="E537" s="20"/>
      <c r="F537" s="20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ht="15.75" customHeight="1">
      <c r="A538" s="11"/>
      <c r="B538" s="19"/>
      <c r="C538" s="11"/>
      <c r="D538" s="20"/>
      <c r="E538" s="20"/>
      <c r="F538" s="20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ht="15.75" customHeight="1">
      <c r="A539" s="11"/>
      <c r="B539" s="19"/>
      <c r="C539" s="11"/>
      <c r="D539" s="20"/>
      <c r="E539" s="20"/>
      <c r="F539" s="20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ht="15.75" customHeight="1">
      <c r="A540" s="11"/>
      <c r="B540" s="19"/>
      <c r="C540" s="11"/>
      <c r="D540" s="20"/>
      <c r="E540" s="20"/>
      <c r="F540" s="20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ht="15.75" customHeight="1">
      <c r="A541" s="11"/>
      <c r="B541" s="19"/>
      <c r="C541" s="11"/>
      <c r="D541" s="20"/>
      <c r="E541" s="20"/>
      <c r="F541" s="20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ht="15.75" customHeight="1">
      <c r="A542" s="11"/>
      <c r="B542" s="19"/>
      <c r="C542" s="11"/>
      <c r="D542" s="20"/>
      <c r="E542" s="20"/>
      <c r="F542" s="20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ht="15.75" customHeight="1">
      <c r="A543" s="11"/>
      <c r="B543" s="19"/>
      <c r="C543" s="11"/>
      <c r="D543" s="20"/>
      <c r="E543" s="20"/>
      <c r="F543" s="20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ht="15.75" customHeight="1">
      <c r="A544" s="11"/>
      <c r="B544" s="19"/>
      <c r="C544" s="11"/>
      <c r="D544" s="20"/>
      <c r="E544" s="20"/>
      <c r="F544" s="20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ht="15.75" customHeight="1">
      <c r="A545" s="11"/>
      <c r="B545" s="19"/>
      <c r="C545" s="11"/>
      <c r="D545" s="20"/>
      <c r="E545" s="20"/>
      <c r="F545" s="20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ht="15.75" customHeight="1">
      <c r="A546" s="11"/>
      <c r="B546" s="19"/>
      <c r="C546" s="11"/>
      <c r="D546" s="20"/>
      <c r="E546" s="20"/>
      <c r="F546" s="20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ht="15.75" customHeight="1">
      <c r="A547" s="11"/>
      <c r="B547" s="19"/>
      <c r="C547" s="11"/>
      <c r="D547" s="20"/>
      <c r="E547" s="20"/>
      <c r="F547" s="20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ht="15.75" customHeight="1">
      <c r="A548" s="11"/>
      <c r="B548" s="19"/>
      <c r="C548" s="11"/>
      <c r="D548" s="20"/>
      <c r="E548" s="20"/>
      <c r="F548" s="20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ht="15.75" customHeight="1">
      <c r="A549" s="11"/>
      <c r="B549" s="19"/>
      <c r="C549" s="11"/>
      <c r="D549" s="20"/>
      <c r="E549" s="20"/>
      <c r="F549" s="20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ht="15.75" customHeight="1">
      <c r="A550" s="11"/>
      <c r="B550" s="19"/>
      <c r="C550" s="11"/>
      <c r="D550" s="20"/>
      <c r="E550" s="20"/>
      <c r="F550" s="20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ht="15.75" customHeight="1">
      <c r="A551" s="11"/>
      <c r="B551" s="19"/>
      <c r="C551" s="11"/>
      <c r="D551" s="20"/>
      <c r="E551" s="20"/>
      <c r="F551" s="20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ht="15.75" customHeight="1">
      <c r="A552" s="11"/>
      <c r="B552" s="19"/>
      <c r="C552" s="11"/>
      <c r="D552" s="20"/>
      <c r="E552" s="20"/>
      <c r="F552" s="20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ht="15.75" customHeight="1">
      <c r="A553" s="11"/>
      <c r="B553" s="19"/>
      <c r="C553" s="11"/>
      <c r="D553" s="20"/>
      <c r="E553" s="20"/>
      <c r="F553" s="20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ht="15.75" customHeight="1">
      <c r="A554" s="11"/>
      <c r="B554" s="19"/>
      <c r="C554" s="11"/>
      <c r="D554" s="20"/>
      <c r="E554" s="20"/>
      <c r="F554" s="20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ht="15.75" customHeight="1">
      <c r="A555" s="11"/>
      <c r="B555" s="19"/>
      <c r="C555" s="11"/>
      <c r="D555" s="20"/>
      <c r="E555" s="20"/>
      <c r="F555" s="20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ht="15.75" customHeight="1">
      <c r="A556" s="11"/>
      <c r="B556" s="19"/>
      <c r="C556" s="11"/>
      <c r="D556" s="20"/>
      <c r="E556" s="20"/>
      <c r="F556" s="20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ht="15.75" customHeight="1">
      <c r="A557" s="11"/>
      <c r="B557" s="19"/>
      <c r="C557" s="11"/>
      <c r="D557" s="20"/>
      <c r="E557" s="20"/>
      <c r="F557" s="20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ht="15.75" customHeight="1">
      <c r="A558" s="11"/>
      <c r="B558" s="19"/>
      <c r="C558" s="11"/>
      <c r="D558" s="20"/>
      <c r="E558" s="20"/>
      <c r="F558" s="20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ht="15.75" customHeight="1">
      <c r="A559" s="11"/>
      <c r="B559" s="19"/>
      <c r="C559" s="11"/>
      <c r="D559" s="20"/>
      <c r="E559" s="20"/>
      <c r="F559" s="20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ht="15.75" customHeight="1">
      <c r="A560" s="11"/>
      <c r="B560" s="19"/>
      <c r="C560" s="11"/>
      <c r="D560" s="20"/>
      <c r="E560" s="20"/>
      <c r="F560" s="20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ht="15.75" customHeight="1">
      <c r="A561" s="11"/>
      <c r="B561" s="19"/>
      <c r="C561" s="11"/>
      <c r="D561" s="20"/>
      <c r="E561" s="20"/>
      <c r="F561" s="20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ht="15.75" customHeight="1">
      <c r="A562" s="11"/>
      <c r="B562" s="19"/>
      <c r="C562" s="11"/>
      <c r="D562" s="20"/>
      <c r="E562" s="20"/>
      <c r="F562" s="20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ht="15.75" customHeight="1">
      <c r="A563" s="11"/>
      <c r="B563" s="19"/>
      <c r="C563" s="11"/>
      <c r="D563" s="20"/>
      <c r="E563" s="20"/>
      <c r="F563" s="20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ht="15.75" customHeight="1">
      <c r="A564" s="11"/>
      <c r="B564" s="19"/>
      <c r="C564" s="11"/>
      <c r="D564" s="20"/>
      <c r="E564" s="20"/>
      <c r="F564" s="20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ht="15.75" customHeight="1">
      <c r="A565" s="11"/>
      <c r="B565" s="19"/>
      <c r="C565" s="11"/>
      <c r="D565" s="20"/>
      <c r="E565" s="20"/>
      <c r="F565" s="20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ht="15.75" customHeight="1">
      <c r="A566" s="11"/>
      <c r="B566" s="19"/>
      <c r="C566" s="11"/>
      <c r="D566" s="20"/>
      <c r="E566" s="20"/>
      <c r="F566" s="20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ht="15.75" customHeight="1">
      <c r="A567" s="11"/>
      <c r="B567" s="19"/>
      <c r="C567" s="11"/>
      <c r="D567" s="20"/>
      <c r="E567" s="20"/>
      <c r="F567" s="20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ht="15.75" customHeight="1">
      <c r="A568" s="11"/>
      <c r="B568" s="19"/>
      <c r="C568" s="11"/>
      <c r="D568" s="20"/>
      <c r="E568" s="20"/>
      <c r="F568" s="20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ht="15.75" customHeight="1">
      <c r="A569" s="11"/>
      <c r="B569" s="19"/>
      <c r="C569" s="11"/>
      <c r="D569" s="20"/>
      <c r="E569" s="20"/>
      <c r="F569" s="20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ht="15.75" customHeight="1">
      <c r="A570" s="11"/>
      <c r="B570" s="19"/>
      <c r="C570" s="11"/>
      <c r="D570" s="20"/>
      <c r="E570" s="20"/>
      <c r="F570" s="20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ht="15.75" customHeight="1">
      <c r="A571" s="11"/>
      <c r="B571" s="19"/>
      <c r="C571" s="11"/>
      <c r="D571" s="20"/>
      <c r="E571" s="20"/>
      <c r="F571" s="20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ht="15.75" customHeight="1">
      <c r="A572" s="11"/>
      <c r="B572" s="19"/>
      <c r="C572" s="11"/>
      <c r="D572" s="20"/>
      <c r="E572" s="20"/>
      <c r="F572" s="20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ht="15.75" customHeight="1">
      <c r="A573" s="11"/>
      <c r="B573" s="19"/>
      <c r="C573" s="11"/>
      <c r="D573" s="20"/>
      <c r="E573" s="20"/>
      <c r="F573" s="20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ht="15.75" customHeight="1">
      <c r="A574" s="11"/>
      <c r="B574" s="19"/>
      <c r="C574" s="11"/>
      <c r="D574" s="20"/>
      <c r="E574" s="20"/>
      <c r="F574" s="20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ht="15.75" customHeight="1">
      <c r="A575" s="11"/>
      <c r="B575" s="19"/>
      <c r="C575" s="11"/>
      <c r="D575" s="20"/>
      <c r="E575" s="20"/>
      <c r="F575" s="20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ht="15.75" customHeight="1">
      <c r="A576" s="11"/>
      <c r="B576" s="19"/>
      <c r="C576" s="11"/>
      <c r="D576" s="20"/>
      <c r="E576" s="20"/>
      <c r="F576" s="20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ht="15.75" customHeight="1">
      <c r="A577" s="11"/>
      <c r="B577" s="19"/>
      <c r="C577" s="11"/>
      <c r="D577" s="20"/>
      <c r="E577" s="20"/>
      <c r="F577" s="20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ht="15.75" customHeight="1">
      <c r="A578" s="11"/>
      <c r="B578" s="19"/>
      <c r="C578" s="11"/>
      <c r="D578" s="20"/>
      <c r="E578" s="20"/>
      <c r="F578" s="20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ht="15.75" customHeight="1">
      <c r="A579" s="11"/>
      <c r="B579" s="19"/>
      <c r="C579" s="11"/>
      <c r="D579" s="20"/>
      <c r="E579" s="20"/>
      <c r="F579" s="20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ht="15.75" customHeight="1">
      <c r="A580" s="11"/>
      <c r="B580" s="19"/>
      <c r="C580" s="11"/>
      <c r="D580" s="20"/>
      <c r="E580" s="20"/>
      <c r="F580" s="20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ht="15.75" customHeight="1">
      <c r="A581" s="11"/>
      <c r="B581" s="19"/>
      <c r="C581" s="11"/>
      <c r="D581" s="20"/>
      <c r="E581" s="20"/>
      <c r="F581" s="20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ht="15.75" customHeight="1">
      <c r="A582" s="11"/>
      <c r="B582" s="19"/>
      <c r="C582" s="11"/>
      <c r="D582" s="20"/>
      <c r="E582" s="20"/>
      <c r="F582" s="20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ht="15.75" customHeight="1">
      <c r="A583" s="11"/>
      <c r="B583" s="19"/>
      <c r="C583" s="11"/>
      <c r="D583" s="20"/>
      <c r="E583" s="20"/>
      <c r="F583" s="20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ht="15.75" customHeight="1">
      <c r="A584" s="11"/>
      <c r="B584" s="19"/>
      <c r="C584" s="11"/>
      <c r="D584" s="20"/>
      <c r="E584" s="20"/>
      <c r="F584" s="20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ht="15.75" customHeight="1">
      <c r="A585" s="11"/>
      <c r="B585" s="19"/>
      <c r="C585" s="11"/>
      <c r="D585" s="20"/>
      <c r="E585" s="20"/>
      <c r="F585" s="20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ht="15.75" customHeight="1">
      <c r="A586" s="11"/>
      <c r="B586" s="19"/>
      <c r="C586" s="11"/>
      <c r="D586" s="20"/>
      <c r="E586" s="20"/>
      <c r="F586" s="20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ht="15.75" customHeight="1">
      <c r="A587" s="11"/>
      <c r="B587" s="19"/>
      <c r="C587" s="11"/>
      <c r="D587" s="20"/>
      <c r="E587" s="20"/>
      <c r="F587" s="20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ht="15.75" customHeight="1">
      <c r="A588" s="11"/>
      <c r="B588" s="19"/>
      <c r="C588" s="11"/>
      <c r="D588" s="20"/>
      <c r="E588" s="20"/>
      <c r="F588" s="20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ht="15.75" customHeight="1">
      <c r="A589" s="11"/>
      <c r="B589" s="19"/>
      <c r="C589" s="11"/>
      <c r="D589" s="20"/>
      <c r="E589" s="20"/>
      <c r="F589" s="20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ht="15.75" customHeight="1">
      <c r="A590" s="11"/>
      <c r="B590" s="19"/>
      <c r="C590" s="11"/>
      <c r="D590" s="20"/>
      <c r="E590" s="20"/>
      <c r="F590" s="20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ht="15.75" customHeight="1">
      <c r="A591" s="11"/>
      <c r="B591" s="19"/>
      <c r="C591" s="11"/>
      <c r="D591" s="20"/>
      <c r="E591" s="20"/>
      <c r="F591" s="20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ht="15.75" customHeight="1">
      <c r="A592" s="11"/>
      <c r="B592" s="19"/>
      <c r="C592" s="11"/>
      <c r="D592" s="20"/>
      <c r="E592" s="20"/>
      <c r="F592" s="20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ht="15.75" customHeight="1">
      <c r="A593" s="11"/>
      <c r="B593" s="19"/>
      <c r="C593" s="11"/>
      <c r="D593" s="20"/>
      <c r="E593" s="20"/>
      <c r="F593" s="20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ht="15.75" customHeight="1">
      <c r="A594" s="11"/>
      <c r="B594" s="19"/>
      <c r="C594" s="11"/>
      <c r="D594" s="20"/>
      <c r="E594" s="20"/>
      <c r="F594" s="20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ht="15.75" customHeight="1">
      <c r="A595" s="11"/>
      <c r="B595" s="19"/>
      <c r="C595" s="11"/>
      <c r="D595" s="20"/>
      <c r="E595" s="20"/>
      <c r="F595" s="20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ht="15.75" customHeight="1">
      <c r="A596" s="11"/>
      <c r="B596" s="19"/>
      <c r="C596" s="11"/>
      <c r="D596" s="20"/>
      <c r="E596" s="20"/>
      <c r="F596" s="20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ht="15.75" customHeight="1">
      <c r="A597" s="11"/>
      <c r="B597" s="19"/>
      <c r="C597" s="11"/>
      <c r="D597" s="20"/>
      <c r="E597" s="20"/>
      <c r="F597" s="20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ht="15.75" customHeight="1">
      <c r="A598" s="11"/>
      <c r="B598" s="19"/>
      <c r="C598" s="11"/>
      <c r="D598" s="20"/>
      <c r="E598" s="20"/>
      <c r="F598" s="20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ht="15.75" customHeight="1">
      <c r="A599" s="11"/>
      <c r="B599" s="19"/>
      <c r="C599" s="11"/>
      <c r="D599" s="20"/>
      <c r="E599" s="20"/>
      <c r="F599" s="20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ht="15.75" customHeight="1">
      <c r="A600" s="11"/>
      <c r="B600" s="19"/>
      <c r="C600" s="11"/>
      <c r="D600" s="20"/>
      <c r="E600" s="20"/>
      <c r="F600" s="20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ht="15.75" customHeight="1">
      <c r="A601" s="11"/>
      <c r="B601" s="19"/>
      <c r="C601" s="11"/>
      <c r="D601" s="20"/>
      <c r="E601" s="20"/>
      <c r="F601" s="20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ht="15.75" customHeight="1">
      <c r="A602" s="11"/>
      <c r="B602" s="19"/>
      <c r="C602" s="11"/>
      <c r="D602" s="20"/>
      <c r="E602" s="20"/>
      <c r="F602" s="20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ht="15.75" customHeight="1">
      <c r="A603" s="11"/>
      <c r="B603" s="19"/>
      <c r="C603" s="11"/>
      <c r="D603" s="20"/>
      <c r="E603" s="20"/>
      <c r="F603" s="20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ht="15.75" customHeight="1">
      <c r="A604" s="11"/>
      <c r="B604" s="19"/>
      <c r="C604" s="11"/>
      <c r="D604" s="20"/>
      <c r="E604" s="20"/>
      <c r="F604" s="20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ht="15.75" customHeight="1">
      <c r="A605" s="11"/>
      <c r="B605" s="19"/>
      <c r="C605" s="11"/>
      <c r="D605" s="20"/>
      <c r="E605" s="20"/>
      <c r="F605" s="20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ht="15.75" customHeight="1">
      <c r="A606" s="11"/>
      <c r="B606" s="19"/>
      <c r="C606" s="11"/>
      <c r="D606" s="20"/>
      <c r="E606" s="20"/>
      <c r="F606" s="20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ht="15.75" customHeight="1">
      <c r="A607" s="11"/>
      <c r="B607" s="19"/>
      <c r="C607" s="11"/>
      <c r="D607" s="20"/>
      <c r="E607" s="20"/>
      <c r="F607" s="20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ht="15.75" customHeight="1">
      <c r="A608" s="11"/>
      <c r="B608" s="19"/>
      <c r="C608" s="11"/>
      <c r="D608" s="20"/>
      <c r="E608" s="20"/>
      <c r="F608" s="20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ht="15.75" customHeight="1">
      <c r="A609" s="11"/>
      <c r="B609" s="19"/>
      <c r="C609" s="11"/>
      <c r="D609" s="20"/>
      <c r="E609" s="20"/>
      <c r="F609" s="20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ht="15.75" customHeight="1">
      <c r="A610" s="11"/>
      <c r="B610" s="19"/>
      <c r="C610" s="11"/>
      <c r="D610" s="20"/>
      <c r="E610" s="20"/>
      <c r="F610" s="20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ht="15.75" customHeight="1">
      <c r="A611" s="11"/>
      <c r="B611" s="19"/>
      <c r="C611" s="11"/>
      <c r="D611" s="20"/>
      <c r="E611" s="20"/>
      <c r="F611" s="20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ht="15.75" customHeight="1">
      <c r="A612" s="11"/>
      <c r="B612" s="19"/>
      <c r="C612" s="11"/>
      <c r="D612" s="20"/>
      <c r="E612" s="20"/>
      <c r="F612" s="20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ht="15.75" customHeight="1">
      <c r="A613" s="11"/>
      <c r="B613" s="19"/>
      <c r="C613" s="11"/>
      <c r="D613" s="20"/>
      <c r="E613" s="20"/>
      <c r="F613" s="20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ht="15.75" customHeight="1">
      <c r="A614" s="11"/>
      <c r="B614" s="19"/>
      <c r="C614" s="11"/>
      <c r="D614" s="20"/>
      <c r="E614" s="20"/>
      <c r="F614" s="20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ht="15.75" customHeight="1">
      <c r="A615" s="11"/>
      <c r="B615" s="19"/>
      <c r="C615" s="11"/>
      <c r="D615" s="20"/>
      <c r="E615" s="20"/>
      <c r="F615" s="20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ht="15.75" customHeight="1">
      <c r="A616" s="11"/>
      <c r="B616" s="19"/>
      <c r="C616" s="11"/>
      <c r="D616" s="20"/>
      <c r="E616" s="20"/>
      <c r="F616" s="20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ht="15.75" customHeight="1">
      <c r="A617" s="11"/>
      <c r="B617" s="19"/>
      <c r="C617" s="11"/>
      <c r="D617" s="20"/>
      <c r="E617" s="20"/>
      <c r="F617" s="20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ht="15.75" customHeight="1">
      <c r="A618" s="11"/>
      <c r="B618" s="19"/>
      <c r="C618" s="11"/>
      <c r="D618" s="20"/>
      <c r="E618" s="20"/>
      <c r="F618" s="20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ht="15.75" customHeight="1">
      <c r="A619" s="11"/>
      <c r="B619" s="19"/>
      <c r="C619" s="11"/>
      <c r="D619" s="20"/>
      <c r="E619" s="20"/>
      <c r="F619" s="20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ht="15.75" customHeight="1">
      <c r="A620" s="11"/>
      <c r="B620" s="19"/>
      <c r="C620" s="11"/>
      <c r="D620" s="20"/>
      <c r="E620" s="20"/>
      <c r="F620" s="20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ht="15.75" customHeight="1">
      <c r="A621" s="11"/>
      <c r="B621" s="19"/>
      <c r="C621" s="11"/>
      <c r="D621" s="20"/>
      <c r="E621" s="20"/>
      <c r="F621" s="20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ht="15.75" customHeight="1">
      <c r="A622" s="11"/>
      <c r="B622" s="19"/>
      <c r="C622" s="11"/>
      <c r="D622" s="20"/>
      <c r="E622" s="20"/>
      <c r="F622" s="20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ht="15.75" customHeight="1">
      <c r="A623" s="11"/>
      <c r="B623" s="19"/>
      <c r="C623" s="11"/>
      <c r="D623" s="20"/>
      <c r="E623" s="20"/>
      <c r="F623" s="20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ht="15.75" customHeight="1">
      <c r="A624" s="11"/>
      <c r="B624" s="19"/>
      <c r="C624" s="11"/>
      <c r="D624" s="20"/>
      <c r="E624" s="20"/>
      <c r="F624" s="20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ht="15.75" customHeight="1">
      <c r="A625" s="11"/>
      <c r="B625" s="19"/>
      <c r="C625" s="11"/>
      <c r="D625" s="20"/>
      <c r="E625" s="20"/>
      <c r="F625" s="20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ht="15.75" customHeight="1">
      <c r="A626" s="11"/>
      <c r="B626" s="19"/>
      <c r="C626" s="11"/>
      <c r="D626" s="20"/>
      <c r="E626" s="20"/>
      <c r="F626" s="20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ht="15.75" customHeight="1">
      <c r="A627" s="11"/>
      <c r="B627" s="19"/>
      <c r="C627" s="11"/>
      <c r="D627" s="20"/>
      <c r="E627" s="20"/>
      <c r="F627" s="20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ht="15.75" customHeight="1">
      <c r="A628" s="11"/>
      <c r="B628" s="19"/>
      <c r="C628" s="11"/>
      <c r="D628" s="20"/>
      <c r="E628" s="20"/>
      <c r="F628" s="20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ht="15.75" customHeight="1">
      <c r="A629" s="11"/>
      <c r="B629" s="19"/>
      <c r="C629" s="11"/>
      <c r="D629" s="20"/>
      <c r="E629" s="20"/>
      <c r="F629" s="20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ht="15.75" customHeight="1">
      <c r="A630" s="11"/>
      <c r="B630" s="19"/>
      <c r="C630" s="11"/>
      <c r="D630" s="20"/>
      <c r="E630" s="20"/>
      <c r="F630" s="20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ht="15.75" customHeight="1">
      <c r="A631" s="11"/>
      <c r="B631" s="19"/>
      <c r="C631" s="11"/>
      <c r="D631" s="20"/>
      <c r="E631" s="20"/>
      <c r="F631" s="20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ht="15.75" customHeight="1">
      <c r="A632" s="11"/>
      <c r="B632" s="19"/>
      <c r="C632" s="11"/>
      <c r="D632" s="20"/>
      <c r="E632" s="20"/>
      <c r="F632" s="20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ht="15.75" customHeight="1">
      <c r="A633" s="11"/>
      <c r="B633" s="19"/>
      <c r="C633" s="11"/>
      <c r="D633" s="20"/>
      <c r="E633" s="20"/>
      <c r="F633" s="20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ht="15.75" customHeight="1">
      <c r="A634" s="11"/>
      <c r="B634" s="19"/>
      <c r="C634" s="11"/>
      <c r="D634" s="20"/>
      <c r="E634" s="20"/>
      <c r="F634" s="20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ht="15.75" customHeight="1">
      <c r="A635" s="11"/>
      <c r="B635" s="19"/>
      <c r="C635" s="11"/>
      <c r="D635" s="20"/>
      <c r="E635" s="20"/>
      <c r="F635" s="20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ht="15.75" customHeight="1">
      <c r="A636" s="11"/>
      <c r="B636" s="19"/>
      <c r="C636" s="11"/>
      <c r="D636" s="20"/>
      <c r="E636" s="20"/>
      <c r="F636" s="20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ht="15.75" customHeight="1">
      <c r="A637" s="11"/>
      <c r="B637" s="19"/>
      <c r="C637" s="11"/>
      <c r="D637" s="20"/>
      <c r="E637" s="20"/>
      <c r="F637" s="20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ht="15.75" customHeight="1">
      <c r="A638" s="11"/>
      <c r="B638" s="19"/>
      <c r="C638" s="11"/>
      <c r="D638" s="20"/>
      <c r="E638" s="20"/>
      <c r="F638" s="20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ht="15.75" customHeight="1">
      <c r="A639" s="11"/>
      <c r="B639" s="19"/>
      <c r="C639" s="11"/>
      <c r="D639" s="20"/>
      <c r="E639" s="20"/>
      <c r="F639" s="20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ht="15.75" customHeight="1">
      <c r="A640" s="11"/>
      <c r="B640" s="19"/>
      <c r="C640" s="11"/>
      <c r="D640" s="20"/>
      <c r="E640" s="20"/>
      <c r="F640" s="20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ht="15.75" customHeight="1">
      <c r="A641" s="11"/>
      <c r="B641" s="19"/>
      <c r="C641" s="11"/>
      <c r="D641" s="20"/>
      <c r="E641" s="20"/>
      <c r="F641" s="20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ht="15.75" customHeight="1">
      <c r="A642" s="11"/>
      <c r="B642" s="19"/>
      <c r="C642" s="11"/>
      <c r="D642" s="20"/>
      <c r="E642" s="20"/>
      <c r="F642" s="20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ht="15.75" customHeight="1">
      <c r="A643" s="11"/>
      <c r="B643" s="19"/>
      <c r="C643" s="11"/>
      <c r="D643" s="20"/>
      <c r="E643" s="20"/>
      <c r="F643" s="20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ht="15.75" customHeight="1">
      <c r="A644" s="11"/>
      <c r="B644" s="19"/>
      <c r="C644" s="11"/>
      <c r="D644" s="20"/>
      <c r="E644" s="20"/>
      <c r="F644" s="20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ht="15.75" customHeight="1">
      <c r="A645" s="11"/>
      <c r="B645" s="19"/>
      <c r="C645" s="11"/>
      <c r="D645" s="20"/>
      <c r="E645" s="20"/>
      <c r="F645" s="20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ht="15.75" customHeight="1">
      <c r="A646" s="11"/>
      <c r="B646" s="19"/>
      <c r="C646" s="11"/>
      <c r="D646" s="20"/>
      <c r="E646" s="20"/>
      <c r="F646" s="20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ht="15.75" customHeight="1">
      <c r="A647" s="11"/>
      <c r="B647" s="19"/>
      <c r="C647" s="11"/>
      <c r="D647" s="20"/>
      <c r="E647" s="20"/>
      <c r="F647" s="20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ht="15.75" customHeight="1">
      <c r="A648" s="11"/>
      <c r="B648" s="19"/>
      <c r="C648" s="11"/>
      <c r="D648" s="20"/>
      <c r="E648" s="20"/>
      <c r="F648" s="20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ht="15.75" customHeight="1">
      <c r="A649" s="11"/>
      <c r="B649" s="19"/>
      <c r="C649" s="11"/>
      <c r="D649" s="20"/>
      <c r="E649" s="20"/>
      <c r="F649" s="20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ht="15.75" customHeight="1">
      <c r="A650" s="11"/>
      <c r="B650" s="19"/>
      <c r="C650" s="11"/>
      <c r="D650" s="20"/>
      <c r="E650" s="20"/>
      <c r="F650" s="20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ht="15.75" customHeight="1">
      <c r="A651" s="11"/>
      <c r="B651" s="19"/>
      <c r="C651" s="11"/>
      <c r="D651" s="20"/>
      <c r="E651" s="20"/>
      <c r="F651" s="20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ht="15.75" customHeight="1">
      <c r="A652" s="11"/>
      <c r="B652" s="19"/>
      <c r="C652" s="11"/>
      <c r="D652" s="20"/>
      <c r="E652" s="20"/>
      <c r="F652" s="20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ht="15.75" customHeight="1">
      <c r="A653" s="11"/>
      <c r="B653" s="19"/>
      <c r="C653" s="11"/>
      <c r="D653" s="20"/>
      <c r="E653" s="20"/>
      <c r="F653" s="20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ht="15.75" customHeight="1">
      <c r="A654" s="11"/>
      <c r="B654" s="19"/>
      <c r="C654" s="11"/>
      <c r="D654" s="20"/>
      <c r="E654" s="20"/>
      <c r="F654" s="20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ht="15.75" customHeight="1">
      <c r="A655" s="11"/>
      <c r="B655" s="19"/>
      <c r="C655" s="11"/>
      <c r="D655" s="20"/>
      <c r="E655" s="20"/>
      <c r="F655" s="20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ht="15.75" customHeight="1">
      <c r="A656" s="11"/>
      <c r="B656" s="19"/>
      <c r="C656" s="11"/>
      <c r="D656" s="20"/>
      <c r="E656" s="20"/>
      <c r="F656" s="20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ht="15.75" customHeight="1">
      <c r="A657" s="11"/>
      <c r="B657" s="19"/>
      <c r="C657" s="11"/>
      <c r="D657" s="20"/>
      <c r="E657" s="20"/>
      <c r="F657" s="20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ht="15.75" customHeight="1">
      <c r="A658" s="11"/>
      <c r="B658" s="19"/>
      <c r="C658" s="11"/>
      <c r="D658" s="20"/>
      <c r="E658" s="20"/>
      <c r="F658" s="20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ht="15.75" customHeight="1">
      <c r="A659" s="11"/>
      <c r="B659" s="19"/>
      <c r="C659" s="11"/>
      <c r="D659" s="20"/>
      <c r="E659" s="20"/>
      <c r="F659" s="20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ht="15.75" customHeight="1">
      <c r="A660" s="11"/>
      <c r="B660" s="19"/>
      <c r="C660" s="11"/>
      <c r="D660" s="20"/>
      <c r="E660" s="20"/>
      <c r="F660" s="20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ht="15.75" customHeight="1">
      <c r="A661" s="11"/>
      <c r="B661" s="19"/>
      <c r="C661" s="11"/>
      <c r="D661" s="20"/>
      <c r="E661" s="20"/>
      <c r="F661" s="20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ht="15.75" customHeight="1">
      <c r="A662" s="11"/>
      <c r="B662" s="19"/>
      <c r="C662" s="11"/>
      <c r="D662" s="20"/>
      <c r="E662" s="20"/>
      <c r="F662" s="20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ht="15.75" customHeight="1">
      <c r="A663" s="11"/>
      <c r="B663" s="19"/>
      <c r="C663" s="11"/>
      <c r="D663" s="20"/>
      <c r="E663" s="20"/>
      <c r="F663" s="20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ht="15.75" customHeight="1">
      <c r="A664" s="11"/>
      <c r="B664" s="19"/>
      <c r="C664" s="11"/>
      <c r="D664" s="20"/>
      <c r="E664" s="20"/>
      <c r="F664" s="20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ht="15.75" customHeight="1">
      <c r="A665" s="11"/>
      <c r="B665" s="19"/>
      <c r="C665" s="11"/>
      <c r="D665" s="20"/>
      <c r="E665" s="20"/>
      <c r="F665" s="20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ht="15.75" customHeight="1">
      <c r="A666" s="11"/>
      <c r="B666" s="19"/>
      <c r="C666" s="11"/>
      <c r="D666" s="20"/>
      <c r="E666" s="20"/>
      <c r="F666" s="20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ht="15.75" customHeight="1">
      <c r="A667" s="11"/>
      <c r="B667" s="19"/>
      <c r="C667" s="11"/>
      <c r="D667" s="20"/>
      <c r="E667" s="20"/>
      <c r="F667" s="20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ht="15.75" customHeight="1">
      <c r="A668" s="11"/>
      <c r="B668" s="19"/>
      <c r="C668" s="11"/>
      <c r="D668" s="20"/>
      <c r="E668" s="20"/>
      <c r="F668" s="20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ht="15.75" customHeight="1">
      <c r="A669" s="11"/>
      <c r="B669" s="19"/>
      <c r="C669" s="11"/>
      <c r="D669" s="20"/>
      <c r="E669" s="20"/>
      <c r="F669" s="20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ht="15.75" customHeight="1">
      <c r="A670" s="11"/>
      <c r="B670" s="19"/>
      <c r="C670" s="11"/>
      <c r="D670" s="20"/>
      <c r="E670" s="20"/>
      <c r="F670" s="20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ht="15.75" customHeight="1">
      <c r="A671" s="11"/>
      <c r="B671" s="19"/>
      <c r="C671" s="11"/>
      <c r="D671" s="20"/>
      <c r="E671" s="20"/>
      <c r="F671" s="20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ht="15.75" customHeight="1">
      <c r="A672" s="11"/>
      <c r="B672" s="19"/>
      <c r="C672" s="11"/>
      <c r="D672" s="20"/>
      <c r="E672" s="20"/>
      <c r="F672" s="20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ht="15.75" customHeight="1">
      <c r="A673" s="11"/>
      <c r="B673" s="19"/>
      <c r="C673" s="11"/>
      <c r="D673" s="20"/>
      <c r="E673" s="20"/>
      <c r="F673" s="20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ht="15.75" customHeight="1">
      <c r="A674" s="11"/>
      <c r="B674" s="19"/>
      <c r="C674" s="11"/>
      <c r="D674" s="20"/>
      <c r="E674" s="20"/>
      <c r="F674" s="20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ht="15.75" customHeight="1">
      <c r="A675" s="11"/>
      <c r="B675" s="19"/>
      <c r="C675" s="11"/>
      <c r="D675" s="20"/>
      <c r="E675" s="20"/>
      <c r="F675" s="20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ht="15.75" customHeight="1">
      <c r="A676" s="11"/>
      <c r="B676" s="19"/>
      <c r="C676" s="11"/>
      <c r="D676" s="20"/>
      <c r="E676" s="20"/>
      <c r="F676" s="20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ht="15.75" customHeight="1">
      <c r="A677" s="11"/>
      <c r="B677" s="19"/>
      <c r="C677" s="11"/>
      <c r="D677" s="20"/>
      <c r="E677" s="20"/>
      <c r="F677" s="20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ht="15.75" customHeight="1">
      <c r="A678" s="11"/>
      <c r="B678" s="19"/>
      <c r="C678" s="11"/>
      <c r="D678" s="20"/>
      <c r="E678" s="20"/>
      <c r="F678" s="20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ht="15.75" customHeight="1">
      <c r="A679" s="11"/>
      <c r="B679" s="19"/>
      <c r="C679" s="11"/>
      <c r="D679" s="20"/>
      <c r="E679" s="20"/>
      <c r="F679" s="20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ht="15.75" customHeight="1">
      <c r="A680" s="11"/>
      <c r="B680" s="19"/>
      <c r="C680" s="11"/>
      <c r="D680" s="20"/>
      <c r="E680" s="20"/>
      <c r="F680" s="20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ht="15.75" customHeight="1">
      <c r="A681" s="11"/>
      <c r="B681" s="19"/>
      <c r="C681" s="11"/>
      <c r="D681" s="20"/>
      <c r="E681" s="20"/>
      <c r="F681" s="20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ht="15.75" customHeight="1">
      <c r="A682" s="11"/>
      <c r="B682" s="19"/>
      <c r="C682" s="11"/>
      <c r="D682" s="20"/>
      <c r="E682" s="20"/>
      <c r="F682" s="20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ht="15.75" customHeight="1">
      <c r="A683" s="11"/>
      <c r="B683" s="19"/>
      <c r="C683" s="11"/>
      <c r="D683" s="20"/>
      <c r="E683" s="20"/>
      <c r="F683" s="20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ht="15.75" customHeight="1">
      <c r="A684" s="11"/>
      <c r="B684" s="19"/>
      <c r="C684" s="11"/>
      <c r="D684" s="20"/>
      <c r="E684" s="20"/>
      <c r="F684" s="20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ht="15.75" customHeight="1">
      <c r="A685" s="11"/>
      <c r="B685" s="19"/>
      <c r="C685" s="11"/>
      <c r="D685" s="20"/>
      <c r="E685" s="20"/>
      <c r="F685" s="20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ht="15.75" customHeight="1">
      <c r="A686" s="11"/>
      <c r="B686" s="19"/>
      <c r="C686" s="11"/>
      <c r="D686" s="20"/>
      <c r="E686" s="20"/>
      <c r="F686" s="20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ht="15.75" customHeight="1">
      <c r="A687" s="11"/>
      <c r="B687" s="19"/>
      <c r="C687" s="11"/>
      <c r="D687" s="20"/>
      <c r="E687" s="20"/>
      <c r="F687" s="20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ht="15.75" customHeight="1">
      <c r="A688" s="11"/>
      <c r="B688" s="19"/>
      <c r="C688" s="11"/>
      <c r="D688" s="20"/>
      <c r="E688" s="20"/>
      <c r="F688" s="20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ht="15.75" customHeight="1">
      <c r="A689" s="11"/>
      <c r="B689" s="19"/>
      <c r="C689" s="11"/>
      <c r="D689" s="20"/>
      <c r="E689" s="20"/>
      <c r="F689" s="20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ht="15.75" customHeight="1">
      <c r="A690" s="11"/>
      <c r="B690" s="19"/>
      <c r="C690" s="11"/>
      <c r="D690" s="20"/>
      <c r="E690" s="20"/>
      <c r="F690" s="20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ht="15.75" customHeight="1">
      <c r="A691" s="11"/>
      <c r="B691" s="19"/>
      <c r="C691" s="11"/>
      <c r="D691" s="20"/>
      <c r="E691" s="20"/>
      <c r="F691" s="20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ht="15.75" customHeight="1">
      <c r="A692" s="11"/>
      <c r="B692" s="19"/>
      <c r="C692" s="11"/>
      <c r="D692" s="20"/>
      <c r="E692" s="20"/>
      <c r="F692" s="20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ht="15.75" customHeight="1">
      <c r="A693" s="11"/>
      <c r="B693" s="19"/>
      <c r="C693" s="11"/>
      <c r="D693" s="20"/>
      <c r="E693" s="20"/>
      <c r="F693" s="20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ht="15.75" customHeight="1">
      <c r="A694" s="11"/>
      <c r="B694" s="19"/>
      <c r="C694" s="11"/>
      <c r="D694" s="20"/>
      <c r="E694" s="20"/>
      <c r="F694" s="20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ht="15.75" customHeight="1">
      <c r="A695" s="11"/>
      <c r="B695" s="19"/>
      <c r="C695" s="11"/>
      <c r="D695" s="20"/>
      <c r="E695" s="20"/>
      <c r="F695" s="20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ht="15.75" customHeight="1">
      <c r="A696" s="11"/>
      <c r="B696" s="19"/>
      <c r="C696" s="11"/>
      <c r="D696" s="20"/>
      <c r="E696" s="20"/>
      <c r="F696" s="20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ht="15.75" customHeight="1">
      <c r="A697" s="11"/>
      <c r="B697" s="19"/>
      <c r="C697" s="11"/>
      <c r="D697" s="20"/>
      <c r="E697" s="20"/>
      <c r="F697" s="20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ht="15.75" customHeight="1">
      <c r="A698" s="11"/>
      <c r="B698" s="19"/>
      <c r="C698" s="11"/>
      <c r="D698" s="20"/>
      <c r="E698" s="20"/>
      <c r="F698" s="20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ht="15.75" customHeight="1">
      <c r="A699" s="11"/>
      <c r="B699" s="19"/>
      <c r="C699" s="11"/>
      <c r="D699" s="20"/>
      <c r="E699" s="20"/>
      <c r="F699" s="20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ht="15.75" customHeight="1">
      <c r="A700" s="11"/>
      <c r="B700" s="19"/>
      <c r="C700" s="11"/>
      <c r="D700" s="20"/>
      <c r="E700" s="20"/>
      <c r="F700" s="20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ht="15.75" customHeight="1">
      <c r="A701" s="11"/>
      <c r="B701" s="19"/>
      <c r="C701" s="11"/>
      <c r="D701" s="20"/>
      <c r="E701" s="20"/>
      <c r="F701" s="20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ht="15.75" customHeight="1">
      <c r="A702" s="11"/>
      <c r="B702" s="19"/>
      <c r="C702" s="11"/>
      <c r="D702" s="20"/>
      <c r="E702" s="20"/>
      <c r="F702" s="20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ht="15.75" customHeight="1">
      <c r="A703" s="11"/>
      <c r="B703" s="19"/>
      <c r="C703" s="11"/>
      <c r="D703" s="20"/>
      <c r="E703" s="20"/>
      <c r="F703" s="20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ht="15.75" customHeight="1">
      <c r="A704" s="11"/>
      <c r="B704" s="19"/>
      <c r="C704" s="11"/>
      <c r="D704" s="20"/>
      <c r="E704" s="20"/>
      <c r="F704" s="20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ht="15.75" customHeight="1">
      <c r="A705" s="11"/>
      <c r="B705" s="19"/>
      <c r="C705" s="11"/>
      <c r="D705" s="20"/>
      <c r="E705" s="20"/>
      <c r="F705" s="20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ht="15.75" customHeight="1">
      <c r="A706" s="11"/>
      <c r="B706" s="19"/>
      <c r="C706" s="11"/>
      <c r="D706" s="20"/>
      <c r="E706" s="20"/>
      <c r="F706" s="20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ht="15.75" customHeight="1">
      <c r="A707" s="11"/>
      <c r="B707" s="19"/>
      <c r="C707" s="11"/>
      <c r="D707" s="20"/>
      <c r="E707" s="20"/>
      <c r="F707" s="20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ht="15.75" customHeight="1">
      <c r="A708" s="11"/>
      <c r="B708" s="19"/>
      <c r="C708" s="11"/>
      <c r="D708" s="20"/>
      <c r="E708" s="20"/>
      <c r="F708" s="20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ht="15.75" customHeight="1">
      <c r="A709" s="11"/>
      <c r="B709" s="19"/>
      <c r="C709" s="11"/>
      <c r="D709" s="20"/>
      <c r="E709" s="20"/>
      <c r="F709" s="20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ht="15.75" customHeight="1">
      <c r="A710" s="11"/>
      <c r="B710" s="19"/>
      <c r="C710" s="11"/>
      <c r="D710" s="20"/>
      <c r="E710" s="20"/>
      <c r="F710" s="20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ht="15.75" customHeight="1">
      <c r="A711" s="11"/>
      <c r="B711" s="19"/>
      <c r="C711" s="11"/>
      <c r="D711" s="20"/>
      <c r="E711" s="20"/>
      <c r="F711" s="20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ht="15.75" customHeight="1">
      <c r="A712" s="11"/>
      <c r="B712" s="19"/>
      <c r="C712" s="11"/>
      <c r="D712" s="20"/>
      <c r="E712" s="20"/>
      <c r="F712" s="20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ht="15.75" customHeight="1">
      <c r="A713" s="11"/>
      <c r="B713" s="19"/>
      <c r="C713" s="11"/>
      <c r="D713" s="20"/>
      <c r="E713" s="20"/>
      <c r="F713" s="20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ht="15.75" customHeight="1">
      <c r="A714" s="11"/>
      <c r="B714" s="19"/>
      <c r="C714" s="11"/>
      <c r="D714" s="20"/>
      <c r="E714" s="20"/>
      <c r="F714" s="20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ht="15.75" customHeight="1">
      <c r="A715" s="11"/>
      <c r="B715" s="19"/>
      <c r="C715" s="11"/>
      <c r="D715" s="20"/>
      <c r="E715" s="20"/>
      <c r="F715" s="20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ht="15.75" customHeight="1">
      <c r="A716" s="11"/>
      <c r="B716" s="19"/>
      <c r="C716" s="11"/>
      <c r="D716" s="20"/>
      <c r="E716" s="20"/>
      <c r="F716" s="20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ht="15.75" customHeight="1">
      <c r="A717" s="11"/>
      <c r="B717" s="19"/>
      <c r="C717" s="11"/>
      <c r="D717" s="20"/>
      <c r="E717" s="20"/>
      <c r="F717" s="20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ht="15.75" customHeight="1">
      <c r="A718" s="11"/>
      <c r="B718" s="19"/>
      <c r="C718" s="11"/>
      <c r="D718" s="20"/>
      <c r="E718" s="20"/>
      <c r="F718" s="20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ht="15.75" customHeight="1">
      <c r="A719" s="11"/>
      <c r="B719" s="19"/>
      <c r="C719" s="11"/>
      <c r="D719" s="20"/>
      <c r="E719" s="20"/>
      <c r="F719" s="20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ht="15.75" customHeight="1">
      <c r="A720" s="11"/>
      <c r="B720" s="19"/>
      <c r="C720" s="11"/>
      <c r="D720" s="20"/>
      <c r="E720" s="20"/>
      <c r="F720" s="20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ht="15.75" customHeight="1">
      <c r="A721" s="11"/>
      <c r="B721" s="19"/>
      <c r="C721" s="11"/>
      <c r="D721" s="20"/>
      <c r="E721" s="20"/>
      <c r="F721" s="20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ht="15.75" customHeight="1">
      <c r="A722" s="11"/>
      <c r="B722" s="19"/>
      <c r="C722" s="11"/>
      <c r="D722" s="20"/>
      <c r="E722" s="20"/>
      <c r="F722" s="20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ht="15.75" customHeight="1">
      <c r="A723" s="11"/>
      <c r="B723" s="19"/>
      <c r="C723" s="11"/>
      <c r="D723" s="20"/>
      <c r="E723" s="20"/>
      <c r="F723" s="20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</sheetData>
  <autoFilter ref="$A$1:$F$723">
    <sortState ref="A1:F723">
      <sortCondition ref="A1:A723"/>
      <sortCondition ref="B1:B723"/>
    </sortState>
  </autoFilter>
  <dataValidations>
    <dataValidation type="list" allowBlank="1" showErrorMessage="1" sqref="B2:B60">
      <formula1>"1,2,3,4,5,6,N"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</hyperlinks>
  <drawing r:id="rId6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19.0"/>
    <col customWidth="1" min="3" max="3" width="5.38"/>
    <col customWidth="1" min="4" max="4" width="13.75"/>
    <col customWidth="1" min="5" max="5" width="43.38"/>
    <col customWidth="1" min="6" max="6" width="27.5"/>
    <col customWidth="1" min="7" max="7" width="65.63"/>
  </cols>
  <sheetData>
    <row r="1">
      <c r="A1" s="21" t="s">
        <v>306</v>
      </c>
      <c r="B1" s="21" t="s">
        <v>6</v>
      </c>
      <c r="C1" s="21" t="s">
        <v>7</v>
      </c>
      <c r="D1" s="21" t="s">
        <v>8</v>
      </c>
      <c r="E1" s="21" t="s">
        <v>9</v>
      </c>
      <c r="F1" s="21" t="s">
        <v>10</v>
      </c>
      <c r="G1" s="21" t="s">
        <v>11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>
      <c r="A2" s="23">
        <v>1.0</v>
      </c>
      <c r="B2" s="24" t="s">
        <v>27</v>
      </c>
      <c r="C2" s="16">
        <v>2.0</v>
      </c>
      <c r="D2" s="24" t="s">
        <v>28</v>
      </c>
      <c r="E2" s="24" t="s">
        <v>29</v>
      </c>
      <c r="F2" s="24" t="s">
        <v>30</v>
      </c>
      <c r="G2" s="25" t="s">
        <v>307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>
      <c r="A3" s="23">
        <v>2.0</v>
      </c>
      <c r="B3" s="24" t="s">
        <v>42</v>
      </c>
      <c r="C3" s="16">
        <v>2.0</v>
      </c>
      <c r="D3" s="24" t="s">
        <v>43</v>
      </c>
      <c r="E3" s="24" t="s">
        <v>44</v>
      </c>
      <c r="F3" s="24" t="s">
        <v>45</v>
      </c>
      <c r="G3" s="25" t="s">
        <v>308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>
      <c r="A4" s="23">
        <v>3.0</v>
      </c>
      <c r="B4" s="24" t="s">
        <v>197</v>
      </c>
      <c r="C4" s="16">
        <v>3.0</v>
      </c>
      <c r="D4" s="24" t="s">
        <v>198</v>
      </c>
      <c r="E4" s="24" t="s">
        <v>199</v>
      </c>
      <c r="F4" s="24" t="s">
        <v>200</v>
      </c>
      <c r="G4" s="25" t="s">
        <v>309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>
      <c r="A5" s="23">
        <v>4.0</v>
      </c>
      <c r="B5" s="24" t="s">
        <v>152</v>
      </c>
      <c r="C5" s="16">
        <v>3.0</v>
      </c>
      <c r="D5" s="24" t="s">
        <v>153</v>
      </c>
      <c r="E5" s="24" t="s">
        <v>154</v>
      </c>
      <c r="F5" s="24" t="s">
        <v>155</v>
      </c>
      <c r="G5" s="25" t="s">
        <v>310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>
      <c r="A6" s="23">
        <v>5.0</v>
      </c>
      <c r="B6" s="24" t="s">
        <v>67</v>
      </c>
      <c r="C6" s="16">
        <v>3.0</v>
      </c>
      <c r="D6" s="24" t="s">
        <v>68</v>
      </c>
      <c r="E6" s="24" t="s">
        <v>69</v>
      </c>
      <c r="F6" s="24" t="s">
        <v>70</v>
      </c>
      <c r="G6" s="25" t="s">
        <v>311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>
      <c r="A7" s="23">
        <v>6.0</v>
      </c>
      <c r="B7" s="24" t="s">
        <v>112</v>
      </c>
      <c r="C7" s="16">
        <v>4.0</v>
      </c>
      <c r="D7" s="24" t="s">
        <v>113</v>
      </c>
      <c r="E7" s="24" t="s">
        <v>114</v>
      </c>
      <c r="F7" s="24" t="s">
        <v>115</v>
      </c>
      <c r="G7" s="25" t="s">
        <v>312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>
      <c r="A8" s="23">
        <v>7.0</v>
      </c>
      <c r="B8" s="24" t="s">
        <v>251</v>
      </c>
      <c r="C8" s="16">
        <v>5.0</v>
      </c>
      <c r="D8" s="24" t="s">
        <v>252</v>
      </c>
      <c r="E8" s="24" t="s">
        <v>253</v>
      </c>
      <c r="F8" s="24" t="s">
        <v>254</v>
      </c>
      <c r="G8" s="25" t="s">
        <v>313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>
      <c r="A9" s="23">
        <v>8.0</v>
      </c>
      <c r="B9" s="24" t="s">
        <v>212</v>
      </c>
      <c r="C9" s="16">
        <v>5.0</v>
      </c>
      <c r="D9" s="24" t="s">
        <v>213</v>
      </c>
      <c r="E9" s="24" t="s">
        <v>214</v>
      </c>
      <c r="F9" s="24" t="s">
        <v>215</v>
      </c>
      <c r="G9" s="25" t="s">
        <v>314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>
      <c r="A10" s="23">
        <v>9.0</v>
      </c>
      <c r="B10" s="24" t="s">
        <v>17</v>
      </c>
      <c r="C10" s="16">
        <v>4.0</v>
      </c>
      <c r="D10" s="24" t="s">
        <v>18</v>
      </c>
      <c r="E10" s="24" t="s">
        <v>19</v>
      </c>
      <c r="F10" s="24" t="s">
        <v>20</v>
      </c>
      <c r="G10" s="25" t="s">
        <v>315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>
      <c r="A11" s="23">
        <v>10.0</v>
      </c>
      <c r="B11" s="24" t="s">
        <v>222</v>
      </c>
      <c r="C11" s="16">
        <v>6.0</v>
      </c>
      <c r="D11" s="24" t="s">
        <v>223</v>
      </c>
      <c r="E11" s="24" t="s">
        <v>224</v>
      </c>
      <c r="F11" s="24" t="s">
        <v>225</v>
      </c>
      <c r="G11" s="25" t="s">
        <v>316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>
      <c r="A12" s="23">
        <v>11.0</v>
      </c>
      <c r="B12" s="24" t="s">
        <v>102</v>
      </c>
      <c r="C12" s="16">
        <v>2.0</v>
      </c>
      <c r="D12" s="24" t="s">
        <v>103</v>
      </c>
      <c r="E12" s="24" t="s">
        <v>104</v>
      </c>
      <c r="F12" s="24" t="s">
        <v>105</v>
      </c>
      <c r="G12" s="25" t="s">
        <v>317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>
      <c r="A13" s="23">
        <v>12.0</v>
      </c>
      <c r="B13" s="24" t="s">
        <v>77</v>
      </c>
      <c r="C13" s="16">
        <v>5.0</v>
      </c>
      <c r="D13" s="24" t="s">
        <v>78</v>
      </c>
      <c r="E13" s="24" t="s">
        <v>79</v>
      </c>
      <c r="F13" s="24" t="s">
        <v>80</v>
      </c>
      <c r="G13" s="25" t="s">
        <v>318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>
      <c r="A14" s="23">
        <v>13.0</v>
      </c>
      <c r="B14" s="24" t="s">
        <v>92</v>
      </c>
      <c r="C14" s="16">
        <v>6.0</v>
      </c>
      <c r="D14" s="24" t="s">
        <v>93</v>
      </c>
      <c r="E14" s="24" t="s">
        <v>94</v>
      </c>
      <c r="F14" s="24" t="s">
        <v>95</v>
      </c>
      <c r="G14" s="25" t="s">
        <v>319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>
      <c r="A15" s="23">
        <v>14.0</v>
      </c>
      <c r="B15" s="24" t="s">
        <v>207</v>
      </c>
      <c r="C15" s="16">
        <v>1.0</v>
      </c>
      <c r="D15" s="24" t="s">
        <v>208</v>
      </c>
      <c r="E15" s="24" t="s">
        <v>209</v>
      </c>
      <c r="F15" s="24" t="s">
        <v>210</v>
      </c>
      <c r="G15" s="25" t="s">
        <v>320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>
      <c r="A16" s="23">
        <v>15.0</v>
      </c>
      <c r="B16" s="24" t="s">
        <v>281</v>
      </c>
      <c r="C16" s="16">
        <v>6.0</v>
      </c>
      <c r="D16" s="24" t="s">
        <v>282</v>
      </c>
      <c r="E16" s="24" t="s">
        <v>283</v>
      </c>
      <c r="F16" s="24" t="s">
        <v>284</v>
      </c>
      <c r="G16" s="25" t="s">
        <v>321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>
      <c r="A17" s="23">
        <v>16.0</v>
      </c>
      <c r="B17" s="24" t="s">
        <v>192</v>
      </c>
      <c r="C17" s="16">
        <v>4.0</v>
      </c>
      <c r="D17" s="24" t="s">
        <v>193</v>
      </c>
      <c r="E17" s="24" t="s">
        <v>194</v>
      </c>
      <c r="F17" s="24" t="s">
        <v>195</v>
      </c>
      <c r="G17" s="25" t="s">
        <v>322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>
      <c r="A18" s="23">
        <v>17.0</v>
      </c>
      <c r="B18" s="24" t="s">
        <v>266</v>
      </c>
      <c r="C18" s="16">
        <v>3.0</v>
      </c>
      <c r="D18" s="24" t="s">
        <v>267</v>
      </c>
      <c r="E18" s="24" t="s">
        <v>268</v>
      </c>
      <c r="F18" s="24" t="s">
        <v>269</v>
      </c>
      <c r="G18" s="25" t="s">
        <v>323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>
      <c r="A19" s="23">
        <v>18.0</v>
      </c>
      <c r="B19" s="24" t="s">
        <v>291</v>
      </c>
      <c r="C19" s="16">
        <v>5.0</v>
      </c>
      <c r="D19" s="24" t="s">
        <v>292</v>
      </c>
      <c r="E19" s="24" t="s">
        <v>293</v>
      </c>
      <c r="F19" s="24" t="s">
        <v>294</v>
      </c>
      <c r="G19" s="25" t="s">
        <v>324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>
      <c r="A20" s="23">
        <v>19.0</v>
      </c>
      <c r="B20" s="24" t="s">
        <v>301</v>
      </c>
      <c r="C20" s="16">
        <v>4.0</v>
      </c>
      <c r="D20" s="24" t="s">
        <v>302</v>
      </c>
      <c r="E20" s="24" t="s">
        <v>303</v>
      </c>
      <c r="F20" s="24" t="s">
        <v>304</v>
      </c>
      <c r="G20" s="25" t="s">
        <v>325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>
      <c r="A21" s="23">
        <v>20.0</v>
      </c>
      <c r="B21" s="24" t="s">
        <v>296</v>
      </c>
      <c r="C21" s="16">
        <v>3.0</v>
      </c>
      <c r="D21" s="24" t="s">
        <v>297</v>
      </c>
      <c r="E21" s="24" t="s">
        <v>298</v>
      </c>
      <c r="F21" s="24" t="s">
        <v>299</v>
      </c>
      <c r="G21" s="25" t="s">
        <v>326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>
      <c r="A22" s="23">
        <v>21.0</v>
      </c>
      <c r="B22" s="24" t="s">
        <v>127</v>
      </c>
      <c r="C22" s="16" t="s">
        <v>53</v>
      </c>
      <c r="D22" s="24" t="s">
        <v>128</v>
      </c>
      <c r="E22" s="24" t="s">
        <v>129</v>
      </c>
      <c r="F22" s="24" t="s">
        <v>130</v>
      </c>
      <c r="G22" s="25" t="s">
        <v>327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>
      <c r="A23" s="23">
        <v>22.0</v>
      </c>
      <c r="B23" s="24" t="s">
        <v>172</v>
      </c>
      <c r="C23" s="16">
        <v>2.0</v>
      </c>
      <c r="D23" s="24" t="s">
        <v>173</v>
      </c>
      <c r="E23" s="24" t="s">
        <v>174</v>
      </c>
      <c r="F23" s="24" t="s">
        <v>175</v>
      </c>
      <c r="G23" s="25" t="s">
        <v>328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>
      <c r="A24" s="23">
        <v>23.0</v>
      </c>
      <c r="B24" s="24" t="s">
        <v>177</v>
      </c>
      <c r="C24" s="16" t="s">
        <v>53</v>
      </c>
      <c r="D24" s="24" t="s">
        <v>178</v>
      </c>
      <c r="E24" s="24" t="s">
        <v>179</v>
      </c>
      <c r="F24" s="24" t="s">
        <v>180</v>
      </c>
      <c r="G24" s="25" t="s">
        <v>329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>
      <c r="A25" s="23">
        <v>24.0</v>
      </c>
      <c r="B25" s="24" t="s">
        <v>167</v>
      </c>
      <c r="C25" s="16">
        <v>4.0</v>
      </c>
      <c r="D25" s="24" t="s">
        <v>168</v>
      </c>
      <c r="E25" s="24" t="s">
        <v>169</v>
      </c>
      <c r="F25" s="24" t="s">
        <v>170</v>
      </c>
      <c r="G25" s="25" t="s">
        <v>330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>
      <c r="A26" s="23">
        <v>25.0</v>
      </c>
      <c r="B26" s="24" t="s">
        <v>237</v>
      </c>
      <c r="C26" s="16">
        <v>1.0</v>
      </c>
      <c r="D26" s="24" t="s">
        <v>238</v>
      </c>
      <c r="E26" s="24" t="s">
        <v>239</v>
      </c>
      <c r="F26" s="24" t="s">
        <v>240</v>
      </c>
      <c r="G26" s="25" t="s">
        <v>331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>
      <c r="A27" s="23">
        <v>26.0</v>
      </c>
      <c r="B27" s="24" t="s">
        <v>182</v>
      </c>
      <c r="C27" s="16">
        <v>3.0</v>
      </c>
      <c r="D27" s="24" t="s">
        <v>183</v>
      </c>
      <c r="E27" s="24" t="s">
        <v>332</v>
      </c>
      <c r="F27" s="24" t="s">
        <v>185</v>
      </c>
      <c r="G27" s="25" t="s">
        <v>333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>
      <c r="A28" s="23">
        <v>27.0</v>
      </c>
      <c r="B28" s="24" t="s">
        <v>82</v>
      </c>
      <c r="C28" s="16">
        <v>1.0</v>
      </c>
      <c r="D28" s="24" t="s">
        <v>83</v>
      </c>
      <c r="E28" s="24" t="s">
        <v>84</v>
      </c>
      <c r="F28" s="24" t="s">
        <v>85</v>
      </c>
      <c r="G28" s="25" t="s">
        <v>334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>
      <c r="A30" s="22" t="s">
        <v>335</v>
      </c>
      <c r="B30" s="12" t="s">
        <v>241</v>
      </c>
      <c r="C30" s="16">
        <v>1.0</v>
      </c>
      <c r="D30" s="12" t="s">
        <v>242</v>
      </c>
      <c r="E30" s="4" t="s">
        <v>243</v>
      </c>
      <c r="F30" s="4" t="s">
        <v>244</v>
      </c>
      <c r="G30" s="17" t="s">
        <v>245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>
      <c r="A31" s="22" t="s">
        <v>335</v>
      </c>
      <c r="B31" s="12" t="s">
        <v>217</v>
      </c>
      <c r="C31" s="13">
        <v>6.0</v>
      </c>
      <c r="D31" s="12" t="s">
        <v>218</v>
      </c>
      <c r="E31" s="4" t="s">
        <v>219</v>
      </c>
      <c r="F31" s="4" t="s">
        <v>220</v>
      </c>
      <c r="G31" s="15" t="s">
        <v>221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>
      <c r="A32" s="22" t="s">
        <v>335</v>
      </c>
      <c r="B32" s="12" t="s">
        <v>132</v>
      </c>
      <c r="C32" s="13">
        <v>4.0</v>
      </c>
      <c r="D32" s="12" t="s">
        <v>133</v>
      </c>
      <c r="E32" s="4" t="s">
        <v>134</v>
      </c>
      <c r="F32" s="4" t="s">
        <v>135</v>
      </c>
      <c r="G32" s="15" t="s">
        <v>136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</row>
  </sheetData>
  <dataValidations>
    <dataValidation type="list" allowBlank="1" showErrorMessage="1" sqref="C2:C28 C30:C32">
      <formula1>"1,2,3,4,5,6,N"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30"/>
    <hyperlink r:id="rId29" ref="G31"/>
    <hyperlink r:id="rId30" ref="G32"/>
  </hyperlinks>
  <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3.63"/>
    <col customWidth="1" min="3" max="3" width="5.38"/>
    <col customWidth="1" min="4" max="4" width="13.75"/>
    <col customWidth="1" min="5" max="5" width="43.38"/>
    <col customWidth="1" min="6" max="6" width="27.5"/>
    <col customWidth="1" min="7" max="7" width="65.63"/>
  </cols>
  <sheetData>
    <row r="1">
      <c r="A1" s="26" t="s">
        <v>306</v>
      </c>
      <c r="B1" s="26" t="s">
        <v>6</v>
      </c>
      <c r="C1" s="26" t="s">
        <v>7</v>
      </c>
      <c r="D1" s="26" t="s">
        <v>8</v>
      </c>
      <c r="E1" s="26" t="s">
        <v>9</v>
      </c>
      <c r="F1" s="26" t="s">
        <v>10</v>
      </c>
      <c r="G1" s="26" t="s">
        <v>11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>
      <c r="A2" s="23">
        <v>1.0</v>
      </c>
      <c r="B2" s="24" t="s">
        <v>117</v>
      </c>
      <c r="C2" s="23">
        <v>3.0</v>
      </c>
      <c r="D2" s="24" t="s">
        <v>118</v>
      </c>
      <c r="E2" s="24" t="s">
        <v>119</v>
      </c>
      <c r="F2" s="24" t="s">
        <v>120</v>
      </c>
      <c r="G2" s="25" t="s">
        <v>336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>
      <c r="A3" s="23">
        <v>2.0</v>
      </c>
      <c r="B3" s="24" t="s">
        <v>62</v>
      </c>
      <c r="C3" s="23">
        <v>2.0</v>
      </c>
      <c r="D3" s="24" t="s">
        <v>63</v>
      </c>
      <c r="E3" s="24" t="s">
        <v>64</v>
      </c>
      <c r="F3" s="24" t="s">
        <v>65</v>
      </c>
      <c r="G3" s="25" t="s">
        <v>337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>
      <c r="A4" s="23">
        <v>3.0</v>
      </c>
      <c r="B4" s="24" t="s">
        <v>276</v>
      </c>
      <c r="C4" s="23">
        <v>4.0</v>
      </c>
      <c r="D4" s="24" t="s">
        <v>277</v>
      </c>
      <c r="E4" s="24" t="s">
        <v>278</v>
      </c>
      <c r="F4" s="24" t="s">
        <v>279</v>
      </c>
      <c r="G4" s="25" t="s">
        <v>338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>
      <c r="A5" s="23">
        <v>4.0</v>
      </c>
      <c r="B5" s="24" t="s">
        <v>47</v>
      </c>
      <c r="C5" s="23">
        <v>5.0</v>
      </c>
      <c r="D5" s="24" t="s">
        <v>48</v>
      </c>
      <c r="E5" s="24" t="s">
        <v>49</v>
      </c>
      <c r="F5" s="24" t="s">
        <v>50</v>
      </c>
      <c r="G5" s="25" t="s">
        <v>339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>
      <c r="A6" s="23">
        <v>5.0</v>
      </c>
      <c r="B6" s="24" t="s">
        <v>261</v>
      </c>
      <c r="C6" s="23">
        <v>6.0</v>
      </c>
      <c r="D6" s="24" t="s">
        <v>262</v>
      </c>
      <c r="E6" s="24" t="s">
        <v>263</v>
      </c>
      <c r="F6" s="24" t="s">
        <v>264</v>
      </c>
      <c r="G6" s="25" t="s">
        <v>340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>
      <c r="A7" s="23">
        <v>6.0</v>
      </c>
      <c r="B7" s="24" t="s">
        <v>122</v>
      </c>
      <c r="C7" s="23">
        <v>3.0</v>
      </c>
      <c r="D7" s="24" t="s">
        <v>123</v>
      </c>
      <c r="E7" s="24" t="s">
        <v>124</v>
      </c>
      <c r="F7" s="24" t="s">
        <v>125</v>
      </c>
      <c r="G7" s="25" t="s">
        <v>341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>
      <c r="A8" s="23">
        <v>7.0</v>
      </c>
      <c r="B8" s="24" t="s">
        <v>187</v>
      </c>
      <c r="C8" s="23">
        <v>5.0</v>
      </c>
      <c r="D8" s="24" t="s">
        <v>188</v>
      </c>
      <c r="E8" s="24" t="s">
        <v>189</v>
      </c>
      <c r="F8" s="24" t="s">
        <v>190</v>
      </c>
      <c r="G8" s="25" t="s">
        <v>342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>
      <c r="A9" s="23">
        <v>8.0</v>
      </c>
      <c r="B9" s="24" t="s">
        <v>343</v>
      </c>
      <c r="C9" s="23">
        <v>6.0</v>
      </c>
      <c r="D9" s="24" t="s">
        <v>23</v>
      </c>
      <c r="E9" s="24" t="s">
        <v>24</v>
      </c>
      <c r="F9" s="24" t="s">
        <v>25</v>
      </c>
      <c r="G9" s="25" t="s">
        <v>344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>
      <c r="A10" s="23">
        <v>9.0</v>
      </c>
      <c r="B10" s="24" t="s">
        <v>58</v>
      </c>
      <c r="C10" s="23">
        <v>4.0</v>
      </c>
      <c r="D10" s="24" t="s">
        <v>58</v>
      </c>
      <c r="E10" s="24" t="s">
        <v>59</v>
      </c>
      <c r="F10" s="24" t="s">
        <v>60</v>
      </c>
      <c r="G10" s="25" t="s">
        <v>345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>
      <c r="A11" s="23">
        <v>10.0</v>
      </c>
      <c r="B11" s="24" t="s">
        <v>256</v>
      </c>
      <c r="C11" s="23">
        <v>3.0</v>
      </c>
      <c r="D11" s="24" t="s">
        <v>257</v>
      </c>
      <c r="E11" s="24" t="s">
        <v>258</v>
      </c>
      <c r="F11" s="24" t="s">
        <v>259</v>
      </c>
      <c r="G11" s="25" t="s">
        <v>346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>
      <c r="A12" s="23">
        <v>11.0</v>
      </c>
      <c r="B12" s="24" t="s">
        <v>107</v>
      </c>
      <c r="C12" s="23">
        <v>5.0</v>
      </c>
      <c r="D12" s="24" t="s">
        <v>108</v>
      </c>
      <c r="E12" s="24" t="s">
        <v>109</v>
      </c>
      <c r="F12" s="24" t="s">
        <v>110</v>
      </c>
      <c r="G12" s="25" t="s">
        <v>347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>
      <c r="A13" s="23">
        <v>12.0</v>
      </c>
      <c r="B13" s="24" t="s">
        <v>202</v>
      </c>
      <c r="C13" s="23">
        <v>3.0</v>
      </c>
      <c r="D13" s="24" t="s">
        <v>203</v>
      </c>
      <c r="E13" s="24" t="s">
        <v>348</v>
      </c>
      <c r="F13" s="24" t="s">
        <v>205</v>
      </c>
      <c r="G13" s="25" t="s">
        <v>349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>
      <c r="A14" s="23">
        <v>13.0</v>
      </c>
      <c r="B14" s="24" t="s">
        <v>147</v>
      </c>
      <c r="C14" s="23">
        <v>4.0</v>
      </c>
      <c r="D14" s="24" t="s">
        <v>148</v>
      </c>
      <c r="E14" s="24" t="s">
        <v>149</v>
      </c>
      <c r="F14" s="24" t="s">
        <v>150</v>
      </c>
      <c r="G14" s="25" t="s">
        <v>350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>
      <c r="A15" s="23">
        <v>14.0</v>
      </c>
      <c r="B15" s="24" t="s">
        <v>286</v>
      </c>
      <c r="C15" s="23">
        <v>2.0</v>
      </c>
      <c r="D15" s="24" t="s">
        <v>287</v>
      </c>
      <c r="E15" s="24" t="s">
        <v>288</v>
      </c>
      <c r="F15" s="24" t="s">
        <v>289</v>
      </c>
      <c r="G15" s="25" t="s">
        <v>351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>
      <c r="A16" s="23">
        <v>15.0</v>
      </c>
      <c r="B16" s="24" t="s">
        <v>37</v>
      </c>
      <c r="C16" s="23">
        <v>6.0</v>
      </c>
      <c r="D16" s="24" t="s">
        <v>38</v>
      </c>
      <c r="E16" s="24" t="s">
        <v>39</v>
      </c>
      <c r="F16" s="24" t="s">
        <v>40</v>
      </c>
      <c r="G16" s="25" t="s">
        <v>352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>
      <c r="A17" s="23">
        <v>16.0</v>
      </c>
      <c r="B17" s="24" t="s">
        <v>32</v>
      </c>
      <c r="C17" s="23">
        <v>3.0</v>
      </c>
      <c r="D17" s="24" t="s">
        <v>33</v>
      </c>
      <c r="E17" s="24" t="s">
        <v>34</v>
      </c>
      <c r="F17" s="24" t="s">
        <v>35</v>
      </c>
      <c r="G17" s="25" t="s">
        <v>353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>
      <c r="A18" s="23">
        <v>17.0</v>
      </c>
      <c r="B18" s="24" t="s">
        <v>72</v>
      </c>
      <c r="C18" s="27" t="s">
        <v>53</v>
      </c>
      <c r="D18" s="24" t="s">
        <v>73</v>
      </c>
      <c r="E18" s="24" t="s">
        <v>74</v>
      </c>
      <c r="F18" s="24" t="s">
        <v>75</v>
      </c>
      <c r="G18" s="25" t="s">
        <v>354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>
      <c r="A19" s="23">
        <v>18.0</v>
      </c>
      <c r="B19" s="24" t="s">
        <v>162</v>
      </c>
      <c r="C19" s="23">
        <v>5.0</v>
      </c>
      <c r="D19" s="24" t="s">
        <v>163</v>
      </c>
      <c r="E19" s="24" t="s">
        <v>164</v>
      </c>
      <c r="F19" s="24" t="s">
        <v>165</v>
      </c>
      <c r="G19" s="25" t="s">
        <v>355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>
      <c r="A20" s="23">
        <v>19.0</v>
      </c>
      <c r="B20" s="24" t="s">
        <v>232</v>
      </c>
      <c r="C20" s="23">
        <v>2.0</v>
      </c>
      <c r="D20" s="24" t="s">
        <v>233</v>
      </c>
      <c r="E20" s="24" t="s">
        <v>234</v>
      </c>
      <c r="F20" s="24" t="s">
        <v>235</v>
      </c>
      <c r="G20" s="25" t="s">
        <v>356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>
      <c r="A21" s="23">
        <v>20.0</v>
      </c>
      <c r="B21" s="24" t="s">
        <v>52</v>
      </c>
      <c r="C21" s="27" t="s">
        <v>53</v>
      </c>
      <c r="D21" s="24" t="s">
        <v>54</v>
      </c>
      <c r="E21" s="24" t="s">
        <v>55</v>
      </c>
      <c r="F21" s="24" t="s">
        <v>56</v>
      </c>
      <c r="G21" s="25" t="s">
        <v>357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>
      <c r="A22" s="23">
        <v>21.0</v>
      </c>
      <c r="B22" s="24" t="s">
        <v>12</v>
      </c>
      <c r="C22" s="23">
        <v>1.0</v>
      </c>
      <c r="D22" s="24" t="s">
        <v>13</v>
      </c>
      <c r="E22" s="24" t="s">
        <v>14</v>
      </c>
      <c r="F22" s="24" t="s">
        <v>15</v>
      </c>
      <c r="G22" s="25" t="s">
        <v>358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>
      <c r="A23" s="23">
        <v>22.0</v>
      </c>
      <c r="B23" s="24" t="s">
        <v>246</v>
      </c>
      <c r="C23" s="23">
        <v>2.0</v>
      </c>
      <c r="D23" s="24" t="s">
        <v>247</v>
      </c>
      <c r="E23" s="24" t="s">
        <v>248</v>
      </c>
      <c r="F23" s="24" t="s">
        <v>249</v>
      </c>
      <c r="G23" s="25" t="s">
        <v>359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>
      <c r="A24" s="23">
        <v>23.0</v>
      </c>
      <c r="B24" s="24" t="s">
        <v>271</v>
      </c>
      <c r="C24" s="23">
        <v>4.0</v>
      </c>
      <c r="D24" s="24" t="s">
        <v>272</v>
      </c>
      <c r="E24" s="24" t="s">
        <v>273</v>
      </c>
      <c r="F24" s="24" t="s">
        <v>274</v>
      </c>
      <c r="G24" s="25" t="s">
        <v>360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>
      <c r="A25" s="23">
        <v>24.0</v>
      </c>
      <c r="B25" s="24" t="s">
        <v>227</v>
      </c>
      <c r="C25" s="23">
        <v>3.0</v>
      </c>
      <c r="D25" s="24" t="s">
        <v>228</v>
      </c>
      <c r="E25" s="24" t="s">
        <v>229</v>
      </c>
      <c r="F25" s="24" t="s">
        <v>230</v>
      </c>
      <c r="G25" s="25" t="s">
        <v>361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>
      <c r="A26" s="23">
        <v>25.0</v>
      </c>
      <c r="B26" s="24" t="s">
        <v>137</v>
      </c>
      <c r="C26" s="23">
        <v>1.0</v>
      </c>
      <c r="D26" s="24" t="s">
        <v>138</v>
      </c>
      <c r="E26" s="24" t="s">
        <v>139</v>
      </c>
      <c r="F26" s="24" t="s">
        <v>140</v>
      </c>
      <c r="G26" s="25" t="s">
        <v>362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>
      <c r="A27" s="23">
        <v>26.0</v>
      </c>
      <c r="B27" s="24" t="s">
        <v>97</v>
      </c>
      <c r="C27" s="23">
        <v>1.0</v>
      </c>
      <c r="D27" s="24" t="s">
        <v>98</v>
      </c>
      <c r="E27" s="24" t="s">
        <v>99</v>
      </c>
      <c r="F27" s="24" t="s">
        <v>100</v>
      </c>
      <c r="G27" s="25" t="s">
        <v>363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>
      <c r="A28" s="23"/>
      <c r="B28" s="24"/>
      <c r="C28" s="27"/>
      <c r="D28" s="24"/>
      <c r="E28" s="24"/>
      <c r="F28" s="24"/>
      <c r="G28" s="28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>
      <c r="A30" s="22" t="s">
        <v>335</v>
      </c>
      <c r="B30" s="12" t="s">
        <v>157</v>
      </c>
      <c r="C30" s="29">
        <v>4.0</v>
      </c>
      <c r="D30" s="12" t="s">
        <v>158</v>
      </c>
      <c r="E30" s="4" t="s">
        <v>159</v>
      </c>
      <c r="F30" s="4" t="s">
        <v>160</v>
      </c>
      <c r="G30" s="17" t="s">
        <v>161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>
      <c r="A31" s="22" t="s">
        <v>335</v>
      </c>
      <c r="B31" s="12" t="s">
        <v>142</v>
      </c>
      <c r="C31" s="29">
        <v>6.0</v>
      </c>
      <c r="D31" s="12" t="s">
        <v>143</v>
      </c>
      <c r="E31" s="4" t="s">
        <v>144</v>
      </c>
      <c r="F31" s="4" t="s">
        <v>145</v>
      </c>
      <c r="G31" s="17" t="s">
        <v>364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>
      <c r="A32" s="22" t="s">
        <v>335</v>
      </c>
      <c r="B32" s="12" t="s">
        <v>87</v>
      </c>
      <c r="C32" s="27" t="s">
        <v>53</v>
      </c>
      <c r="D32" s="12" t="s">
        <v>88</v>
      </c>
      <c r="E32" s="4" t="s">
        <v>89</v>
      </c>
      <c r="F32" s="4" t="s">
        <v>90</v>
      </c>
      <c r="G32" s="17" t="s">
        <v>91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</row>
  </sheetData>
  <dataValidations>
    <dataValidation type="list" allowBlank="1" showErrorMessage="1" sqref="C2:C28 C30:C32">
      <formula1>"1,2,3,4,5,6,N"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30"/>
    <hyperlink r:id="rId28" ref="G31"/>
    <hyperlink r:id="rId29" ref="G32"/>
  </hyperlinks>
  <drawing r:id="rId3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A026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63"/>
    <col customWidth="1" min="2" max="2" width="16.75"/>
    <col customWidth="1" min="3" max="3" width="4.75"/>
    <col customWidth="1" min="4" max="35" width="3.13"/>
  </cols>
  <sheetData>
    <row r="1" ht="114.75" customHeight="1">
      <c r="A1" s="30" t="s">
        <v>365</v>
      </c>
      <c r="B1" s="30" t="s">
        <v>366</v>
      </c>
      <c r="C1" s="31" t="s">
        <v>367</v>
      </c>
      <c r="D1" s="32" t="s">
        <v>368</v>
      </c>
      <c r="E1" s="32" t="s">
        <v>369</v>
      </c>
      <c r="F1" s="32" t="s">
        <v>370</v>
      </c>
      <c r="G1" s="32" t="s">
        <v>371</v>
      </c>
      <c r="H1" s="32" t="s">
        <v>372</v>
      </c>
      <c r="I1" s="32" t="s">
        <v>373</v>
      </c>
      <c r="J1" s="32" t="s">
        <v>374</v>
      </c>
      <c r="K1" s="32" t="s">
        <v>375</v>
      </c>
      <c r="L1" s="32" t="s">
        <v>376</v>
      </c>
      <c r="M1" s="32" t="s">
        <v>377</v>
      </c>
      <c r="N1" s="32" t="s">
        <v>378</v>
      </c>
      <c r="O1" s="32" t="s">
        <v>379</v>
      </c>
      <c r="P1" s="32" t="s">
        <v>380</v>
      </c>
      <c r="Q1" s="32" t="s">
        <v>381</v>
      </c>
      <c r="R1" s="32" t="s">
        <v>382</v>
      </c>
      <c r="S1" s="32" t="s">
        <v>383</v>
      </c>
      <c r="T1" s="32" t="s">
        <v>384</v>
      </c>
      <c r="U1" s="32" t="s">
        <v>385</v>
      </c>
      <c r="V1" s="32" t="s">
        <v>386</v>
      </c>
      <c r="W1" s="32" t="s">
        <v>387</v>
      </c>
      <c r="X1" s="32" t="s">
        <v>388</v>
      </c>
      <c r="Y1" s="32" t="s">
        <v>389</v>
      </c>
      <c r="Z1" s="32" t="s">
        <v>390</v>
      </c>
      <c r="AA1" s="32" t="s">
        <v>391</v>
      </c>
      <c r="AB1" s="32" t="s">
        <v>392</v>
      </c>
      <c r="AC1" s="32" t="s">
        <v>393</v>
      </c>
      <c r="AD1" s="32" t="s">
        <v>394</v>
      </c>
      <c r="AE1" s="32" t="s">
        <v>395</v>
      </c>
      <c r="AF1" s="32" t="s">
        <v>396</v>
      </c>
      <c r="AG1" s="32" t="s">
        <v>397</v>
      </c>
      <c r="AH1" s="33" t="s">
        <v>398</v>
      </c>
      <c r="AI1" s="32" t="s">
        <v>399</v>
      </c>
    </row>
    <row r="2">
      <c r="A2" s="34">
        <v>1.0</v>
      </c>
      <c r="B2" s="35" t="s">
        <v>281</v>
      </c>
      <c r="C2" s="36">
        <v>6.0</v>
      </c>
      <c r="D2" s="37"/>
      <c r="E2" s="37"/>
      <c r="F2" s="37"/>
      <c r="G2" s="37"/>
      <c r="H2" s="37">
        <v>8.0</v>
      </c>
      <c r="I2" s="37"/>
      <c r="J2" s="37">
        <v>2.0</v>
      </c>
      <c r="K2" s="37"/>
      <c r="L2" s="37">
        <v>7.0</v>
      </c>
      <c r="M2" s="37"/>
      <c r="N2" s="37">
        <v>6.0</v>
      </c>
      <c r="O2" s="37"/>
      <c r="P2" s="37">
        <v>12.0</v>
      </c>
      <c r="Q2" s="37"/>
      <c r="R2" s="37"/>
      <c r="S2" s="37">
        <v>10.0</v>
      </c>
      <c r="T2" s="38"/>
      <c r="U2" s="37"/>
      <c r="V2" s="37">
        <v>10.0</v>
      </c>
      <c r="W2" s="37">
        <v>7.0</v>
      </c>
      <c r="X2" s="37">
        <v>10.0</v>
      </c>
      <c r="Y2" s="37"/>
      <c r="Z2" s="37">
        <v>12.0</v>
      </c>
      <c r="AA2" s="37">
        <v>4.0</v>
      </c>
      <c r="AB2" s="37"/>
      <c r="AC2" s="37">
        <v>12.0</v>
      </c>
      <c r="AD2" s="37"/>
      <c r="AE2" s="37"/>
      <c r="AF2" s="37">
        <v>6.0</v>
      </c>
      <c r="AG2" s="37">
        <v>10.0</v>
      </c>
      <c r="AH2" s="39">
        <f t="shared" ref="AH2:AH28" si="1">COUNT(D2:AG2)</f>
        <v>14</v>
      </c>
      <c r="AI2" s="40">
        <f t="shared" ref="AI2:AI28" si="2">SUM(D2:AG2)</f>
        <v>116</v>
      </c>
    </row>
    <row r="3">
      <c r="A3" s="34">
        <v>2.0</v>
      </c>
      <c r="B3" s="35" t="s">
        <v>212</v>
      </c>
      <c r="C3" s="36">
        <v>5.0</v>
      </c>
      <c r="D3" s="37"/>
      <c r="E3" s="37">
        <v>5.0</v>
      </c>
      <c r="F3" s="37">
        <v>10.0</v>
      </c>
      <c r="G3" s="37">
        <v>3.0</v>
      </c>
      <c r="H3" s="37">
        <v>3.0</v>
      </c>
      <c r="I3" s="37"/>
      <c r="J3" s="37">
        <v>10.0</v>
      </c>
      <c r="K3" s="37"/>
      <c r="L3" s="37">
        <v>10.0</v>
      </c>
      <c r="M3" s="37">
        <v>5.0</v>
      </c>
      <c r="N3" s="37"/>
      <c r="O3" s="37">
        <v>6.0</v>
      </c>
      <c r="P3" s="37"/>
      <c r="Q3" s="37"/>
      <c r="R3" s="37"/>
      <c r="S3" s="37">
        <v>3.0</v>
      </c>
      <c r="T3" s="37"/>
      <c r="U3" s="37"/>
      <c r="V3" s="37"/>
      <c r="W3" s="37">
        <v>4.0</v>
      </c>
      <c r="X3" s="37">
        <v>6.0</v>
      </c>
      <c r="Y3" s="37">
        <v>3.0</v>
      </c>
      <c r="Z3" s="37">
        <v>5.0</v>
      </c>
      <c r="AA3" s="37">
        <v>12.0</v>
      </c>
      <c r="AB3" s="37"/>
      <c r="AC3" s="37">
        <v>2.0</v>
      </c>
      <c r="AD3" s="37"/>
      <c r="AE3" s="37"/>
      <c r="AF3" s="37"/>
      <c r="AG3" s="37"/>
      <c r="AH3" s="39">
        <f t="shared" si="1"/>
        <v>15</v>
      </c>
      <c r="AI3" s="40">
        <f t="shared" si="2"/>
        <v>87</v>
      </c>
    </row>
    <row r="4">
      <c r="A4" s="34">
        <v>3.0</v>
      </c>
      <c r="B4" s="35" t="s">
        <v>192</v>
      </c>
      <c r="C4" s="36">
        <v>4.0</v>
      </c>
      <c r="D4" s="37"/>
      <c r="E4" s="37"/>
      <c r="F4" s="37"/>
      <c r="G4" s="37"/>
      <c r="H4" s="37"/>
      <c r="I4" s="37">
        <v>7.0</v>
      </c>
      <c r="J4" s="37"/>
      <c r="K4" s="37"/>
      <c r="L4" s="37">
        <v>3.0</v>
      </c>
      <c r="M4" s="37">
        <v>12.0</v>
      </c>
      <c r="N4" s="37"/>
      <c r="O4" s="37"/>
      <c r="P4" s="37">
        <v>7.0</v>
      </c>
      <c r="Q4" s="37">
        <v>1.0</v>
      </c>
      <c r="R4" s="37">
        <v>10.0</v>
      </c>
      <c r="S4" s="37"/>
      <c r="T4" s="38">
        <v>3.0</v>
      </c>
      <c r="U4" s="37">
        <v>3.0</v>
      </c>
      <c r="V4" s="37">
        <v>6.0</v>
      </c>
      <c r="W4" s="37"/>
      <c r="X4" s="37">
        <v>1.0</v>
      </c>
      <c r="Y4" s="37"/>
      <c r="Z4" s="37"/>
      <c r="AA4" s="37"/>
      <c r="AB4" s="37">
        <v>7.0</v>
      </c>
      <c r="AC4" s="37">
        <v>4.0</v>
      </c>
      <c r="AD4" s="37">
        <v>6.0</v>
      </c>
      <c r="AE4" s="37">
        <v>5.0</v>
      </c>
      <c r="AF4" s="37">
        <v>10.0</v>
      </c>
      <c r="AG4" s="37"/>
      <c r="AH4" s="39">
        <f t="shared" si="1"/>
        <v>15</v>
      </c>
      <c r="AI4" s="40">
        <f t="shared" si="2"/>
        <v>85</v>
      </c>
    </row>
    <row r="5">
      <c r="A5" s="34">
        <v>4.0</v>
      </c>
      <c r="B5" s="35" t="s">
        <v>42</v>
      </c>
      <c r="C5" s="36">
        <v>2.0</v>
      </c>
      <c r="D5" s="37">
        <v>5.0</v>
      </c>
      <c r="E5" s="37"/>
      <c r="F5" s="37"/>
      <c r="G5" s="37">
        <v>12.0</v>
      </c>
      <c r="H5" s="37"/>
      <c r="I5" s="37"/>
      <c r="J5" s="37"/>
      <c r="K5" s="37">
        <v>3.0</v>
      </c>
      <c r="L5" s="37">
        <v>5.0</v>
      </c>
      <c r="M5" s="37">
        <v>8.0</v>
      </c>
      <c r="N5" s="37"/>
      <c r="O5" s="37">
        <v>3.0</v>
      </c>
      <c r="P5" s="37">
        <v>10.0</v>
      </c>
      <c r="Q5" s="37"/>
      <c r="R5" s="37"/>
      <c r="S5" s="37"/>
      <c r="T5" s="37"/>
      <c r="U5" s="37"/>
      <c r="V5" s="37"/>
      <c r="W5" s="37"/>
      <c r="X5" s="37">
        <v>4.0</v>
      </c>
      <c r="Y5" s="37">
        <v>10.0</v>
      </c>
      <c r="Z5" s="37">
        <v>6.0</v>
      </c>
      <c r="AA5" s="37">
        <v>5.0</v>
      </c>
      <c r="AB5" s="37"/>
      <c r="AC5" s="37">
        <v>5.0</v>
      </c>
      <c r="AD5" s="37"/>
      <c r="AE5" s="37">
        <v>2.0</v>
      </c>
      <c r="AF5" s="37">
        <v>5.0</v>
      </c>
      <c r="AG5" s="37"/>
      <c r="AH5" s="39">
        <f t="shared" si="1"/>
        <v>14</v>
      </c>
      <c r="AI5" s="40">
        <f t="shared" si="2"/>
        <v>83</v>
      </c>
    </row>
    <row r="6">
      <c r="A6" s="34">
        <v>5.0</v>
      </c>
      <c r="B6" s="35" t="s">
        <v>177</v>
      </c>
      <c r="C6" s="36" t="s">
        <v>53</v>
      </c>
      <c r="D6" s="37"/>
      <c r="E6" s="37"/>
      <c r="F6" s="37"/>
      <c r="G6" s="37">
        <v>1.0</v>
      </c>
      <c r="H6" s="37"/>
      <c r="I6" s="37"/>
      <c r="J6" s="37">
        <v>1.0</v>
      </c>
      <c r="K6" s="37">
        <v>1.0</v>
      </c>
      <c r="L6" s="37">
        <v>8.0</v>
      </c>
      <c r="M6" s="37">
        <v>10.0</v>
      </c>
      <c r="N6" s="37"/>
      <c r="O6" s="37"/>
      <c r="P6" s="37">
        <v>6.0</v>
      </c>
      <c r="Q6" s="37"/>
      <c r="R6" s="37">
        <v>12.0</v>
      </c>
      <c r="S6" s="37">
        <v>8.0</v>
      </c>
      <c r="T6" s="38"/>
      <c r="U6" s="37"/>
      <c r="V6" s="37">
        <v>7.0</v>
      </c>
      <c r="W6" s="37"/>
      <c r="X6" s="37">
        <v>8.0</v>
      </c>
      <c r="Y6" s="37"/>
      <c r="Z6" s="37"/>
      <c r="AA6" s="37"/>
      <c r="AB6" s="37">
        <v>8.0</v>
      </c>
      <c r="AC6" s="37"/>
      <c r="AD6" s="37"/>
      <c r="AE6" s="37"/>
      <c r="AF6" s="37">
        <v>12.0</v>
      </c>
      <c r="AG6" s="37"/>
      <c r="AH6" s="39">
        <f t="shared" si="1"/>
        <v>12</v>
      </c>
      <c r="AI6" s="40">
        <f t="shared" si="2"/>
        <v>82</v>
      </c>
    </row>
    <row r="7">
      <c r="A7" s="34">
        <v>6.0</v>
      </c>
      <c r="B7" s="35" t="s">
        <v>152</v>
      </c>
      <c r="C7" s="36">
        <v>3.0</v>
      </c>
      <c r="D7" s="37">
        <v>10.0</v>
      </c>
      <c r="E7" s="37">
        <v>10.0</v>
      </c>
      <c r="F7" s="37">
        <v>7.0</v>
      </c>
      <c r="G7" s="37"/>
      <c r="H7" s="37">
        <v>1.0</v>
      </c>
      <c r="I7" s="37"/>
      <c r="J7" s="37">
        <v>8.0</v>
      </c>
      <c r="K7" s="37"/>
      <c r="L7" s="37"/>
      <c r="M7" s="37"/>
      <c r="N7" s="37"/>
      <c r="O7" s="37"/>
      <c r="P7" s="37"/>
      <c r="Q7" s="37">
        <v>7.0</v>
      </c>
      <c r="R7" s="37"/>
      <c r="S7" s="37">
        <v>1.0</v>
      </c>
      <c r="T7" s="37">
        <v>8.0</v>
      </c>
      <c r="U7" s="37"/>
      <c r="V7" s="37"/>
      <c r="W7" s="37">
        <v>10.0</v>
      </c>
      <c r="X7" s="37">
        <v>3.0</v>
      </c>
      <c r="Y7" s="37">
        <v>6.0</v>
      </c>
      <c r="Z7" s="37"/>
      <c r="AA7" s="37"/>
      <c r="AB7" s="37"/>
      <c r="AC7" s="37"/>
      <c r="AD7" s="37"/>
      <c r="AE7" s="37"/>
      <c r="AF7" s="37">
        <v>8.0</v>
      </c>
      <c r="AG7" s="37">
        <v>2.0</v>
      </c>
      <c r="AH7" s="39">
        <f t="shared" si="1"/>
        <v>13</v>
      </c>
      <c r="AI7" s="40">
        <f t="shared" si="2"/>
        <v>81</v>
      </c>
    </row>
    <row r="8">
      <c r="A8" s="34">
        <v>7.0</v>
      </c>
      <c r="B8" s="35" t="s">
        <v>251</v>
      </c>
      <c r="C8" s="36">
        <v>5.0</v>
      </c>
      <c r="D8" s="37">
        <v>3.0</v>
      </c>
      <c r="E8" s="37">
        <v>1.0</v>
      </c>
      <c r="F8" s="37"/>
      <c r="G8" s="37">
        <v>8.0</v>
      </c>
      <c r="H8" s="37">
        <v>10.0</v>
      </c>
      <c r="I8" s="37">
        <v>3.0</v>
      </c>
      <c r="J8" s="37"/>
      <c r="K8" s="37"/>
      <c r="L8" s="37"/>
      <c r="M8" s="37"/>
      <c r="N8" s="37"/>
      <c r="O8" s="37"/>
      <c r="P8" s="37"/>
      <c r="Q8" s="37"/>
      <c r="R8" s="37">
        <v>4.0</v>
      </c>
      <c r="S8" s="37">
        <v>12.0</v>
      </c>
      <c r="T8" s="37"/>
      <c r="U8" s="37">
        <v>4.0</v>
      </c>
      <c r="V8" s="37">
        <v>4.0</v>
      </c>
      <c r="W8" s="37">
        <v>8.0</v>
      </c>
      <c r="X8" s="37">
        <v>7.0</v>
      </c>
      <c r="Y8" s="37">
        <v>1.0</v>
      </c>
      <c r="Z8" s="37"/>
      <c r="AA8" s="37">
        <v>3.0</v>
      </c>
      <c r="AB8" s="37">
        <v>5.0</v>
      </c>
      <c r="AC8" s="37"/>
      <c r="AD8" s="37"/>
      <c r="AE8" s="37"/>
      <c r="AF8" s="37"/>
      <c r="AG8" s="37">
        <v>7.0</v>
      </c>
      <c r="AH8" s="39">
        <f t="shared" si="1"/>
        <v>15</v>
      </c>
      <c r="AI8" s="40">
        <f t="shared" si="2"/>
        <v>80</v>
      </c>
    </row>
    <row r="9">
      <c r="A9" s="34">
        <v>8.0</v>
      </c>
      <c r="B9" s="35" t="s">
        <v>291</v>
      </c>
      <c r="C9" s="36">
        <v>5.0</v>
      </c>
      <c r="D9" s="37">
        <v>8.0</v>
      </c>
      <c r="E9" s="37">
        <v>12.0</v>
      </c>
      <c r="F9" s="37">
        <v>1.0</v>
      </c>
      <c r="G9" s="37">
        <v>2.0</v>
      </c>
      <c r="H9" s="37"/>
      <c r="I9" s="37">
        <v>8.0</v>
      </c>
      <c r="J9" s="37">
        <v>4.0</v>
      </c>
      <c r="K9" s="37"/>
      <c r="L9" s="37">
        <v>2.0</v>
      </c>
      <c r="M9" s="37">
        <v>1.0</v>
      </c>
      <c r="N9" s="37">
        <v>12.0</v>
      </c>
      <c r="O9" s="37"/>
      <c r="P9" s="37"/>
      <c r="Q9" s="37"/>
      <c r="R9" s="37"/>
      <c r="S9" s="37">
        <v>7.0</v>
      </c>
      <c r="T9" s="38"/>
      <c r="U9" s="37"/>
      <c r="V9" s="37"/>
      <c r="W9" s="37">
        <v>1.0</v>
      </c>
      <c r="X9" s="37"/>
      <c r="Y9" s="37">
        <v>5.0</v>
      </c>
      <c r="Z9" s="37"/>
      <c r="AA9" s="37">
        <v>7.0</v>
      </c>
      <c r="AB9" s="37"/>
      <c r="AC9" s="37"/>
      <c r="AD9" s="37"/>
      <c r="AE9" s="37">
        <v>4.0</v>
      </c>
      <c r="AF9" s="37"/>
      <c r="AG9" s="37">
        <v>5.0</v>
      </c>
      <c r="AH9" s="39">
        <f t="shared" si="1"/>
        <v>15</v>
      </c>
      <c r="AI9" s="40">
        <f t="shared" si="2"/>
        <v>79</v>
      </c>
    </row>
    <row r="10">
      <c r="A10" s="34">
        <v>9.0</v>
      </c>
      <c r="B10" s="35" t="s">
        <v>67</v>
      </c>
      <c r="C10" s="36">
        <v>3.0</v>
      </c>
      <c r="D10" s="37">
        <v>6.0</v>
      </c>
      <c r="E10" s="37"/>
      <c r="F10" s="37"/>
      <c r="G10" s="37"/>
      <c r="H10" s="37"/>
      <c r="I10" s="37">
        <v>6.0</v>
      </c>
      <c r="J10" s="37">
        <v>6.0</v>
      </c>
      <c r="K10" s="37"/>
      <c r="L10" s="37"/>
      <c r="M10" s="37"/>
      <c r="N10" s="37"/>
      <c r="O10" s="37">
        <v>5.0</v>
      </c>
      <c r="P10" s="37"/>
      <c r="Q10" s="37">
        <v>2.0</v>
      </c>
      <c r="R10" s="37"/>
      <c r="S10" s="37"/>
      <c r="T10" s="37">
        <v>7.0</v>
      </c>
      <c r="U10" s="37"/>
      <c r="V10" s="37"/>
      <c r="W10" s="37">
        <v>12.0</v>
      </c>
      <c r="X10" s="37">
        <v>12.0</v>
      </c>
      <c r="Y10" s="37"/>
      <c r="Z10" s="37"/>
      <c r="AA10" s="37">
        <v>1.0</v>
      </c>
      <c r="AB10" s="37">
        <v>3.0</v>
      </c>
      <c r="AC10" s="37">
        <v>7.0</v>
      </c>
      <c r="AD10" s="37"/>
      <c r="AE10" s="37">
        <v>1.0</v>
      </c>
      <c r="AF10" s="37">
        <v>4.0</v>
      </c>
      <c r="AG10" s="37">
        <v>3.0</v>
      </c>
      <c r="AH10" s="39">
        <f t="shared" si="1"/>
        <v>14</v>
      </c>
      <c r="AI10" s="40">
        <f t="shared" si="2"/>
        <v>75</v>
      </c>
    </row>
    <row r="11">
      <c r="A11" s="34">
        <v>10.0</v>
      </c>
      <c r="B11" s="35" t="s">
        <v>167</v>
      </c>
      <c r="C11" s="36">
        <v>4.0</v>
      </c>
      <c r="D11" s="37"/>
      <c r="E11" s="37"/>
      <c r="F11" s="37"/>
      <c r="G11" s="37"/>
      <c r="H11" s="37"/>
      <c r="I11" s="37"/>
      <c r="J11" s="37">
        <v>12.0</v>
      </c>
      <c r="K11" s="37">
        <v>8.0</v>
      </c>
      <c r="L11" s="37"/>
      <c r="M11" s="37"/>
      <c r="N11" s="37">
        <v>8.0</v>
      </c>
      <c r="O11" s="37">
        <v>7.0</v>
      </c>
      <c r="P11" s="37"/>
      <c r="Q11" s="37"/>
      <c r="R11" s="37">
        <v>1.0</v>
      </c>
      <c r="S11" s="37"/>
      <c r="T11" s="38"/>
      <c r="U11" s="37">
        <v>10.0</v>
      </c>
      <c r="V11" s="37">
        <v>12.0</v>
      </c>
      <c r="W11" s="37"/>
      <c r="X11" s="37"/>
      <c r="Y11" s="37">
        <v>12.0</v>
      </c>
      <c r="Z11" s="37"/>
      <c r="AA11" s="37"/>
      <c r="AB11" s="37"/>
      <c r="AC11" s="37"/>
      <c r="AD11" s="37">
        <v>3.0</v>
      </c>
      <c r="AE11" s="37"/>
      <c r="AF11" s="37"/>
      <c r="AG11" s="37"/>
      <c r="AH11" s="39">
        <f t="shared" si="1"/>
        <v>9</v>
      </c>
      <c r="AI11" s="40">
        <f t="shared" si="2"/>
        <v>73</v>
      </c>
    </row>
    <row r="12">
      <c r="A12" s="41">
        <v>11.0</v>
      </c>
      <c r="B12" s="24" t="s">
        <v>301</v>
      </c>
      <c r="C12" s="16">
        <v>4.0</v>
      </c>
      <c r="D12" s="42">
        <v>12.0</v>
      </c>
      <c r="E12" s="42">
        <v>8.0</v>
      </c>
      <c r="F12" s="42">
        <v>6.0</v>
      </c>
      <c r="G12" s="42">
        <v>10.0</v>
      </c>
      <c r="H12" s="42"/>
      <c r="I12" s="42"/>
      <c r="J12" s="42"/>
      <c r="K12" s="42"/>
      <c r="L12" s="42"/>
      <c r="M12" s="42"/>
      <c r="N12" s="42"/>
      <c r="O12" s="42"/>
      <c r="P12" s="42"/>
      <c r="Q12" s="42">
        <v>6.0</v>
      </c>
      <c r="R12" s="42"/>
      <c r="S12" s="42">
        <v>5.0</v>
      </c>
      <c r="T12" s="43">
        <v>1.0</v>
      </c>
      <c r="U12" s="42"/>
      <c r="V12" s="42"/>
      <c r="W12" s="42"/>
      <c r="X12" s="42"/>
      <c r="Y12" s="42">
        <v>8.0</v>
      </c>
      <c r="Z12" s="42"/>
      <c r="AA12" s="42"/>
      <c r="AB12" s="42">
        <v>2.0</v>
      </c>
      <c r="AC12" s="42"/>
      <c r="AD12" s="42">
        <v>5.0</v>
      </c>
      <c r="AE12" s="42"/>
      <c r="AF12" s="42"/>
      <c r="AG12" s="42">
        <v>8.0</v>
      </c>
      <c r="AH12" s="44">
        <f t="shared" si="1"/>
        <v>11</v>
      </c>
      <c r="AI12" s="45">
        <f t="shared" si="2"/>
        <v>71</v>
      </c>
    </row>
    <row r="13">
      <c r="A13" s="41">
        <v>12.0</v>
      </c>
      <c r="B13" s="24" t="s">
        <v>127</v>
      </c>
      <c r="C13" s="16" t="s">
        <v>53</v>
      </c>
      <c r="D13" s="42"/>
      <c r="E13" s="42"/>
      <c r="F13" s="42">
        <v>12.0</v>
      </c>
      <c r="G13" s="42"/>
      <c r="H13" s="42"/>
      <c r="I13" s="42">
        <v>10.0</v>
      </c>
      <c r="J13" s="42"/>
      <c r="K13" s="42">
        <v>12.0</v>
      </c>
      <c r="L13" s="42"/>
      <c r="M13" s="42">
        <v>4.0</v>
      </c>
      <c r="N13" s="42">
        <v>2.0</v>
      </c>
      <c r="O13" s="42"/>
      <c r="P13" s="42"/>
      <c r="Q13" s="42"/>
      <c r="R13" s="42">
        <v>5.0</v>
      </c>
      <c r="S13" s="42">
        <v>2.0</v>
      </c>
      <c r="T13" s="43">
        <v>12.0</v>
      </c>
      <c r="U13" s="42"/>
      <c r="V13" s="42">
        <v>8.0</v>
      </c>
      <c r="W13" s="42"/>
      <c r="X13" s="42"/>
      <c r="Y13" s="42"/>
      <c r="Z13" s="42">
        <v>3.0</v>
      </c>
      <c r="AA13" s="42"/>
      <c r="AB13" s="42"/>
      <c r="AC13" s="42"/>
      <c r="AD13" s="42"/>
      <c r="AE13" s="42"/>
      <c r="AF13" s="42"/>
      <c r="AG13" s="42"/>
      <c r="AH13" s="44">
        <f t="shared" si="1"/>
        <v>10</v>
      </c>
      <c r="AI13" s="45">
        <f t="shared" si="2"/>
        <v>70</v>
      </c>
    </row>
    <row r="14">
      <c r="A14" s="41">
        <v>13.0</v>
      </c>
      <c r="B14" s="24" t="s">
        <v>102</v>
      </c>
      <c r="C14" s="16">
        <v>2.0</v>
      </c>
      <c r="D14" s="42"/>
      <c r="E14" s="42"/>
      <c r="F14" s="42">
        <v>4.0</v>
      </c>
      <c r="G14" s="42"/>
      <c r="H14" s="42">
        <v>12.0</v>
      </c>
      <c r="I14" s="42">
        <v>1.0</v>
      </c>
      <c r="J14" s="42"/>
      <c r="K14" s="42">
        <v>10.0</v>
      </c>
      <c r="L14" s="42"/>
      <c r="M14" s="42">
        <v>6.0</v>
      </c>
      <c r="N14" s="42"/>
      <c r="O14" s="42"/>
      <c r="P14" s="42">
        <v>1.0</v>
      </c>
      <c r="Q14" s="42">
        <v>3.0</v>
      </c>
      <c r="R14" s="42">
        <v>7.0</v>
      </c>
      <c r="S14" s="42"/>
      <c r="T14" s="43">
        <v>10.0</v>
      </c>
      <c r="U14" s="42">
        <v>1.0</v>
      </c>
      <c r="V14" s="42">
        <v>1.0</v>
      </c>
      <c r="W14" s="42"/>
      <c r="X14" s="42"/>
      <c r="Y14" s="42"/>
      <c r="Z14" s="42"/>
      <c r="AA14" s="42">
        <v>6.0</v>
      </c>
      <c r="AB14" s="42"/>
      <c r="AC14" s="42"/>
      <c r="AD14" s="42"/>
      <c r="AE14" s="42"/>
      <c r="AF14" s="42"/>
      <c r="AG14" s="42">
        <v>4.0</v>
      </c>
      <c r="AH14" s="44">
        <f t="shared" si="1"/>
        <v>13</v>
      </c>
      <c r="AI14" s="45">
        <f t="shared" si="2"/>
        <v>66</v>
      </c>
    </row>
    <row r="15">
      <c r="A15" s="46">
        <v>14.0</v>
      </c>
      <c r="B15" s="47" t="s">
        <v>112</v>
      </c>
      <c r="C15" s="48">
        <v>4.0</v>
      </c>
      <c r="D15" s="49"/>
      <c r="E15" s="49">
        <v>3.0</v>
      </c>
      <c r="F15" s="49"/>
      <c r="G15" s="49"/>
      <c r="H15" s="49">
        <v>6.0</v>
      </c>
      <c r="I15" s="49"/>
      <c r="J15" s="49">
        <v>5.0</v>
      </c>
      <c r="K15" s="49"/>
      <c r="L15" s="49">
        <v>1.0</v>
      </c>
      <c r="M15" s="49">
        <v>3.0</v>
      </c>
      <c r="N15" s="49">
        <v>4.0</v>
      </c>
      <c r="O15" s="49">
        <v>10.0</v>
      </c>
      <c r="P15" s="49">
        <v>3.0</v>
      </c>
      <c r="Q15" s="49"/>
      <c r="R15" s="49"/>
      <c r="S15" s="49"/>
      <c r="T15" s="49"/>
      <c r="U15" s="49">
        <v>5.0</v>
      </c>
      <c r="V15" s="49"/>
      <c r="W15" s="49"/>
      <c r="X15" s="49"/>
      <c r="Y15" s="49"/>
      <c r="Z15" s="49"/>
      <c r="AA15" s="49">
        <v>10.0</v>
      </c>
      <c r="AB15" s="49">
        <v>6.0</v>
      </c>
      <c r="AC15" s="49">
        <v>6.0</v>
      </c>
      <c r="AD15" s="49"/>
      <c r="AE15" s="49">
        <v>3.0</v>
      </c>
      <c r="AF15" s="49"/>
      <c r="AG15" s="49"/>
      <c r="AH15" s="50">
        <f t="shared" si="1"/>
        <v>13</v>
      </c>
      <c r="AI15" s="51">
        <f t="shared" si="2"/>
        <v>65</v>
      </c>
    </row>
    <row r="16">
      <c r="A16" s="41">
        <v>15.0</v>
      </c>
      <c r="B16" s="24" t="s">
        <v>92</v>
      </c>
      <c r="C16" s="16">
        <v>6.0</v>
      </c>
      <c r="D16" s="42"/>
      <c r="E16" s="42">
        <v>7.0</v>
      </c>
      <c r="F16" s="42"/>
      <c r="G16" s="42">
        <v>7.0</v>
      </c>
      <c r="H16" s="42"/>
      <c r="I16" s="42">
        <v>12.0</v>
      </c>
      <c r="J16" s="42"/>
      <c r="K16" s="42">
        <v>2.0</v>
      </c>
      <c r="L16" s="42"/>
      <c r="M16" s="42">
        <v>2.0</v>
      </c>
      <c r="N16" s="42"/>
      <c r="O16" s="42">
        <v>12.0</v>
      </c>
      <c r="P16" s="42"/>
      <c r="Q16" s="42"/>
      <c r="R16" s="42">
        <v>2.0</v>
      </c>
      <c r="S16" s="42"/>
      <c r="U16" s="42">
        <v>2.0</v>
      </c>
      <c r="V16" s="42"/>
      <c r="W16" s="42"/>
      <c r="X16" s="42">
        <v>5.0</v>
      </c>
      <c r="Y16" s="42"/>
      <c r="Z16" s="42">
        <v>2.0</v>
      </c>
      <c r="AA16" s="42">
        <v>8.0</v>
      </c>
      <c r="AB16" s="42"/>
      <c r="AC16" s="42"/>
      <c r="AD16" s="42">
        <v>2.0</v>
      </c>
      <c r="AE16" s="42"/>
      <c r="AF16" s="42"/>
      <c r="AG16" s="42"/>
      <c r="AH16" s="44">
        <f t="shared" si="1"/>
        <v>12</v>
      </c>
      <c r="AI16" s="45">
        <f t="shared" si="2"/>
        <v>63</v>
      </c>
    </row>
    <row r="17">
      <c r="A17" s="41">
        <v>16.0</v>
      </c>
      <c r="B17" s="24" t="s">
        <v>296</v>
      </c>
      <c r="C17" s="16">
        <v>3.0</v>
      </c>
      <c r="D17" s="42">
        <v>7.0</v>
      </c>
      <c r="E17" s="42">
        <v>4.0</v>
      </c>
      <c r="F17" s="42">
        <v>5.0</v>
      </c>
      <c r="G17" s="42">
        <v>5.0</v>
      </c>
      <c r="H17" s="42"/>
      <c r="I17" s="42"/>
      <c r="J17" s="42">
        <v>3.0</v>
      </c>
      <c r="K17" s="42"/>
      <c r="L17" s="42"/>
      <c r="M17" s="42"/>
      <c r="N17" s="42">
        <v>7.0</v>
      </c>
      <c r="O17" s="42">
        <v>2.0</v>
      </c>
      <c r="P17" s="42"/>
      <c r="Q17" s="42"/>
      <c r="R17" s="42"/>
      <c r="S17" s="42"/>
      <c r="T17" s="43">
        <v>2.0</v>
      </c>
      <c r="U17" s="42"/>
      <c r="V17" s="42"/>
      <c r="W17" s="42"/>
      <c r="X17" s="42"/>
      <c r="Y17" s="42">
        <v>7.0</v>
      </c>
      <c r="Z17" s="42">
        <v>1.0</v>
      </c>
      <c r="AA17" s="42"/>
      <c r="AB17" s="42"/>
      <c r="AC17" s="42">
        <v>10.0</v>
      </c>
      <c r="AD17" s="42">
        <v>4.0</v>
      </c>
      <c r="AE17" s="42"/>
      <c r="AF17" s="42"/>
      <c r="AG17" s="42"/>
      <c r="AH17" s="44">
        <f t="shared" si="1"/>
        <v>12</v>
      </c>
      <c r="AI17" s="45">
        <f t="shared" si="2"/>
        <v>57</v>
      </c>
    </row>
    <row r="18">
      <c r="A18" s="41">
        <v>17.0</v>
      </c>
      <c r="B18" s="24" t="s">
        <v>27</v>
      </c>
      <c r="C18" s="16">
        <v>2.0</v>
      </c>
      <c r="D18" s="42"/>
      <c r="E18" s="42">
        <v>6.0</v>
      </c>
      <c r="F18" s="42">
        <v>8.0</v>
      </c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>
        <v>12.0</v>
      </c>
      <c r="R18" s="42"/>
      <c r="S18" s="42">
        <v>6.0</v>
      </c>
      <c r="T18" s="42">
        <v>4.0</v>
      </c>
      <c r="U18" s="42"/>
      <c r="V18" s="42"/>
      <c r="W18" s="42">
        <v>2.0</v>
      </c>
      <c r="X18" s="42"/>
      <c r="Y18" s="42">
        <v>2.0</v>
      </c>
      <c r="Z18" s="42"/>
      <c r="AA18" s="42"/>
      <c r="AB18" s="42">
        <v>4.0</v>
      </c>
      <c r="AC18" s="42"/>
      <c r="AD18" s="42"/>
      <c r="AE18" s="42"/>
      <c r="AF18" s="42"/>
      <c r="AG18" s="42">
        <v>12.0</v>
      </c>
      <c r="AH18" s="44">
        <f t="shared" si="1"/>
        <v>9</v>
      </c>
      <c r="AI18" s="45">
        <f t="shared" si="2"/>
        <v>56</v>
      </c>
    </row>
    <row r="19">
      <c r="A19" s="41">
        <v>18.0</v>
      </c>
      <c r="B19" s="24" t="s">
        <v>237</v>
      </c>
      <c r="C19" s="16">
        <v>1.0</v>
      </c>
      <c r="D19" s="42"/>
      <c r="E19" s="42"/>
      <c r="F19" s="42"/>
      <c r="G19" s="42"/>
      <c r="H19" s="42">
        <v>2.0</v>
      </c>
      <c r="I19" s="42"/>
      <c r="J19" s="42"/>
      <c r="K19" s="42"/>
      <c r="L19" s="42"/>
      <c r="M19" s="42"/>
      <c r="N19" s="42"/>
      <c r="O19" s="42"/>
      <c r="P19" s="42">
        <v>8.0</v>
      </c>
      <c r="Q19" s="42">
        <v>10.0</v>
      </c>
      <c r="R19" s="42">
        <v>8.0</v>
      </c>
      <c r="S19" s="42">
        <v>4.0</v>
      </c>
      <c r="U19" s="42">
        <v>8.0</v>
      </c>
      <c r="V19" s="42"/>
      <c r="W19" s="42"/>
      <c r="X19" s="42"/>
      <c r="Y19" s="42"/>
      <c r="Z19" s="42"/>
      <c r="AA19" s="42"/>
      <c r="AB19" s="42"/>
      <c r="AC19" s="42"/>
      <c r="AD19" s="42">
        <v>8.0</v>
      </c>
      <c r="AE19" s="42"/>
      <c r="AF19" s="42">
        <v>3.0</v>
      </c>
      <c r="AG19" s="42">
        <v>1.0</v>
      </c>
      <c r="AH19" s="44">
        <f t="shared" si="1"/>
        <v>9</v>
      </c>
      <c r="AI19" s="45">
        <f t="shared" si="2"/>
        <v>52</v>
      </c>
    </row>
    <row r="20">
      <c r="A20" s="41">
        <v>19.0</v>
      </c>
      <c r="B20" s="24" t="s">
        <v>172</v>
      </c>
      <c r="C20" s="16">
        <v>2.0</v>
      </c>
      <c r="D20" s="42"/>
      <c r="E20" s="42"/>
      <c r="F20" s="42"/>
      <c r="G20" s="42">
        <v>4.0</v>
      </c>
      <c r="H20" s="42"/>
      <c r="I20" s="42"/>
      <c r="J20" s="42"/>
      <c r="K20" s="42">
        <v>7.0</v>
      </c>
      <c r="L20" s="42"/>
      <c r="M20" s="42">
        <v>7.0</v>
      </c>
      <c r="N20" s="42"/>
      <c r="O20" s="42"/>
      <c r="P20" s="42"/>
      <c r="Q20" s="42"/>
      <c r="R20" s="42"/>
      <c r="S20" s="42"/>
      <c r="U20" s="42">
        <v>7.0</v>
      </c>
      <c r="V20" s="42"/>
      <c r="W20" s="42"/>
      <c r="X20" s="42">
        <v>2.0</v>
      </c>
      <c r="Y20" s="42"/>
      <c r="Z20" s="42">
        <v>10.0</v>
      </c>
      <c r="AA20" s="42"/>
      <c r="AB20" s="42"/>
      <c r="AC20" s="42">
        <v>8.0</v>
      </c>
      <c r="AD20" s="42"/>
      <c r="AE20" s="42"/>
      <c r="AF20" s="42">
        <v>7.0</v>
      </c>
      <c r="AG20" s="42"/>
      <c r="AH20" s="44">
        <f t="shared" si="1"/>
        <v>8</v>
      </c>
      <c r="AI20" s="45">
        <f t="shared" si="2"/>
        <v>52</v>
      </c>
    </row>
    <row r="21">
      <c r="A21" s="41">
        <v>20.0</v>
      </c>
      <c r="B21" s="24" t="s">
        <v>222</v>
      </c>
      <c r="C21" s="16">
        <v>6.0</v>
      </c>
      <c r="D21" s="42">
        <v>4.0</v>
      </c>
      <c r="E21" s="42"/>
      <c r="F21" s="42"/>
      <c r="G21" s="42"/>
      <c r="H21" s="42">
        <v>7.0</v>
      </c>
      <c r="I21" s="42"/>
      <c r="J21" s="42"/>
      <c r="K21" s="42"/>
      <c r="L21" s="42"/>
      <c r="M21" s="42"/>
      <c r="N21" s="42"/>
      <c r="O21" s="42"/>
      <c r="P21" s="42">
        <v>5.0</v>
      </c>
      <c r="Q21" s="42">
        <v>5.0</v>
      </c>
      <c r="R21" s="42"/>
      <c r="S21" s="42"/>
      <c r="U21" s="42">
        <v>12.0</v>
      </c>
      <c r="V21" s="42"/>
      <c r="W21" s="42"/>
      <c r="X21" s="42"/>
      <c r="Y21" s="42"/>
      <c r="Z21" s="42"/>
      <c r="AA21" s="42"/>
      <c r="AB21" s="42">
        <v>12.0</v>
      </c>
      <c r="AC21" s="42"/>
      <c r="AD21" s="42"/>
      <c r="AE21" s="42">
        <v>6.0</v>
      </c>
      <c r="AF21" s="42"/>
      <c r="AG21" s="42"/>
      <c r="AH21" s="44">
        <f t="shared" si="1"/>
        <v>7</v>
      </c>
      <c r="AI21" s="45">
        <f t="shared" si="2"/>
        <v>51</v>
      </c>
    </row>
    <row r="22">
      <c r="A22" s="41">
        <v>21.0</v>
      </c>
      <c r="B22" s="24" t="s">
        <v>82</v>
      </c>
      <c r="C22" s="16">
        <v>1.0</v>
      </c>
      <c r="D22" s="42"/>
      <c r="E22" s="42"/>
      <c r="F22" s="42"/>
      <c r="G22" s="42">
        <v>6.0</v>
      </c>
      <c r="H22" s="42"/>
      <c r="I22" s="42"/>
      <c r="J22" s="42"/>
      <c r="K22" s="42"/>
      <c r="L22" s="42">
        <v>12.0</v>
      </c>
      <c r="M22" s="42"/>
      <c r="N22" s="42">
        <v>1.0</v>
      </c>
      <c r="O22" s="42">
        <v>1.0</v>
      </c>
      <c r="P22" s="42">
        <v>2.0</v>
      </c>
      <c r="Q22" s="42">
        <v>4.0</v>
      </c>
      <c r="R22" s="42">
        <v>6.0</v>
      </c>
      <c r="S22" s="42"/>
      <c r="U22" s="42"/>
      <c r="V22" s="42">
        <v>3.0</v>
      </c>
      <c r="W22" s="42"/>
      <c r="X22" s="42"/>
      <c r="Y22" s="42"/>
      <c r="Z22" s="42"/>
      <c r="AA22" s="42">
        <v>2.0</v>
      </c>
      <c r="AB22" s="42">
        <v>1.0</v>
      </c>
      <c r="AC22" s="42"/>
      <c r="AE22" s="42">
        <v>8.0</v>
      </c>
      <c r="AF22" s="42">
        <v>2.0</v>
      </c>
      <c r="AG22" s="42"/>
      <c r="AH22" s="44">
        <f t="shared" si="1"/>
        <v>12</v>
      </c>
      <c r="AI22" s="45">
        <f t="shared" si="2"/>
        <v>48</v>
      </c>
    </row>
    <row r="23">
      <c r="A23" s="41">
        <v>22.0</v>
      </c>
      <c r="B23" s="24" t="s">
        <v>77</v>
      </c>
      <c r="C23" s="16">
        <v>5.0</v>
      </c>
      <c r="D23" s="42"/>
      <c r="E23" s="42">
        <v>2.0</v>
      </c>
      <c r="F23" s="42">
        <v>2.0</v>
      </c>
      <c r="G23" s="42"/>
      <c r="H23" s="42">
        <v>4.0</v>
      </c>
      <c r="I23" s="42"/>
      <c r="J23" s="42"/>
      <c r="K23" s="42">
        <v>4.0</v>
      </c>
      <c r="L23" s="42">
        <v>4.0</v>
      </c>
      <c r="M23" s="42"/>
      <c r="N23" s="42">
        <v>5.0</v>
      </c>
      <c r="O23" s="42"/>
      <c r="P23" s="42"/>
      <c r="Q23" s="42">
        <v>8.0</v>
      </c>
      <c r="R23" s="42"/>
      <c r="S23" s="42"/>
      <c r="T23" s="43">
        <v>5.0</v>
      </c>
      <c r="U23" s="42"/>
      <c r="V23" s="42"/>
      <c r="W23" s="42">
        <v>5.0</v>
      </c>
      <c r="X23" s="42"/>
      <c r="Y23" s="42"/>
      <c r="Z23" s="42">
        <v>7.0</v>
      </c>
      <c r="AA23" s="42"/>
      <c r="AB23" s="42"/>
      <c r="AC23" s="42"/>
      <c r="AD23" s="42">
        <v>1.0</v>
      </c>
      <c r="AE23" s="42"/>
      <c r="AF23" s="42"/>
      <c r="AG23" s="42"/>
      <c r="AH23" s="44">
        <f t="shared" si="1"/>
        <v>11</v>
      </c>
      <c r="AI23" s="45">
        <f t="shared" si="2"/>
        <v>47</v>
      </c>
    </row>
    <row r="24">
      <c r="A24" s="41">
        <v>23.0</v>
      </c>
      <c r="B24" s="24" t="s">
        <v>207</v>
      </c>
      <c r="C24" s="16">
        <v>1.0</v>
      </c>
      <c r="D24" s="42">
        <v>1.0</v>
      </c>
      <c r="E24" s="42"/>
      <c r="F24" s="42"/>
      <c r="G24" s="42"/>
      <c r="H24" s="42"/>
      <c r="I24" s="42">
        <v>4.0</v>
      </c>
      <c r="J24" s="42"/>
      <c r="K24" s="42"/>
      <c r="L24" s="42"/>
      <c r="M24" s="42"/>
      <c r="N24" s="42">
        <v>10.0</v>
      </c>
      <c r="O24" s="42"/>
      <c r="P24" s="42"/>
      <c r="Q24" s="42"/>
      <c r="R24" s="42"/>
      <c r="S24" s="42"/>
      <c r="U24" s="42"/>
      <c r="V24" s="42"/>
      <c r="W24" s="42"/>
      <c r="X24" s="42"/>
      <c r="Y24" s="42"/>
      <c r="Z24" s="42"/>
      <c r="AA24" s="42"/>
      <c r="AB24" s="42">
        <v>10.0</v>
      </c>
      <c r="AC24" s="42"/>
      <c r="AD24" s="42">
        <v>7.0</v>
      </c>
      <c r="AE24" s="42">
        <v>12.0</v>
      </c>
      <c r="AF24" s="42"/>
      <c r="AG24" s="42"/>
      <c r="AH24" s="44">
        <f t="shared" si="1"/>
        <v>6</v>
      </c>
      <c r="AI24" s="45">
        <f t="shared" si="2"/>
        <v>44</v>
      </c>
    </row>
    <row r="25">
      <c r="A25" s="52">
        <v>24.0</v>
      </c>
      <c r="B25" s="24" t="s">
        <v>266</v>
      </c>
      <c r="C25" s="16">
        <v>3.0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>
        <v>8.0</v>
      </c>
      <c r="P25" s="42"/>
      <c r="Q25" s="42"/>
      <c r="R25" s="42"/>
      <c r="S25" s="42"/>
      <c r="U25" s="42"/>
      <c r="V25" s="42">
        <v>2.0</v>
      </c>
      <c r="W25" s="42">
        <v>3.0</v>
      </c>
      <c r="X25" s="42"/>
      <c r="Y25" s="42"/>
      <c r="Z25" s="42">
        <v>4.0</v>
      </c>
      <c r="AA25" s="42"/>
      <c r="AB25" s="42"/>
      <c r="AC25" s="42">
        <v>1.0</v>
      </c>
      <c r="AD25" s="42">
        <v>12.0</v>
      </c>
      <c r="AE25" s="42">
        <v>7.0</v>
      </c>
      <c r="AF25" s="42"/>
      <c r="AG25" s="42">
        <v>6.0</v>
      </c>
      <c r="AH25" s="44">
        <f t="shared" si="1"/>
        <v>8</v>
      </c>
      <c r="AI25" s="45">
        <f t="shared" si="2"/>
        <v>43</v>
      </c>
    </row>
    <row r="26">
      <c r="A26" s="52">
        <v>25.0</v>
      </c>
      <c r="B26" s="24" t="s">
        <v>182</v>
      </c>
      <c r="C26" s="16">
        <v>3.0</v>
      </c>
      <c r="D26" s="42"/>
      <c r="E26" s="42"/>
      <c r="F26" s="42">
        <v>3.0</v>
      </c>
      <c r="G26" s="42"/>
      <c r="H26" s="42">
        <v>5.0</v>
      </c>
      <c r="I26" s="42"/>
      <c r="J26" s="42"/>
      <c r="K26" s="42"/>
      <c r="L26" s="42">
        <v>6.0</v>
      </c>
      <c r="M26" s="42"/>
      <c r="N26" s="42"/>
      <c r="O26" s="42">
        <v>4.0</v>
      </c>
      <c r="P26" s="42">
        <v>4.0</v>
      </c>
      <c r="Q26" s="42"/>
      <c r="R26" s="42"/>
      <c r="S26" s="42"/>
      <c r="U26" s="42"/>
      <c r="V26" s="42">
        <v>5.0</v>
      </c>
      <c r="W26" s="42"/>
      <c r="X26" s="42"/>
      <c r="Y26" s="42">
        <v>4.0</v>
      </c>
      <c r="Z26" s="42"/>
      <c r="AA26" s="42"/>
      <c r="AB26" s="42"/>
      <c r="AC26" s="42"/>
      <c r="AD26" s="42"/>
      <c r="AE26" s="42">
        <v>10.0</v>
      </c>
      <c r="AF26" s="42"/>
      <c r="AG26" s="42"/>
      <c r="AH26" s="44">
        <f t="shared" si="1"/>
        <v>8</v>
      </c>
      <c r="AI26" s="45">
        <f t="shared" si="2"/>
        <v>41</v>
      </c>
    </row>
    <row r="27">
      <c r="A27" s="52">
        <v>26.0</v>
      </c>
      <c r="B27" s="24" t="s">
        <v>17</v>
      </c>
      <c r="C27" s="16">
        <v>4.0</v>
      </c>
      <c r="D27" s="42"/>
      <c r="E27" s="42"/>
      <c r="F27" s="42"/>
      <c r="G27" s="42"/>
      <c r="H27" s="42"/>
      <c r="I27" s="42">
        <v>5.0</v>
      </c>
      <c r="J27" s="42">
        <v>7.0</v>
      </c>
      <c r="K27" s="42">
        <v>5.0</v>
      </c>
      <c r="L27" s="42"/>
      <c r="M27" s="42"/>
      <c r="N27" s="42"/>
      <c r="O27" s="42"/>
      <c r="P27" s="42"/>
      <c r="Q27" s="42"/>
      <c r="R27" s="42">
        <v>3.0</v>
      </c>
      <c r="S27" s="42"/>
      <c r="U27" s="42">
        <v>6.0</v>
      </c>
      <c r="V27" s="42"/>
      <c r="W27" s="42"/>
      <c r="X27" s="42"/>
      <c r="Y27" s="42"/>
      <c r="Z27" s="42"/>
      <c r="AA27" s="42"/>
      <c r="AB27" s="42"/>
      <c r="AC27" s="42"/>
      <c r="AD27" s="42">
        <v>10.0</v>
      </c>
      <c r="AE27" s="42"/>
      <c r="AF27" s="42">
        <v>1.0</v>
      </c>
      <c r="AG27" s="42"/>
      <c r="AH27" s="44">
        <f t="shared" si="1"/>
        <v>7</v>
      </c>
      <c r="AI27" s="45">
        <f t="shared" si="2"/>
        <v>37</v>
      </c>
    </row>
    <row r="28">
      <c r="A28" s="41">
        <v>27.0</v>
      </c>
      <c r="B28" s="24" t="s">
        <v>197</v>
      </c>
      <c r="C28" s="16">
        <v>3.0</v>
      </c>
      <c r="D28" s="42">
        <v>2.0</v>
      </c>
      <c r="E28" s="42"/>
      <c r="F28" s="42"/>
      <c r="G28" s="42"/>
      <c r="H28" s="42"/>
      <c r="I28" s="42">
        <v>2.0</v>
      </c>
      <c r="J28" s="42"/>
      <c r="K28" s="42">
        <v>6.0</v>
      </c>
      <c r="L28" s="42"/>
      <c r="M28" s="42"/>
      <c r="N28" s="42">
        <v>3.0</v>
      </c>
      <c r="O28" s="42"/>
      <c r="P28" s="42"/>
      <c r="Q28" s="42"/>
      <c r="R28" s="42"/>
      <c r="S28" s="42"/>
      <c r="T28" s="42">
        <v>6.0</v>
      </c>
      <c r="U28" s="42"/>
      <c r="V28" s="42"/>
      <c r="W28" s="42">
        <v>6.0</v>
      </c>
      <c r="X28" s="42"/>
      <c r="Y28" s="42"/>
      <c r="Z28" s="42">
        <v>8.0</v>
      </c>
      <c r="AA28" s="42"/>
      <c r="AB28" s="42"/>
      <c r="AC28" s="42">
        <v>3.0</v>
      </c>
      <c r="AD28" s="42"/>
      <c r="AE28" s="42"/>
      <c r="AF28" s="42"/>
      <c r="AG28" s="42"/>
      <c r="AH28" s="44">
        <f t="shared" si="1"/>
        <v>8</v>
      </c>
      <c r="AI28" s="45">
        <f t="shared" si="2"/>
        <v>36</v>
      </c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4"/>
      <c r="AI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4"/>
      <c r="AI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4"/>
      <c r="AI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4"/>
      <c r="AI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4"/>
      <c r="AI33" s="53"/>
    </row>
    <row r="34">
      <c r="M34" s="43"/>
      <c r="AH34" s="55"/>
    </row>
    <row r="35">
      <c r="C35" s="22"/>
      <c r="AH35" s="55"/>
    </row>
    <row r="36">
      <c r="C36" s="22"/>
      <c r="AH36" s="55"/>
    </row>
    <row r="37">
      <c r="C37" s="22"/>
      <c r="AH37" s="55"/>
    </row>
    <row r="38">
      <c r="C38" s="22"/>
      <c r="AH38" s="55"/>
    </row>
    <row r="39">
      <c r="C39" s="22"/>
      <c r="AH39" s="55"/>
    </row>
    <row r="40">
      <c r="C40" s="22"/>
      <c r="AH40" s="55"/>
    </row>
    <row r="41">
      <c r="C41" s="22"/>
      <c r="AH41" s="55"/>
    </row>
    <row r="42">
      <c r="C42" s="22"/>
      <c r="AH42" s="55"/>
    </row>
    <row r="43">
      <c r="C43" s="22"/>
      <c r="AH43" s="55"/>
    </row>
    <row r="44">
      <c r="C44" s="22"/>
      <c r="AH44" s="55"/>
    </row>
    <row r="45">
      <c r="C45" s="22"/>
      <c r="AH45" s="55"/>
    </row>
    <row r="46">
      <c r="C46" s="22"/>
      <c r="AH46" s="55"/>
    </row>
    <row r="47">
      <c r="C47" s="22"/>
      <c r="AH47" s="55"/>
    </row>
    <row r="48">
      <c r="C48" s="22"/>
      <c r="AH48" s="55"/>
    </row>
    <row r="49">
      <c r="C49" s="22"/>
      <c r="AH49" s="55"/>
    </row>
    <row r="50">
      <c r="C50" s="22"/>
      <c r="AH50" s="55"/>
    </row>
    <row r="51">
      <c r="C51" s="22"/>
      <c r="AH51" s="55"/>
    </row>
    <row r="52">
      <c r="C52" s="22"/>
      <c r="AH52" s="55"/>
    </row>
    <row r="53">
      <c r="C53" s="22"/>
      <c r="AH53" s="55"/>
    </row>
    <row r="54">
      <c r="C54" s="22"/>
      <c r="AH54" s="55"/>
    </row>
    <row r="55">
      <c r="C55" s="22"/>
      <c r="AH55" s="55"/>
    </row>
    <row r="56">
      <c r="C56" s="22"/>
      <c r="AH56" s="55"/>
    </row>
    <row r="57">
      <c r="C57" s="22"/>
      <c r="AH57" s="55"/>
    </row>
    <row r="58">
      <c r="C58" s="22"/>
      <c r="AH58" s="55"/>
    </row>
    <row r="59">
      <c r="C59" s="22"/>
      <c r="AH59" s="55"/>
    </row>
    <row r="60">
      <c r="C60" s="22"/>
      <c r="AH60" s="55"/>
    </row>
    <row r="61">
      <c r="C61" s="22"/>
      <c r="AH61" s="55"/>
    </row>
    <row r="62">
      <c r="C62" s="22"/>
      <c r="AH62" s="55"/>
    </row>
    <row r="63">
      <c r="C63" s="22"/>
      <c r="AH63" s="55"/>
    </row>
    <row r="64">
      <c r="C64" s="22"/>
      <c r="AH64" s="55"/>
    </row>
    <row r="65">
      <c r="C65" s="22"/>
      <c r="AH65" s="55"/>
    </row>
    <row r="66">
      <c r="C66" s="22"/>
      <c r="AH66" s="55"/>
    </row>
    <row r="67">
      <c r="C67" s="22"/>
      <c r="AH67" s="55"/>
    </row>
    <row r="68">
      <c r="C68" s="22"/>
      <c r="AH68" s="55"/>
    </row>
    <row r="69">
      <c r="C69" s="22"/>
      <c r="AH69" s="55"/>
    </row>
    <row r="70">
      <c r="C70" s="22"/>
      <c r="AH70" s="55"/>
    </row>
    <row r="71">
      <c r="C71" s="22"/>
      <c r="AH71" s="55"/>
    </row>
    <row r="72">
      <c r="C72" s="22"/>
      <c r="AH72" s="55"/>
    </row>
    <row r="73">
      <c r="C73" s="22"/>
      <c r="AH73" s="55"/>
    </row>
    <row r="74">
      <c r="C74" s="22"/>
      <c r="AH74" s="55"/>
    </row>
    <row r="75">
      <c r="C75" s="22"/>
      <c r="AH75" s="55"/>
    </row>
    <row r="76">
      <c r="C76" s="22"/>
      <c r="AH76" s="55"/>
    </row>
    <row r="77">
      <c r="C77" s="22"/>
      <c r="AH77" s="55"/>
    </row>
    <row r="78">
      <c r="C78" s="22"/>
      <c r="AH78" s="55"/>
    </row>
    <row r="79">
      <c r="C79" s="22"/>
      <c r="AH79" s="55"/>
    </row>
    <row r="80">
      <c r="C80" s="22"/>
      <c r="AH80" s="55"/>
    </row>
    <row r="81">
      <c r="C81" s="22"/>
      <c r="AH81" s="55"/>
    </row>
    <row r="82">
      <c r="C82" s="22"/>
      <c r="AH82" s="55"/>
    </row>
    <row r="83">
      <c r="C83" s="22"/>
      <c r="AH83" s="55"/>
    </row>
    <row r="84">
      <c r="C84" s="22"/>
      <c r="AH84" s="55"/>
    </row>
    <row r="85">
      <c r="C85" s="22"/>
      <c r="AH85" s="55"/>
    </row>
    <row r="86">
      <c r="C86" s="22"/>
      <c r="AH86" s="55"/>
    </row>
    <row r="87">
      <c r="C87" s="22"/>
      <c r="AH87" s="55"/>
    </row>
    <row r="88">
      <c r="C88" s="22"/>
      <c r="AH88" s="55"/>
    </row>
    <row r="89">
      <c r="C89" s="22"/>
      <c r="AH89" s="55"/>
    </row>
    <row r="90">
      <c r="C90" s="22"/>
      <c r="AH90" s="55"/>
    </row>
    <row r="91">
      <c r="C91" s="22"/>
      <c r="AH91" s="55"/>
    </row>
    <row r="92">
      <c r="C92" s="22"/>
      <c r="AH92" s="55"/>
    </row>
    <row r="93">
      <c r="C93" s="22"/>
      <c r="AH93" s="55"/>
    </row>
    <row r="94">
      <c r="C94" s="22"/>
      <c r="AH94" s="55"/>
    </row>
    <row r="95">
      <c r="C95" s="22"/>
      <c r="AH95" s="55"/>
    </row>
    <row r="96">
      <c r="C96" s="22"/>
      <c r="AH96" s="55"/>
    </row>
    <row r="97">
      <c r="C97" s="22"/>
      <c r="AH97" s="55"/>
    </row>
    <row r="98">
      <c r="C98" s="22"/>
      <c r="AH98" s="55"/>
    </row>
    <row r="99">
      <c r="C99" s="22"/>
      <c r="AH99" s="55"/>
    </row>
    <row r="100">
      <c r="C100" s="22"/>
      <c r="AH100" s="55"/>
    </row>
    <row r="101">
      <c r="C101" s="22"/>
      <c r="AH101" s="55"/>
    </row>
    <row r="102">
      <c r="C102" s="22"/>
      <c r="AH102" s="55"/>
    </row>
    <row r="103">
      <c r="C103" s="22"/>
      <c r="AH103" s="55"/>
    </row>
    <row r="104">
      <c r="C104" s="22"/>
      <c r="AH104" s="55"/>
    </row>
    <row r="105">
      <c r="C105" s="22"/>
      <c r="AH105" s="55"/>
    </row>
    <row r="106">
      <c r="C106" s="22"/>
      <c r="AH106" s="55"/>
    </row>
    <row r="107">
      <c r="C107" s="22"/>
      <c r="AH107" s="55"/>
    </row>
    <row r="108">
      <c r="C108" s="22"/>
      <c r="AH108" s="55"/>
    </row>
    <row r="109">
      <c r="C109" s="22"/>
      <c r="AH109" s="55"/>
    </row>
    <row r="110">
      <c r="C110" s="22"/>
      <c r="AH110" s="55"/>
    </row>
    <row r="111">
      <c r="C111" s="22"/>
      <c r="AH111" s="55"/>
    </row>
    <row r="112">
      <c r="C112" s="22"/>
      <c r="AH112" s="55"/>
    </row>
    <row r="113">
      <c r="C113" s="22"/>
      <c r="AH113" s="55"/>
    </row>
    <row r="114">
      <c r="C114" s="22"/>
      <c r="AH114" s="55"/>
    </row>
    <row r="115">
      <c r="C115" s="22"/>
      <c r="AH115" s="55"/>
    </row>
    <row r="116">
      <c r="C116" s="22"/>
      <c r="AH116" s="55"/>
    </row>
    <row r="117">
      <c r="C117" s="22"/>
      <c r="AH117" s="55"/>
    </row>
    <row r="118">
      <c r="C118" s="22"/>
      <c r="AH118" s="55"/>
    </row>
    <row r="119">
      <c r="C119" s="22"/>
      <c r="AH119" s="55"/>
    </row>
    <row r="120">
      <c r="C120" s="22"/>
      <c r="AH120" s="55"/>
    </row>
    <row r="121">
      <c r="C121" s="22"/>
      <c r="AH121" s="55"/>
    </row>
    <row r="122">
      <c r="C122" s="22"/>
      <c r="AH122" s="55"/>
    </row>
    <row r="123">
      <c r="C123" s="22"/>
      <c r="AH123" s="55"/>
    </row>
    <row r="124">
      <c r="C124" s="22"/>
      <c r="AH124" s="55"/>
    </row>
    <row r="125">
      <c r="C125" s="22"/>
      <c r="AH125" s="55"/>
    </row>
    <row r="126">
      <c r="C126" s="22"/>
      <c r="AH126" s="55"/>
    </row>
    <row r="127">
      <c r="C127" s="22"/>
      <c r="AH127" s="55"/>
    </row>
    <row r="128">
      <c r="C128" s="22"/>
      <c r="AH128" s="55"/>
    </row>
    <row r="129">
      <c r="C129" s="22"/>
      <c r="AH129" s="55"/>
    </row>
    <row r="130">
      <c r="C130" s="22"/>
      <c r="AH130" s="55"/>
    </row>
    <row r="131">
      <c r="C131" s="22"/>
      <c r="AH131" s="55"/>
    </row>
    <row r="132">
      <c r="C132" s="22"/>
      <c r="AH132" s="55"/>
    </row>
    <row r="133">
      <c r="C133" s="22"/>
      <c r="AH133" s="55"/>
    </row>
    <row r="134">
      <c r="C134" s="22"/>
      <c r="AH134" s="55"/>
    </row>
    <row r="135">
      <c r="C135" s="22"/>
      <c r="AH135" s="55"/>
    </row>
    <row r="136">
      <c r="C136" s="22"/>
      <c r="AH136" s="55"/>
    </row>
    <row r="137">
      <c r="C137" s="22"/>
      <c r="AH137" s="55"/>
    </row>
    <row r="138">
      <c r="C138" s="22"/>
      <c r="AH138" s="55"/>
    </row>
    <row r="139">
      <c r="C139" s="22"/>
      <c r="AH139" s="55"/>
    </row>
    <row r="140">
      <c r="C140" s="22"/>
      <c r="AH140" s="55"/>
    </row>
    <row r="141">
      <c r="C141" s="22"/>
      <c r="AH141" s="55"/>
    </row>
    <row r="142">
      <c r="C142" s="22"/>
      <c r="AH142" s="55"/>
    </row>
    <row r="143">
      <c r="C143" s="22"/>
      <c r="AH143" s="55"/>
    </row>
    <row r="144">
      <c r="C144" s="22"/>
      <c r="AH144" s="55"/>
    </row>
    <row r="145">
      <c r="C145" s="22"/>
      <c r="AH145" s="55"/>
    </row>
    <row r="146">
      <c r="C146" s="22"/>
      <c r="AH146" s="55"/>
    </row>
    <row r="147">
      <c r="C147" s="22"/>
      <c r="AH147" s="55"/>
    </row>
    <row r="148">
      <c r="C148" s="22"/>
      <c r="AH148" s="55"/>
    </row>
    <row r="149">
      <c r="C149" s="22"/>
      <c r="AH149" s="55"/>
    </row>
    <row r="150">
      <c r="C150" s="22"/>
      <c r="AH150" s="55"/>
    </row>
    <row r="151">
      <c r="C151" s="22"/>
      <c r="AH151" s="55"/>
    </row>
    <row r="152">
      <c r="C152" s="22"/>
      <c r="AH152" s="55"/>
    </row>
    <row r="153">
      <c r="C153" s="22"/>
      <c r="AH153" s="55"/>
    </row>
    <row r="154">
      <c r="C154" s="22"/>
      <c r="AH154" s="55"/>
    </row>
    <row r="155">
      <c r="C155" s="22"/>
      <c r="AH155" s="55"/>
    </row>
    <row r="156">
      <c r="C156" s="22"/>
      <c r="AH156" s="55"/>
    </row>
    <row r="157">
      <c r="C157" s="22"/>
      <c r="AH157" s="55"/>
    </row>
    <row r="158">
      <c r="C158" s="22"/>
      <c r="AH158" s="55"/>
    </row>
    <row r="159">
      <c r="C159" s="22"/>
      <c r="AH159" s="55"/>
    </row>
    <row r="160">
      <c r="C160" s="22"/>
      <c r="AH160" s="55"/>
    </row>
    <row r="161">
      <c r="C161" s="22"/>
      <c r="AH161" s="55"/>
    </row>
    <row r="162">
      <c r="C162" s="22"/>
      <c r="AH162" s="55"/>
    </row>
    <row r="163">
      <c r="C163" s="22"/>
      <c r="AH163" s="55"/>
    </row>
    <row r="164">
      <c r="C164" s="22"/>
      <c r="AH164" s="55"/>
    </row>
    <row r="165">
      <c r="C165" s="22"/>
      <c r="AH165" s="55"/>
    </row>
    <row r="166">
      <c r="C166" s="22"/>
      <c r="AH166" s="55"/>
    </row>
    <row r="167">
      <c r="C167" s="22"/>
      <c r="AH167" s="55"/>
    </row>
    <row r="168">
      <c r="C168" s="22"/>
      <c r="AH168" s="55"/>
    </row>
    <row r="169">
      <c r="C169" s="22"/>
      <c r="AH169" s="55"/>
    </row>
    <row r="170">
      <c r="C170" s="22"/>
      <c r="AH170" s="55"/>
    </row>
    <row r="171">
      <c r="C171" s="22"/>
      <c r="AH171" s="55"/>
    </row>
    <row r="172">
      <c r="C172" s="22"/>
      <c r="AH172" s="55"/>
    </row>
    <row r="173">
      <c r="C173" s="22"/>
      <c r="AH173" s="55"/>
    </row>
    <row r="174">
      <c r="C174" s="22"/>
      <c r="AH174" s="55"/>
    </row>
    <row r="175">
      <c r="C175" s="22"/>
      <c r="AH175" s="55"/>
    </row>
    <row r="176">
      <c r="C176" s="22"/>
      <c r="AH176" s="55"/>
    </row>
    <row r="177">
      <c r="C177" s="22"/>
      <c r="AH177" s="55"/>
    </row>
    <row r="178">
      <c r="C178" s="22"/>
      <c r="AH178" s="55"/>
    </row>
    <row r="179">
      <c r="C179" s="22"/>
      <c r="AH179" s="55"/>
    </row>
    <row r="180">
      <c r="C180" s="22"/>
      <c r="AH180" s="55"/>
    </row>
    <row r="181">
      <c r="C181" s="22"/>
      <c r="AH181" s="55"/>
    </row>
    <row r="182">
      <c r="C182" s="22"/>
      <c r="AH182" s="55"/>
    </row>
    <row r="183">
      <c r="C183" s="22"/>
      <c r="AH183" s="55"/>
    </row>
    <row r="184">
      <c r="C184" s="22"/>
      <c r="AH184" s="55"/>
    </row>
    <row r="185">
      <c r="C185" s="22"/>
      <c r="AH185" s="55"/>
    </row>
    <row r="186">
      <c r="C186" s="22"/>
      <c r="AH186" s="55"/>
    </row>
    <row r="187">
      <c r="C187" s="22"/>
      <c r="AH187" s="55"/>
    </row>
    <row r="188">
      <c r="C188" s="22"/>
      <c r="AH188" s="55"/>
    </row>
    <row r="189">
      <c r="C189" s="22"/>
      <c r="AH189" s="55"/>
    </row>
    <row r="190">
      <c r="C190" s="22"/>
      <c r="AH190" s="55"/>
    </row>
    <row r="191">
      <c r="C191" s="22"/>
      <c r="AH191" s="55"/>
    </row>
    <row r="192">
      <c r="C192" s="22"/>
      <c r="AH192" s="55"/>
    </row>
    <row r="193">
      <c r="C193" s="22"/>
      <c r="AH193" s="55"/>
    </row>
    <row r="194">
      <c r="C194" s="22"/>
      <c r="AH194" s="55"/>
    </row>
    <row r="195">
      <c r="C195" s="22"/>
      <c r="AH195" s="55"/>
    </row>
    <row r="196">
      <c r="C196" s="22"/>
      <c r="AH196" s="55"/>
    </row>
    <row r="197">
      <c r="C197" s="22"/>
      <c r="AH197" s="55"/>
    </row>
    <row r="198">
      <c r="C198" s="22"/>
      <c r="AH198" s="55"/>
    </row>
    <row r="199">
      <c r="C199" s="22"/>
      <c r="AH199" s="55"/>
    </row>
    <row r="200">
      <c r="C200" s="22"/>
      <c r="AH200" s="55"/>
    </row>
    <row r="201">
      <c r="C201" s="22"/>
      <c r="AH201" s="55"/>
    </row>
    <row r="202">
      <c r="C202" s="22"/>
      <c r="AH202" s="55"/>
    </row>
    <row r="203">
      <c r="C203" s="22"/>
      <c r="AH203" s="55"/>
    </row>
    <row r="204">
      <c r="C204" s="22"/>
      <c r="AH204" s="55"/>
    </row>
    <row r="205">
      <c r="C205" s="22"/>
      <c r="AH205" s="55"/>
    </row>
    <row r="206">
      <c r="C206" s="22"/>
      <c r="AH206" s="55"/>
    </row>
    <row r="207">
      <c r="C207" s="22"/>
      <c r="AH207" s="55"/>
    </row>
    <row r="208">
      <c r="C208" s="22"/>
      <c r="AH208" s="55"/>
    </row>
    <row r="209">
      <c r="C209" s="22"/>
      <c r="AH209" s="55"/>
    </row>
    <row r="210">
      <c r="C210" s="22"/>
      <c r="AH210" s="55"/>
    </row>
    <row r="211">
      <c r="C211" s="22"/>
      <c r="AH211" s="55"/>
    </row>
    <row r="212">
      <c r="C212" s="22"/>
      <c r="AH212" s="55"/>
    </row>
    <row r="213">
      <c r="C213" s="22"/>
      <c r="AH213" s="55"/>
    </row>
    <row r="214">
      <c r="C214" s="22"/>
      <c r="AH214" s="55"/>
    </row>
    <row r="215">
      <c r="C215" s="22"/>
      <c r="AH215" s="55"/>
    </row>
    <row r="216">
      <c r="C216" s="22"/>
      <c r="AH216" s="55"/>
    </row>
    <row r="217">
      <c r="C217" s="22"/>
      <c r="AH217" s="55"/>
    </row>
    <row r="218">
      <c r="C218" s="22"/>
      <c r="AH218" s="55"/>
    </row>
    <row r="219">
      <c r="C219" s="22"/>
      <c r="AH219" s="55"/>
    </row>
    <row r="220">
      <c r="C220" s="22"/>
      <c r="AH220" s="55"/>
    </row>
    <row r="221">
      <c r="C221" s="22"/>
      <c r="AH221" s="55"/>
    </row>
    <row r="222">
      <c r="C222" s="22"/>
      <c r="AH222" s="55"/>
    </row>
    <row r="223">
      <c r="C223" s="22"/>
      <c r="AH223" s="55"/>
    </row>
    <row r="224">
      <c r="C224" s="22"/>
      <c r="AH224" s="55"/>
    </row>
    <row r="225">
      <c r="C225" s="22"/>
      <c r="AH225" s="55"/>
    </row>
    <row r="226">
      <c r="C226" s="22"/>
      <c r="AH226" s="55"/>
    </row>
    <row r="227">
      <c r="C227" s="22"/>
      <c r="AH227" s="55"/>
    </row>
    <row r="228">
      <c r="C228" s="22"/>
      <c r="AH228" s="55"/>
    </row>
    <row r="229">
      <c r="C229" s="22"/>
      <c r="AH229" s="55"/>
    </row>
    <row r="230">
      <c r="C230" s="22"/>
      <c r="AH230" s="55"/>
    </row>
    <row r="231">
      <c r="C231" s="22"/>
      <c r="AH231" s="55"/>
    </row>
    <row r="232">
      <c r="C232" s="22"/>
      <c r="AH232" s="55"/>
    </row>
    <row r="233">
      <c r="C233" s="22"/>
      <c r="AH233" s="55"/>
    </row>
    <row r="234">
      <c r="C234" s="22"/>
      <c r="AH234" s="55"/>
    </row>
    <row r="235">
      <c r="C235" s="22"/>
      <c r="AH235" s="55"/>
    </row>
    <row r="236">
      <c r="C236" s="22"/>
      <c r="AH236" s="55"/>
    </row>
    <row r="237">
      <c r="C237" s="22"/>
      <c r="AH237" s="55"/>
    </row>
    <row r="238">
      <c r="C238" s="22"/>
      <c r="AH238" s="55"/>
    </row>
    <row r="239">
      <c r="C239" s="22"/>
      <c r="AH239" s="55"/>
    </row>
    <row r="240">
      <c r="C240" s="22"/>
      <c r="AH240" s="55"/>
    </row>
    <row r="241">
      <c r="C241" s="22"/>
      <c r="AH241" s="55"/>
    </row>
    <row r="242">
      <c r="C242" s="22"/>
      <c r="AH242" s="55"/>
    </row>
    <row r="243">
      <c r="C243" s="22"/>
      <c r="AH243" s="55"/>
    </row>
    <row r="244">
      <c r="C244" s="22"/>
      <c r="AH244" s="55"/>
    </row>
    <row r="245">
      <c r="C245" s="22"/>
      <c r="AH245" s="55"/>
    </row>
    <row r="246">
      <c r="C246" s="22"/>
      <c r="AH246" s="55"/>
    </row>
    <row r="247">
      <c r="C247" s="22"/>
      <c r="AH247" s="55"/>
    </row>
    <row r="248">
      <c r="C248" s="22"/>
      <c r="AH248" s="55"/>
    </row>
    <row r="249">
      <c r="C249" s="22"/>
      <c r="AH249" s="55"/>
    </row>
    <row r="250">
      <c r="C250" s="22"/>
      <c r="AH250" s="55"/>
    </row>
    <row r="251">
      <c r="C251" s="22"/>
      <c r="AH251" s="55"/>
    </row>
    <row r="252">
      <c r="C252" s="22"/>
      <c r="AH252" s="55"/>
    </row>
    <row r="253">
      <c r="C253" s="22"/>
      <c r="AH253" s="55"/>
    </row>
    <row r="254">
      <c r="C254" s="22"/>
      <c r="AH254" s="55"/>
    </row>
    <row r="255">
      <c r="C255" s="22"/>
      <c r="AH255" s="55"/>
    </row>
    <row r="256">
      <c r="C256" s="22"/>
      <c r="AH256" s="55"/>
    </row>
    <row r="257">
      <c r="C257" s="22"/>
      <c r="AH257" s="55"/>
    </row>
    <row r="258">
      <c r="C258" s="22"/>
      <c r="AH258" s="55"/>
    </row>
    <row r="259">
      <c r="C259" s="22"/>
      <c r="AH259" s="55"/>
    </row>
    <row r="260">
      <c r="C260" s="22"/>
      <c r="AH260" s="55"/>
    </row>
    <row r="261">
      <c r="C261" s="22"/>
      <c r="AH261" s="55"/>
    </row>
    <row r="262">
      <c r="C262" s="22"/>
      <c r="AH262" s="55"/>
    </row>
    <row r="263">
      <c r="C263" s="22"/>
      <c r="AH263" s="55"/>
    </row>
    <row r="264">
      <c r="C264" s="22"/>
      <c r="AH264" s="55"/>
    </row>
    <row r="265">
      <c r="C265" s="22"/>
      <c r="AH265" s="55"/>
    </row>
    <row r="266">
      <c r="C266" s="22"/>
      <c r="AH266" s="55"/>
    </row>
    <row r="267">
      <c r="C267" s="22"/>
      <c r="AH267" s="55"/>
    </row>
    <row r="268">
      <c r="C268" s="22"/>
      <c r="AH268" s="55"/>
    </row>
    <row r="269">
      <c r="C269" s="22"/>
      <c r="AH269" s="55"/>
    </row>
    <row r="270">
      <c r="C270" s="22"/>
      <c r="AH270" s="55"/>
    </row>
    <row r="271">
      <c r="C271" s="22"/>
      <c r="AH271" s="55"/>
    </row>
    <row r="272">
      <c r="C272" s="22"/>
      <c r="AH272" s="55"/>
    </row>
    <row r="273">
      <c r="C273" s="22"/>
      <c r="AH273" s="55"/>
    </row>
    <row r="274">
      <c r="C274" s="22"/>
      <c r="AH274" s="55"/>
    </row>
    <row r="275">
      <c r="C275" s="22"/>
      <c r="AH275" s="55"/>
    </row>
    <row r="276">
      <c r="C276" s="22"/>
      <c r="AH276" s="55"/>
    </row>
    <row r="277">
      <c r="C277" s="22"/>
      <c r="AH277" s="55"/>
    </row>
    <row r="278">
      <c r="C278" s="22"/>
      <c r="AH278" s="55"/>
    </row>
    <row r="279">
      <c r="C279" s="22"/>
      <c r="AH279" s="55"/>
    </row>
    <row r="280">
      <c r="C280" s="22"/>
      <c r="AH280" s="55"/>
    </row>
    <row r="281">
      <c r="C281" s="22"/>
      <c r="AH281" s="55"/>
    </row>
    <row r="282">
      <c r="C282" s="22"/>
      <c r="AH282" s="55"/>
    </row>
    <row r="283">
      <c r="C283" s="22"/>
      <c r="AH283" s="55"/>
    </row>
    <row r="284">
      <c r="C284" s="22"/>
      <c r="AH284" s="55"/>
    </row>
    <row r="285">
      <c r="C285" s="22"/>
      <c r="AH285" s="55"/>
    </row>
    <row r="286">
      <c r="C286" s="22"/>
      <c r="AH286" s="55"/>
    </row>
    <row r="287">
      <c r="C287" s="22"/>
      <c r="AH287" s="55"/>
    </row>
    <row r="288">
      <c r="C288" s="22"/>
      <c r="AH288" s="55"/>
    </row>
    <row r="289">
      <c r="C289" s="22"/>
      <c r="AH289" s="55"/>
    </row>
    <row r="290">
      <c r="C290" s="22"/>
      <c r="AH290" s="55"/>
    </row>
    <row r="291">
      <c r="C291" s="22"/>
      <c r="AH291" s="55"/>
    </row>
    <row r="292">
      <c r="C292" s="22"/>
      <c r="AH292" s="55"/>
    </row>
    <row r="293">
      <c r="C293" s="22"/>
      <c r="AH293" s="55"/>
    </row>
    <row r="294">
      <c r="C294" s="22"/>
      <c r="AH294" s="55"/>
    </row>
    <row r="295">
      <c r="C295" s="22"/>
      <c r="AH295" s="55"/>
    </row>
    <row r="296">
      <c r="C296" s="22"/>
      <c r="AH296" s="55"/>
    </row>
    <row r="297">
      <c r="C297" s="22"/>
      <c r="AH297" s="55"/>
    </row>
    <row r="298">
      <c r="C298" s="22"/>
      <c r="AH298" s="55"/>
    </row>
    <row r="299">
      <c r="C299" s="22"/>
      <c r="AH299" s="55"/>
    </row>
    <row r="300">
      <c r="C300" s="22"/>
      <c r="AH300" s="55"/>
    </row>
    <row r="301">
      <c r="C301" s="22"/>
      <c r="AH301" s="55"/>
    </row>
    <row r="302">
      <c r="C302" s="22"/>
      <c r="AH302" s="55"/>
    </row>
    <row r="303">
      <c r="C303" s="22"/>
      <c r="AH303" s="55"/>
    </row>
    <row r="304">
      <c r="C304" s="22"/>
      <c r="AH304" s="55"/>
    </row>
    <row r="305">
      <c r="C305" s="22"/>
      <c r="AH305" s="55"/>
    </row>
    <row r="306">
      <c r="C306" s="22"/>
      <c r="AH306" s="55"/>
    </row>
    <row r="307">
      <c r="C307" s="22"/>
      <c r="AH307" s="55"/>
    </row>
    <row r="308">
      <c r="C308" s="22"/>
      <c r="AH308" s="55"/>
    </row>
    <row r="309">
      <c r="C309" s="22"/>
      <c r="AH309" s="55"/>
    </row>
    <row r="310">
      <c r="C310" s="22"/>
      <c r="AH310" s="55"/>
    </row>
    <row r="311">
      <c r="C311" s="22"/>
      <c r="AH311" s="55"/>
    </row>
    <row r="312">
      <c r="C312" s="22"/>
      <c r="AH312" s="55"/>
    </row>
    <row r="313">
      <c r="C313" s="22"/>
      <c r="AH313" s="55"/>
    </row>
    <row r="314">
      <c r="C314" s="22"/>
      <c r="AH314" s="55"/>
    </row>
    <row r="315">
      <c r="C315" s="22"/>
      <c r="AH315" s="55"/>
    </row>
    <row r="316">
      <c r="C316" s="22"/>
      <c r="AH316" s="55"/>
    </row>
    <row r="317">
      <c r="C317" s="22"/>
      <c r="AH317" s="55"/>
    </row>
    <row r="318">
      <c r="C318" s="22"/>
      <c r="AH318" s="55"/>
    </row>
    <row r="319">
      <c r="C319" s="22"/>
      <c r="AH319" s="55"/>
    </row>
    <row r="320">
      <c r="C320" s="22"/>
      <c r="AH320" s="55"/>
    </row>
    <row r="321">
      <c r="C321" s="22"/>
      <c r="AH321" s="55"/>
    </row>
    <row r="322">
      <c r="C322" s="22"/>
      <c r="AH322" s="55"/>
    </row>
    <row r="323">
      <c r="C323" s="22"/>
      <c r="AH323" s="55"/>
    </row>
    <row r="324">
      <c r="C324" s="22"/>
      <c r="AH324" s="55"/>
    </row>
    <row r="325">
      <c r="C325" s="22"/>
      <c r="AH325" s="55"/>
    </row>
    <row r="326">
      <c r="C326" s="22"/>
      <c r="AH326" s="55"/>
    </row>
    <row r="327">
      <c r="C327" s="22"/>
      <c r="AH327" s="55"/>
    </row>
    <row r="328">
      <c r="C328" s="22"/>
      <c r="AH328" s="55"/>
    </row>
    <row r="329">
      <c r="C329" s="22"/>
      <c r="AH329" s="55"/>
    </row>
    <row r="330">
      <c r="C330" s="22"/>
      <c r="AH330" s="55"/>
    </row>
    <row r="331">
      <c r="C331" s="22"/>
      <c r="AH331" s="55"/>
    </row>
    <row r="332">
      <c r="C332" s="22"/>
      <c r="AH332" s="55"/>
    </row>
    <row r="333">
      <c r="C333" s="22"/>
      <c r="AH333" s="55"/>
    </row>
    <row r="334">
      <c r="C334" s="22"/>
      <c r="AH334" s="55"/>
    </row>
    <row r="335">
      <c r="C335" s="22"/>
      <c r="AH335" s="55"/>
    </row>
    <row r="336">
      <c r="C336" s="22"/>
      <c r="AH336" s="55"/>
    </row>
    <row r="337">
      <c r="C337" s="22"/>
      <c r="AH337" s="55"/>
    </row>
    <row r="338">
      <c r="C338" s="22"/>
      <c r="AH338" s="55"/>
    </row>
    <row r="339">
      <c r="C339" s="22"/>
      <c r="AH339" s="55"/>
    </row>
    <row r="340">
      <c r="C340" s="22"/>
      <c r="AH340" s="55"/>
    </row>
    <row r="341">
      <c r="C341" s="22"/>
      <c r="AH341" s="55"/>
    </row>
    <row r="342">
      <c r="C342" s="22"/>
      <c r="AH342" s="55"/>
    </row>
    <row r="343">
      <c r="C343" s="22"/>
      <c r="AH343" s="55"/>
    </row>
    <row r="344">
      <c r="C344" s="22"/>
      <c r="AH344" s="55"/>
    </row>
    <row r="345">
      <c r="C345" s="22"/>
      <c r="AH345" s="55"/>
    </row>
    <row r="346">
      <c r="C346" s="22"/>
      <c r="AH346" s="55"/>
    </row>
    <row r="347">
      <c r="C347" s="22"/>
      <c r="AH347" s="55"/>
    </row>
    <row r="348">
      <c r="C348" s="22"/>
      <c r="AH348" s="55"/>
    </row>
    <row r="349">
      <c r="C349" s="22"/>
      <c r="AH349" s="55"/>
    </row>
    <row r="350">
      <c r="C350" s="22"/>
      <c r="AH350" s="55"/>
    </row>
    <row r="351">
      <c r="C351" s="22"/>
      <c r="AH351" s="55"/>
    </row>
    <row r="352">
      <c r="C352" s="22"/>
      <c r="AH352" s="55"/>
    </row>
    <row r="353">
      <c r="C353" s="22"/>
      <c r="AH353" s="55"/>
    </row>
    <row r="354">
      <c r="C354" s="22"/>
      <c r="AH354" s="55"/>
    </row>
    <row r="355">
      <c r="C355" s="22"/>
      <c r="AH355" s="55"/>
    </row>
    <row r="356">
      <c r="C356" s="22"/>
      <c r="AH356" s="55"/>
    </row>
    <row r="357">
      <c r="C357" s="22"/>
      <c r="AH357" s="55"/>
    </row>
    <row r="358">
      <c r="C358" s="22"/>
      <c r="AH358" s="55"/>
    </row>
    <row r="359">
      <c r="C359" s="22"/>
      <c r="AH359" s="55"/>
    </row>
    <row r="360">
      <c r="C360" s="22"/>
      <c r="AH360" s="55"/>
    </row>
    <row r="361">
      <c r="C361" s="22"/>
      <c r="AH361" s="55"/>
    </row>
    <row r="362">
      <c r="C362" s="22"/>
      <c r="AH362" s="55"/>
    </row>
    <row r="363">
      <c r="C363" s="22"/>
      <c r="AH363" s="55"/>
    </row>
    <row r="364">
      <c r="C364" s="22"/>
      <c r="AH364" s="55"/>
    </row>
    <row r="365">
      <c r="C365" s="22"/>
      <c r="AH365" s="55"/>
    </row>
    <row r="366">
      <c r="C366" s="22"/>
      <c r="AH366" s="55"/>
    </row>
    <row r="367">
      <c r="C367" s="22"/>
      <c r="AH367" s="55"/>
    </row>
    <row r="368">
      <c r="C368" s="22"/>
      <c r="AH368" s="55"/>
    </row>
    <row r="369">
      <c r="C369" s="22"/>
      <c r="AH369" s="55"/>
    </row>
    <row r="370">
      <c r="C370" s="22"/>
      <c r="AH370" s="55"/>
    </row>
    <row r="371">
      <c r="C371" s="22"/>
      <c r="AH371" s="55"/>
    </row>
    <row r="372">
      <c r="C372" s="22"/>
      <c r="AH372" s="55"/>
    </row>
    <row r="373">
      <c r="C373" s="22"/>
      <c r="AH373" s="55"/>
    </row>
    <row r="374">
      <c r="C374" s="22"/>
      <c r="AH374" s="55"/>
    </row>
    <row r="375">
      <c r="C375" s="22"/>
      <c r="AH375" s="55"/>
    </row>
    <row r="376">
      <c r="C376" s="22"/>
      <c r="AH376" s="55"/>
    </row>
    <row r="377">
      <c r="C377" s="22"/>
      <c r="AH377" s="55"/>
    </row>
    <row r="378">
      <c r="C378" s="22"/>
      <c r="AH378" s="55"/>
    </row>
    <row r="379">
      <c r="C379" s="22"/>
      <c r="AH379" s="55"/>
    </row>
    <row r="380">
      <c r="C380" s="22"/>
      <c r="AH380" s="55"/>
    </row>
    <row r="381">
      <c r="C381" s="22"/>
      <c r="AH381" s="55"/>
    </row>
    <row r="382">
      <c r="C382" s="22"/>
      <c r="AH382" s="55"/>
    </row>
    <row r="383">
      <c r="C383" s="22"/>
      <c r="AH383" s="55"/>
    </row>
    <row r="384">
      <c r="C384" s="22"/>
      <c r="AH384" s="55"/>
    </row>
    <row r="385">
      <c r="C385" s="22"/>
      <c r="AH385" s="55"/>
    </row>
    <row r="386">
      <c r="C386" s="22"/>
      <c r="AH386" s="55"/>
    </row>
    <row r="387">
      <c r="C387" s="22"/>
      <c r="AH387" s="55"/>
    </row>
    <row r="388">
      <c r="C388" s="22"/>
      <c r="AH388" s="55"/>
    </row>
    <row r="389">
      <c r="C389" s="22"/>
      <c r="AH389" s="55"/>
    </row>
    <row r="390">
      <c r="C390" s="22"/>
      <c r="AH390" s="55"/>
    </row>
    <row r="391">
      <c r="C391" s="22"/>
      <c r="AH391" s="55"/>
    </row>
    <row r="392">
      <c r="C392" s="22"/>
      <c r="AH392" s="55"/>
    </row>
    <row r="393">
      <c r="C393" s="22"/>
      <c r="AH393" s="55"/>
    </row>
    <row r="394">
      <c r="C394" s="22"/>
      <c r="AH394" s="55"/>
    </row>
    <row r="395">
      <c r="C395" s="22"/>
      <c r="AH395" s="55"/>
    </row>
    <row r="396">
      <c r="C396" s="22"/>
      <c r="AH396" s="55"/>
    </row>
    <row r="397">
      <c r="C397" s="22"/>
      <c r="AH397" s="55"/>
    </row>
    <row r="398">
      <c r="C398" s="22"/>
      <c r="AH398" s="55"/>
    </row>
    <row r="399">
      <c r="C399" s="22"/>
      <c r="AH399" s="55"/>
    </row>
    <row r="400">
      <c r="C400" s="22"/>
      <c r="AH400" s="55"/>
    </row>
    <row r="401">
      <c r="C401" s="22"/>
      <c r="AH401" s="55"/>
    </row>
    <row r="402">
      <c r="C402" s="22"/>
      <c r="AH402" s="55"/>
    </row>
    <row r="403">
      <c r="C403" s="22"/>
      <c r="AH403" s="55"/>
    </row>
    <row r="404">
      <c r="C404" s="22"/>
      <c r="AH404" s="55"/>
    </row>
    <row r="405">
      <c r="C405" s="22"/>
      <c r="AH405" s="55"/>
    </row>
    <row r="406">
      <c r="C406" s="22"/>
      <c r="AH406" s="55"/>
    </row>
    <row r="407">
      <c r="C407" s="22"/>
      <c r="AH407" s="55"/>
    </row>
    <row r="408">
      <c r="C408" s="22"/>
      <c r="AH408" s="55"/>
    </row>
    <row r="409">
      <c r="C409" s="22"/>
      <c r="AH409" s="55"/>
    </row>
    <row r="410">
      <c r="C410" s="22"/>
      <c r="AH410" s="55"/>
    </row>
    <row r="411">
      <c r="C411" s="22"/>
      <c r="AH411" s="55"/>
    </row>
    <row r="412">
      <c r="C412" s="22"/>
      <c r="AH412" s="55"/>
    </row>
    <row r="413">
      <c r="C413" s="22"/>
      <c r="AH413" s="55"/>
    </row>
    <row r="414">
      <c r="C414" s="22"/>
      <c r="AH414" s="55"/>
    </row>
    <row r="415">
      <c r="C415" s="22"/>
      <c r="AH415" s="55"/>
    </row>
    <row r="416">
      <c r="C416" s="22"/>
      <c r="AH416" s="55"/>
    </row>
    <row r="417">
      <c r="C417" s="22"/>
      <c r="AH417" s="55"/>
    </row>
    <row r="418">
      <c r="C418" s="22"/>
      <c r="AH418" s="55"/>
    </row>
    <row r="419">
      <c r="C419" s="22"/>
      <c r="AH419" s="55"/>
    </row>
    <row r="420">
      <c r="C420" s="22"/>
      <c r="AH420" s="55"/>
    </row>
    <row r="421">
      <c r="C421" s="22"/>
      <c r="AH421" s="55"/>
    </row>
    <row r="422">
      <c r="C422" s="22"/>
      <c r="AH422" s="55"/>
    </row>
    <row r="423">
      <c r="C423" s="22"/>
      <c r="AH423" s="55"/>
    </row>
    <row r="424">
      <c r="C424" s="22"/>
      <c r="AH424" s="55"/>
    </row>
    <row r="425">
      <c r="C425" s="22"/>
      <c r="AH425" s="55"/>
    </row>
    <row r="426">
      <c r="C426" s="22"/>
      <c r="AH426" s="55"/>
    </row>
    <row r="427">
      <c r="C427" s="22"/>
      <c r="AH427" s="55"/>
    </row>
    <row r="428">
      <c r="C428" s="22"/>
      <c r="AH428" s="55"/>
    </row>
    <row r="429">
      <c r="C429" s="22"/>
      <c r="AH429" s="55"/>
    </row>
    <row r="430">
      <c r="C430" s="22"/>
      <c r="AH430" s="55"/>
    </row>
    <row r="431">
      <c r="C431" s="22"/>
      <c r="AH431" s="55"/>
    </row>
    <row r="432">
      <c r="C432" s="22"/>
      <c r="AH432" s="55"/>
    </row>
    <row r="433">
      <c r="C433" s="22"/>
      <c r="AH433" s="55"/>
    </row>
    <row r="434">
      <c r="C434" s="22"/>
      <c r="AH434" s="55"/>
    </row>
    <row r="435">
      <c r="C435" s="22"/>
      <c r="AH435" s="55"/>
    </row>
    <row r="436">
      <c r="C436" s="22"/>
      <c r="AH436" s="55"/>
    </row>
    <row r="437">
      <c r="C437" s="22"/>
      <c r="AH437" s="55"/>
    </row>
    <row r="438">
      <c r="C438" s="22"/>
      <c r="AH438" s="55"/>
    </row>
    <row r="439">
      <c r="C439" s="22"/>
      <c r="AH439" s="55"/>
    </row>
    <row r="440">
      <c r="C440" s="22"/>
      <c r="AH440" s="55"/>
    </row>
    <row r="441">
      <c r="C441" s="22"/>
      <c r="AH441" s="55"/>
    </row>
    <row r="442">
      <c r="C442" s="22"/>
      <c r="AH442" s="55"/>
    </row>
    <row r="443">
      <c r="C443" s="22"/>
      <c r="AH443" s="55"/>
    </row>
    <row r="444">
      <c r="C444" s="22"/>
      <c r="AH444" s="55"/>
    </row>
    <row r="445">
      <c r="C445" s="22"/>
      <c r="AH445" s="55"/>
    </row>
    <row r="446">
      <c r="C446" s="22"/>
      <c r="AH446" s="55"/>
    </row>
    <row r="447">
      <c r="C447" s="22"/>
      <c r="AH447" s="55"/>
    </row>
    <row r="448">
      <c r="C448" s="22"/>
      <c r="AH448" s="55"/>
    </row>
    <row r="449">
      <c r="C449" s="22"/>
      <c r="AH449" s="55"/>
    </row>
    <row r="450">
      <c r="C450" s="22"/>
      <c r="AH450" s="55"/>
    </row>
    <row r="451">
      <c r="C451" s="22"/>
      <c r="AH451" s="55"/>
    </row>
    <row r="452">
      <c r="C452" s="22"/>
      <c r="AH452" s="55"/>
    </row>
    <row r="453">
      <c r="C453" s="22"/>
      <c r="AH453" s="55"/>
    </row>
    <row r="454">
      <c r="C454" s="22"/>
      <c r="AH454" s="55"/>
    </row>
    <row r="455">
      <c r="C455" s="22"/>
      <c r="AH455" s="55"/>
    </row>
    <row r="456">
      <c r="C456" s="22"/>
      <c r="AH456" s="55"/>
    </row>
    <row r="457">
      <c r="C457" s="22"/>
      <c r="AH457" s="55"/>
    </row>
    <row r="458">
      <c r="C458" s="22"/>
      <c r="AH458" s="55"/>
    </row>
    <row r="459">
      <c r="C459" s="22"/>
      <c r="AH459" s="55"/>
    </row>
    <row r="460">
      <c r="C460" s="22"/>
      <c r="AH460" s="55"/>
    </row>
    <row r="461">
      <c r="C461" s="22"/>
      <c r="AH461" s="55"/>
    </row>
    <row r="462">
      <c r="C462" s="22"/>
      <c r="AH462" s="55"/>
    </row>
    <row r="463">
      <c r="C463" s="22"/>
      <c r="AH463" s="55"/>
    </row>
    <row r="464">
      <c r="C464" s="22"/>
      <c r="AH464" s="55"/>
    </row>
    <row r="465">
      <c r="C465" s="22"/>
      <c r="AH465" s="55"/>
    </row>
    <row r="466">
      <c r="C466" s="22"/>
      <c r="AH466" s="55"/>
    </row>
    <row r="467">
      <c r="C467" s="22"/>
      <c r="AH467" s="55"/>
    </row>
    <row r="468">
      <c r="C468" s="22"/>
      <c r="AH468" s="55"/>
    </row>
    <row r="469">
      <c r="C469" s="22"/>
      <c r="AH469" s="55"/>
    </row>
    <row r="470">
      <c r="C470" s="22"/>
      <c r="AH470" s="55"/>
    </row>
    <row r="471">
      <c r="C471" s="22"/>
      <c r="AH471" s="55"/>
    </row>
    <row r="472">
      <c r="C472" s="22"/>
      <c r="AH472" s="55"/>
    </row>
    <row r="473">
      <c r="C473" s="22"/>
      <c r="AH473" s="55"/>
    </row>
    <row r="474">
      <c r="C474" s="22"/>
      <c r="AH474" s="55"/>
    </row>
    <row r="475">
      <c r="C475" s="22"/>
      <c r="AH475" s="55"/>
    </row>
    <row r="476">
      <c r="C476" s="22"/>
      <c r="AH476" s="55"/>
    </row>
    <row r="477">
      <c r="C477" s="22"/>
      <c r="AH477" s="55"/>
    </row>
    <row r="478">
      <c r="C478" s="22"/>
      <c r="AH478" s="55"/>
    </row>
    <row r="479">
      <c r="C479" s="22"/>
      <c r="AH479" s="55"/>
    </row>
    <row r="480">
      <c r="C480" s="22"/>
      <c r="AH480" s="55"/>
    </row>
    <row r="481">
      <c r="C481" s="22"/>
      <c r="AH481" s="55"/>
    </row>
    <row r="482">
      <c r="C482" s="22"/>
      <c r="AH482" s="55"/>
    </row>
    <row r="483">
      <c r="C483" s="22"/>
      <c r="AH483" s="55"/>
    </row>
    <row r="484">
      <c r="C484" s="22"/>
      <c r="AH484" s="55"/>
    </row>
    <row r="485">
      <c r="C485" s="22"/>
      <c r="AH485" s="55"/>
    </row>
    <row r="486">
      <c r="C486" s="22"/>
      <c r="AH486" s="55"/>
    </row>
    <row r="487">
      <c r="C487" s="22"/>
      <c r="AH487" s="55"/>
    </row>
    <row r="488">
      <c r="C488" s="22"/>
      <c r="AH488" s="55"/>
    </row>
    <row r="489">
      <c r="C489" s="22"/>
      <c r="AH489" s="55"/>
    </row>
    <row r="490">
      <c r="C490" s="22"/>
      <c r="AH490" s="55"/>
    </row>
    <row r="491">
      <c r="C491" s="22"/>
      <c r="AH491" s="55"/>
    </row>
    <row r="492">
      <c r="C492" s="22"/>
      <c r="AH492" s="55"/>
    </row>
    <row r="493">
      <c r="C493" s="22"/>
      <c r="AH493" s="55"/>
    </row>
    <row r="494">
      <c r="C494" s="22"/>
      <c r="AH494" s="55"/>
    </row>
    <row r="495">
      <c r="C495" s="22"/>
      <c r="AH495" s="55"/>
    </row>
    <row r="496">
      <c r="C496" s="22"/>
      <c r="AH496" s="55"/>
    </row>
    <row r="497">
      <c r="C497" s="22"/>
      <c r="AH497" s="55"/>
    </row>
    <row r="498">
      <c r="C498" s="22"/>
      <c r="AH498" s="55"/>
    </row>
    <row r="499">
      <c r="C499" s="22"/>
      <c r="AH499" s="55"/>
    </row>
    <row r="500">
      <c r="C500" s="22"/>
      <c r="AH500" s="55"/>
    </row>
    <row r="501">
      <c r="C501" s="22"/>
      <c r="AH501" s="55"/>
    </row>
    <row r="502">
      <c r="C502" s="22"/>
      <c r="AH502" s="55"/>
    </row>
    <row r="503">
      <c r="C503" s="22"/>
      <c r="AH503" s="55"/>
    </row>
    <row r="504">
      <c r="C504" s="22"/>
      <c r="AH504" s="55"/>
    </row>
    <row r="505">
      <c r="C505" s="22"/>
      <c r="AH505" s="55"/>
    </row>
    <row r="506">
      <c r="C506" s="22"/>
      <c r="AH506" s="55"/>
    </row>
    <row r="507">
      <c r="C507" s="22"/>
      <c r="AH507" s="55"/>
    </row>
    <row r="508">
      <c r="C508" s="22"/>
      <c r="AH508" s="55"/>
    </row>
    <row r="509">
      <c r="C509" s="22"/>
      <c r="AH509" s="55"/>
    </row>
    <row r="510">
      <c r="C510" s="22"/>
      <c r="AH510" s="55"/>
    </row>
    <row r="511">
      <c r="C511" s="22"/>
      <c r="AH511" s="55"/>
    </row>
    <row r="512">
      <c r="C512" s="22"/>
      <c r="AH512" s="55"/>
    </row>
    <row r="513">
      <c r="C513" s="22"/>
      <c r="AH513" s="55"/>
    </row>
    <row r="514">
      <c r="C514" s="22"/>
      <c r="AH514" s="55"/>
    </row>
    <row r="515">
      <c r="C515" s="22"/>
      <c r="AH515" s="55"/>
    </row>
    <row r="516">
      <c r="C516" s="22"/>
      <c r="AH516" s="55"/>
    </row>
    <row r="517">
      <c r="C517" s="22"/>
      <c r="AH517" s="55"/>
    </row>
    <row r="518">
      <c r="C518" s="22"/>
      <c r="AH518" s="55"/>
    </row>
    <row r="519">
      <c r="C519" s="22"/>
      <c r="AH519" s="55"/>
    </row>
    <row r="520">
      <c r="C520" s="22"/>
      <c r="AH520" s="55"/>
    </row>
    <row r="521">
      <c r="C521" s="22"/>
      <c r="AH521" s="55"/>
    </row>
    <row r="522">
      <c r="C522" s="22"/>
      <c r="AH522" s="55"/>
    </row>
    <row r="523">
      <c r="C523" s="22"/>
      <c r="AH523" s="55"/>
    </row>
    <row r="524">
      <c r="C524" s="22"/>
      <c r="AH524" s="55"/>
    </row>
    <row r="525">
      <c r="C525" s="22"/>
      <c r="AH525" s="55"/>
    </row>
    <row r="526">
      <c r="C526" s="22"/>
      <c r="AH526" s="55"/>
    </row>
    <row r="527">
      <c r="C527" s="22"/>
      <c r="AH527" s="55"/>
    </row>
    <row r="528">
      <c r="C528" s="22"/>
      <c r="AH528" s="55"/>
    </row>
    <row r="529">
      <c r="C529" s="22"/>
      <c r="AH529" s="55"/>
    </row>
    <row r="530">
      <c r="C530" s="22"/>
      <c r="AH530" s="55"/>
    </row>
    <row r="531">
      <c r="C531" s="22"/>
      <c r="AH531" s="55"/>
    </row>
    <row r="532">
      <c r="C532" s="22"/>
      <c r="AH532" s="55"/>
    </row>
    <row r="533">
      <c r="C533" s="22"/>
      <c r="AH533" s="55"/>
    </row>
    <row r="534">
      <c r="C534" s="22"/>
      <c r="AH534" s="55"/>
    </row>
    <row r="535">
      <c r="C535" s="22"/>
      <c r="AH535" s="55"/>
    </row>
    <row r="536">
      <c r="C536" s="22"/>
      <c r="AH536" s="55"/>
    </row>
    <row r="537">
      <c r="C537" s="22"/>
      <c r="AH537" s="55"/>
    </row>
    <row r="538">
      <c r="C538" s="22"/>
      <c r="AH538" s="55"/>
    </row>
    <row r="539">
      <c r="C539" s="22"/>
      <c r="AH539" s="55"/>
    </row>
    <row r="540">
      <c r="C540" s="22"/>
      <c r="AH540" s="55"/>
    </row>
    <row r="541">
      <c r="C541" s="22"/>
      <c r="AH541" s="55"/>
    </row>
    <row r="542">
      <c r="C542" s="22"/>
      <c r="AH542" s="55"/>
    </row>
    <row r="543">
      <c r="C543" s="22"/>
      <c r="AH543" s="55"/>
    </row>
    <row r="544">
      <c r="C544" s="22"/>
      <c r="AH544" s="55"/>
    </row>
    <row r="545">
      <c r="C545" s="22"/>
      <c r="AH545" s="55"/>
    </row>
    <row r="546">
      <c r="C546" s="22"/>
      <c r="AH546" s="55"/>
    </row>
    <row r="547">
      <c r="C547" s="22"/>
      <c r="AH547" s="55"/>
    </row>
    <row r="548">
      <c r="C548" s="22"/>
      <c r="AH548" s="55"/>
    </row>
    <row r="549">
      <c r="C549" s="22"/>
      <c r="AH549" s="55"/>
    </row>
    <row r="550">
      <c r="C550" s="22"/>
      <c r="AH550" s="55"/>
    </row>
    <row r="551">
      <c r="C551" s="22"/>
      <c r="AH551" s="55"/>
    </row>
    <row r="552">
      <c r="C552" s="22"/>
      <c r="AH552" s="55"/>
    </row>
    <row r="553">
      <c r="C553" s="22"/>
      <c r="AH553" s="55"/>
    </row>
    <row r="554">
      <c r="C554" s="22"/>
      <c r="AH554" s="55"/>
    </row>
    <row r="555">
      <c r="C555" s="22"/>
      <c r="AH555" s="55"/>
    </row>
    <row r="556">
      <c r="C556" s="22"/>
      <c r="AH556" s="55"/>
    </row>
    <row r="557">
      <c r="C557" s="22"/>
      <c r="AH557" s="55"/>
    </row>
    <row r="558">
      <c r="C558" s="22"/>
      <c r="AH558" s="55"/>
    </row>
    <row r="559">
      <c r="C559" s="22"/>
      <c r="AH559" s="55"/>
    </row>
    <row r="560">
      <c r="C560" s="22"/>
      <c r="AH560" s="55"/>
    </row>
    <row r="561">
      <c r="C561" s="22"/>
      <c r="AH561" s="55"/>
    </row>
    <row r="562">
      <c r="C562" s="22"/>
      <c r="AH562" s="55"/>
    </row>
    <row r="563">
      <c r="C563" s="22"/>
      <c r="AH563" s="55"/>
    </row>
    <row r="564">
      <c r="C564" s="22"/>
      <c r="AH564" s="55"/>
    </row>
    <row r="565">
      <c r="C565" s="22"/>
      <c r="AH565" s="55"/>
    </row>
    <row r="566">
      <c r="C566" s="22"/>
      <c r="AH566" s="55"/>
    </row>
    <row r="567">
      <c r="C567" s="22"/>
      <c r="AH567" s="55"/>
    </row>
    <row r="568">
      <c r="C568" s="22"/>
      <c r="AH568" s="55"/>
    </row>
    <row r="569">
      <c r="C569" s="22"/>
      <c r="AH569" s="55"/>
    </row>
    <row r="570">
      <c r="C570" s="22"/>
      <c r="AH570" s="55"/>
    </row>
    <row r="571">
      <c r="C571" s="22"/>
      <c r="AH571" s="55"/>
    </row>
    <row r="572">
      <c r="C572" s="22"/>
      <c r="AH572" s="55"/>
    </row>
    <row r="573">
      <c r="C573" s="22"/>
      <c r="AH573" s="55"/>
    </row>
    <row r="574">
      <c r="C574" s="22"/>
      <c r="AH574" s="55"/>
    </row>
    <row r="575">
      <c r="C575" s="22"/>
      <c r="AH575" s="55"/>
    </row>
    <row r="576">
      <c r="C576" s="22"/>
      <c r="AH576" s="55"/>
    </row>
    <row r="577">
      <c r="C577" s="22"/>
      <c r="AH577" s="55"/>
    </row>
    <row r="578">
      <c r="C578" s="22"/>
      <c r="AH578" s="55"/>
    </row>
    <row r="579">
      <c r="C579" s="22"/>
      <c r="AH579" s="55"/>
    </row>
    <row r="580">
      <c r="C580" s="22"/>
      <c r="AH580" s="55"/>
    </row>
    <row r="581">
      <c r="C581" s="22"/>
      <c r="AH581" s="55"/>
    </row>
    <row r="582">
      <c r="C582" s="22"/>
      <c r="AH582" s="55"/>
    </row>
    <row r="583">
      <c r="C583" s="22"/>
      <c r="AH583" s="55"/>
    </row>
    <row r="584">
      <c r="C584" s="22"/>
      <c r="AH584" s="55"/>
    </row>
    <row r="585">
      <c r="C585" s="22"/>
      <c r="AH585" s="55"/>
    </row>
    <row r="586">
      <c r="C586" s="22"/>
      <c r="AH586" s="55"/>
    </row>
    <row r="587">
      <c r="C587" s="22"/>
      <c r="AH587" s="55"/>
    </row>
    <row r="588">
      <c r="C588" s="22"/>
      <c r="AH588" s="55"/>
    </row>
    <row r="589">
      <c r="C589" s="22"/>
      <c r="AH589" s="55"/>
    </row>
    <row r="590">
      <c r="C590" s="22"/>
      <c r="AH590" s="55"/>
    </row>
    <row r="591">
      <c r="C591" s="22"/>
      <c r="AH591" s="55"/>
    </row>
    <row r="592">
      <c r="C592" s="22"/>
      <c r="AH592" s="55"/>
    </row>
    <row r="593">
      <c r="C593" s="22"/>
      <c r="AH593" s="55"/>
    </row>
    <row r="594">
      <c r="C594" s="22"/>
      <c r="AH594" s="55"/>
    </row>
    <row r="595">
      <c r="C595" s="22"/>
      <c r="AH595" s="55"/>
    </row>
    <row r="596">
      <c r="C596" s="22"/>
      <c r="AH596" s="55"/>
    </row>
    <row r="597">
      <c r="C597" s="22"/>
      <c r="AH597" s="55"/>
    </row>
    <row r="598">
      <c r="C598" s="22"/>
      <c r="AH598" s="55"/>
    </row>
    <row r="599">
      <c r="C599" s="22"/>
      <c r="AH599" s="55"/>
    </row>
    <row r="600">
      <c r="C600" s="22"/>
      <c r="AH600" s="55"/>
    </row>
    <row r="601">
      <c r="C601" s="22"/>
      <c r="AH601" s="55"/>
    </row>
    <row r="602">
      <c r="C602" s="22"/>
      <c r="AH602" s="55"/>
    </row>
    <row r="603">
      <c r="C603" s="22"/>
      <c r="AH603" s="55"/>
    </row>
    <row r="604">
      <c r="C604" s="22"/>
      <c r="AH604" s="55"/>
    </row>
    <row r="605">
      <c r="C605" s="22"/>
      <c r="AH605" s="55"/>
    </row>
    <row r="606">
      <c r="C606" s="22"/>
      <c r="AH606" s="55"/>
    </row>
    <row r="607">
      <c r="C607" s="22"/>
      <c r="AH607" s="55"/>
    </row>
    <row r="608">
      <c r="C608" s="22"/>
      <c r="AH608" s="55"/>
    </row>
    <row r="609">
      <c r="C609" s="22"/>
      <c r="AH609" s="55"/>
    </row>
    <row r="610">
      <c r="C610" s="22"/>
      <c r="AH610" s="55"/>
    </row>
    <row r="611">
      <c r="C611" s="22"/>
      <c r="AH611" s="55"/>
    </row>
    <row r="612">
      <c r="C612" s="22"/>
      <c r="AH612" s="55"/>
    </row>
    <row r="613">
      <c r="C613" s="22"/>
      <c r="AH613" s="55"/>
    </row>
    <row r="614">
      <c r="C614" s="22"/>
      <c r="AH614" s="55"/>
    </row>
    <row r="615">
      <c r="C615" s="22"/>
      <c r="AH615" s="55"/>
    </row>
    <row r="616">
      <c r="C616" s="22"/>
      <c r="AH616" s="55"/>
    </row>
    <row r="617">
      <c r="C617" s="22"/>
      <c r="AH617" s="55"/>
    </row>
    <row r="618">
      <c r="C618" s="22"/>
      <c r="AH618" s="55"/>
    </row>
    <row r="619">
      <c r="C619" s="22"/>
      <c r="AH619" s="55"/>
    </row>
    <row r="620">
      <c r="C620" s="22"/>
      <c r="AH620" s="55"/>
    </row>
    <row r="621">
      <c r="C621" s="22"/>
      <c r="AH621" s="55"/>
    </row>
    <row r="622">
      <c r="C622" s="22"/>
      <c r="AH622" s="55"/>
    </row>
    <row r="623">
      <c r="C623" s="22"/>
      <c r="AH623" s="55"/>
    </row>
    <row r="624">
      <c r="C624" s="22"/>
      <c r="AH624" s="55"/>
    </row>
    <row r="625">
      <c r="C625" s="22"/>
      <c r="AH625" s="55"/>
    </row>
    <row r="626">
      <c r="C626" s="22"/>
      <c r="AH626" s="55"/>
    </row>
    <row r="627">
      <c r="C627" s="22"/>
      <c r="AH627" s="55"/>
    </row>
    <row r="628">
      <c r="C628" s="22"/>
      <c r="AH628" s="55"/>
    </row>
    <row r="629">
      <c r="C629" s="22"/>
      <c r="AH629" s="55"/>
    </row>
    <row r="630">
      <c r="C630" s="22"/>
      <c r="AH630" s="55"/>
    </row>
    <row r="631">
      <c r="C631" s="22"/>
      <c r="AH631" s="55"/>
    </row>
    <row r="632">
      <c r="C632" s="22"/>
      <c r="AH632" s="55"/>
    </row>
    <row r="633">
      <c r="C633" s="22"/>
      <c r="AH633" s="55"/>
    </row>
    <row r="634">
      <c r="C634" s="22"/>
      <c r="AH634" s="55"/>
    </row>
    <row r="635">
      <c r="C635" s="22"/>
      <c r="AH635" s="55"/>
    </row>
    <row r="636">
      <c r="C636" s="22"/>
      <c r="AH636" s="55"/>
    </row>
    <row r="637">
      <c r="C637" s="22"/>
      <c r="AH637" s="55"/>
    </row>
    <row r="638">
      <c r="C638" s="22"/>
      <c r="AH638" s="55"/>
    </row>
    <row r="639">
      <c r="C639" s="22"/>
      <c r="AH639" s="55"/>
    </row>
    <row r="640">
      <c r="C640" s="22"/>
      <c r="AH640" s="55"/>
    </row>
    <row r="641">
      <c r="C641" s="22"/>
      <c r="AH641" s="55"/>
    </row>
    <row r="642">
      <c r="C642" s="22"/>
      <c r="AH642" s="55"/>
    </row>
    <row r="643">
      <c r="C643" s="22"/>
      <c r="AH643" s="55"/>
    </row>
    <row r="644">
      <c r="C644" s="22"/>
      <c r="AH644" s="55"/>
    </row>
    <row r="645">
      <c r="C645" s="22"/>
      <c r="AH645" s="55"/>
    </row>
    <row r="646">
      <c r="C646" s="22"/>
      <c r="AH646" s="55"/>
    </row>
    <row r="647">
      <c r="C647" s="22"/>
      <c r="AH647" s="55"/>
    </row>
    <row r="648">
      <c r="C648" s="22"/>
      <c r="AH648" s="55"/>
    </row>
    <row r="649">
      <c r="C649" s="22"/>
      <c r="AH649" s="55"/>
    </row>
    <row r="650">
      <c r="C650" s="22"/>
      <c r="AH650" s="55"/>
    </row>
    <row r="651">
      <c r="C651" s="22"/>
      <c r="AH651" s="55"/>
    </row>
    <row r="652">
      <c r="C652" s="22"/>
      <c r="AH652" s="55"/>
    </row>
    <row r="653">
      <c r="C653" s="22"/>
      <c r="AH653" s="55"/>
    </row>
    <row r="654">
      <c r="C654" s="22"/>
      <c r="AH654" s="55"/>
    </row>
    <row r="655">
      <c r="C655" s="22"/>
      <c r="AH655" s="55"/>
    </row>
    <row r="656">
      <c r="C656" s="22"/>
      <c r="AH656" s="55"/>
    </row>
    <row r="657">
      <c r="C657" s="22"/>
      <c r="AH657" s="55"/>
    </row>
    <row r="658">
      <c r="C658" s="22"/>
      <c r="AH658" s="55"/>
    </row>
    <row r="659">
      <c r="C659" s="22"/>
      <c r="AH659" s="55"/>
    </row>
    <row r="660">
      <c r="C660" s="22"/>
      <c r="AH660" s="55"/>
    </row>
    <row r="661">
      <c r="C661" s="22"/>
      <c r="AH661" s="55"/>
    </row>
    <row r="662">
      <c r="C662" s="22"/>
      <c r="AH662" s="55"/>
    </row>
    <row r="663">
      <c r="C663" s="22"/>
      <c r="AH663" s="55"/>
    </row>
    <row r="664">
      <c r="C664" s="22"/>
      <c r="AH664" s="55"/>
    </row>
    <row r="665">
      <c r="C665" s="22"/>
      <c r="AH665" s="55"/>
    </row>
    <row r="666">
      <c r="C666" s="22"/>
      <c r="AH666" s="55"/>
    </row>
    <row r="667">
      <c r="C667" s="22"/>
      <c r="AH667" s="55"/>
    </row>
    <row r="668">
      <c r="C668" s="22"/>
      <c r="AH668" s="55"/>
    </row>
    <row r="669">
      <c r="C669" s="22"/>
      <c r="AH669" s="55"/>
    </row>
    <row r="670">
      <c r="C670" s="22"/>
      <c r="AH670" s="55"/>
    </row>
    <row r="671">
      <c r="C671" s="22"/>
      <c r="AH671" s="55"/>
    </row>
    <row r="672">
      <c r="C672" s="22"/>
      <c r="AH672" s="55"/>
    </row>
    <row r="673">
      <c r="C673" s="22"/>
      <c r="AH673" s="55"/>
    </row>
    <row r="674">
      <c r="C674" s="22"/>
      <c r="AH674" s="55"/>
    </row>
    <row r="675">
      <c r="C675" s="22"/>
      <c r="AH675" s="55"/>
    </row>
    <row r="676">
      <c r="C676" s="22"/>
      <c r="AH676" s="55"/>
    </row>
    <row r="677">
      <c r="C677" s="22"/>
      <c r="AH677" s="55"/>
    </row>
    <row r="678">
      <c r="C678" s="22"/>
      <c r="AH678" s="55"/>
    </row>
    <row r="679">
      <c r="C679" s="22"/>
      <c r="AH679" s="55"/>
    </row>
    <row r="680">
      <c r="C680" s="22"/>
      <c r="AH680" s="55"/>
    </row>
    <row r="681">
      <c r="C681" s="22"/>
      <c r="AH681" s="55"/>
    </row>
    <row r="682">
      <c r="C682" s="22"/>
      <c r="AH682" s="55"/>
    </row>
    <row r="683">
      <c r="C683" s="22"/>
      <c r="AH683" s="55"/>
    </row>
    <row r="684">
      <c r="C684" s="22"/>
      <c r="AH684" s="55"/>
    </row>
    <row r="685">
      <c r="C685" s="22"/>
      <c r="AH685" s="55"/>
    </row>
    <row r="686">
      <c r="C686" s="22"/>
      <c r="AH686" s="55"/>
    </row>
    <row r="687">
      <c r="C687" s="22"/>
      <c r="AH687" s="55"/>
    </row>
    <row r="688">
      <c r="C688" s="22"/>
      <c r="AH688" s="55"/>
    </row>
    <row r="689">
      <c r="C689" s="22"/>
      <c r="AH689" s="55"/>
    </row>
    <row r="690">
      <c r="C690" s="22"/>
      <c r="AH690" s="55"/>
    </row>
    <row r="691">
      <c r="C691" s="22"/>
      <c r="AH691" s="55"/>
    </row>
    <row r="692">
      <c r="C692" s="22"/>
      <c r="AH692" s="55"/>
    </row>
    <row r="693">
      <c r="C693" s="22"/>
      <c r="AH693" s="55"/>
    </row>
    <row r="694">
      <c r="C694" s="22"/>
      <c r="AH694" s="55"/>
    </row>
    <row r="695">
      <c r="C695" s="22"/>
      <c r="AH695" s="55"/>
    </row>
    <row r="696">
      <c r="C696" s="22"/>
      <c r="AH696" s="55"/>
    </row>
    <row r="697">
      <c r="C697" s="22"/>
      <c r="AH697" s="55"/>
    </row>
    <row r="698">
      <c r="C698" s="22"/>
      <c r="AH698" s="55"/>
    </row>
    <row r="699">
      <c r="C699" s="22"/>
      <c r="AH699" s="55"/>
    </row>
    <row r="700">
      <c r="C700" s="22"/>
      <c r="AH700" s="55"/>
    </row>
    <row r="701">
      <c r="C701" s="22"/>
      <c r="AH701" s="55"/>
    </row>
    <row r="702">
      <c r="C702" s="22"/>
      <c r="AH702" s="55"/>
    </row>
    <row r="703">
      <c r="C703" s="22"/>
      <c r="AH703" s="55"/>
    </row>
    <row r="704">
      <c r="C704" s="22"/>
      <c r="AH704" s="55"/>
    </row>
    <row r="705">
      <c r="C705" s="22"/>
      <c r="AH705" s="55"/>
    </row>
    <row r="706">
      <c r="C706" s="22"/>
      <c r="AH706" s="55"/>
    </row>
    <row r="707">
      <c r="C707" s="22"/>
      <c r="AH707" s="55"/>
    </row>
    <row r="708">
      <c r="C708" s="22"/>
      <c r="AH708" s="55"/>
    </row>
    <row r="709">
      <c r="C709" s="22"/>
      <c r="AH709" s="55"/>
    </row>
    <row r="710">
      <c r="C710" s="22"/>
      <c r="AH710" s="55"/>
    </row>
    <row r="711">
      <c r="C711" s="22"/>
      <c r="AH711" s="55"/>
    </row>
    <row r="712">
      <c r="C712" s="22"/>
      <c r="AH712" s="55"/>
    </row>
    <row r="713">
      <c r="C713" s="22"/>
      <c r="AH713" s="55"/>
    </row>
    <row r="714">
      <c r="C714" s="22"/>
      <c r="AH714" s="55"/>
    </row>
    <row r="715">
      <c r="C715" s="22"/>
      <c r="AH715" s="55"/>
    </row>
    <row r="716">
      <c r="C716" s="22"/>
      <c r="AH716" s="55"/>
    </row>
    <row r="717">
      <c r="C717" s="22"/>
      <c r="AH717" s="55"/>
    </row>
    <row r="718">
      <c r="C718" s="22"/>
      <c r="AH718" s="55"/>
    </row>
    <row r="719">
      <c r="C719" s="22"/>
      <c r="AH719" s="55"/>
    </row>
    <row r="720">
      <c r="C720" s="22"/>
      <c r="AH720" s="55"/>
    </row>
    <row r="721">
      <c r="C721" s="22"/>
      <c r="AH721" s="55"/>
    </row>
    <row r="722">
      <c r="C722" s="22"/>
      <c r="AH722" s="55"/>
    </row>
    <row r="723">
      <c r="C723" s="22"/>
      <c r="AH723" s="55"/>
    </row>
    <row r="724">
      <c r="C724" s="22"/>
      <c r="AH724" s="55"/>
    </row>
    <row r="725">
      <c r="C725" s="22"/>
      <c r="AH725" s="55"/>
    </row>
    <row r="726">
      <c r="C726" s="22"/>
      <c r="AH726" s="55"/>
    </row>
    <row r="727">
      <c r="C727" s="22"/>
      <c r="AH727" s="55"/>
    </row>
    <row r="728">
      <c r="C728" s="22"/>
      <c r="AH728" s="55"/>
    </row>
    <row r="729">
      <c r="C729" s="22"/>
      <c r="AH729" s="55"/>
    </row>
    <row r="730">
      <c r="C730" s="22"/>
      <c r="AH730" s="55"/>
    </row>
    <row r="731">
      <c r="C731" s="22"/>
      <c r="AH731" s="55"/>
    </row>
    <row r="732">
      <c r="C732" s="22"/>
      <c r="AH732" s="55"/>
    </row>
    <row r="733">
      <c r="C733" s="22"/>
      <c r="AH733" s="55"/>
    </row>
    <row r="734">
      <c r="C734" s="22"/>
      <c r="AH734" s="55"/>
    </row>
    <row r="735">
      <c r="C735" s="22"/>
      <c r="AH735" s="55"/>
    </row>
    <row r="736">
      <c r="C736" s="22"/>
      <c r="AH736" s="55"/>
    </row>
    <row r="737">
      <c r="C737" s="22"/>
      <c r="AH737" s="55"/>
    </row>
    <row r="738">
      <c r="C738" s="22"/>
      <c r="AH738" s="55"/>
    </row>
    <row r="739">
      <c r="C739" s="22"/>
      <c r="AH739" s="55"/>
    </row>
    <row r="740">
      <c r="C740" s="22"/>
      <c r="AH740" s="55"/>
    </row>
    <row r="741">
      <c r="C741" s="22"/>
      <c r="AH741" s="55"/>
    </row>
    <row r="742">
      <c r="C742" s="22"/>
      <c r="AH742" s="55"/>
    </row>
    <row r="743">
      <c r="C743" s="22"/>
      <c r="AH743" s="55"/>
    </row>
    <row r="744">
      <c r="C744" s="22"/>
      <c r="AH744" s="55"/>
    </row>
    <row r="745">
      <c r="C745" s="22"/>
      <c r="AH745" s="55"/>
    </row>
    <row r="746">
      <c r="C746" s="22"/>
      <c r="AH746" s="55"/>
    </row>
    <row r="747">
      <c r="C747" s="22"/>
      <c r="AH747" s="55"/>
    </row>
    <row r="748">
      <c r="C748" s="22"/>
      <c r="AH748" s="55"/>
    </row>
    <row r="749">
      <c r="C749" s="22"/>
      <c r="AH749" s="55"/>
    </row>
    <row r="750">
      <c r="C750" s="22"/>
      <c r="AH750" s="55"/>
    </row>
    <row r="751">
      <c r="C751" s="22"/>
      <c r="AH751" s="55"/>
    </row>
    <row r="752">
      <c r="C752" s="22"/>
      <c r="AH752" s="55"/>
    </row>
    <row r="753">
      <c r="C753" s="22"/>
      <c r="AH753" s="55"/>
    </row>
    <row r="754">
      <c r="C754" s="22"/>
      <c r="AH754" s="55"/>
    </row>
    <row r="755">
      <c r="C755" s="22"/>
      <c r="AH755" s="55"/>
    </row>
    <row r="756">
      <c r="C756" s="22"/>
      <c r="AH756" s="55"/>
    </row>
    <row r="757">
      <c r="C757" s="22"/>
      <c r="AH757" s="55"/>
    </row>
    <row r="758">
      <c r="C758" s="22"/>
      <c r="AH758" s="55"/>
    </row>
    <row r="759">
      <c r="C759" s="22"/>
      <c r="AH759" s="55"/>
    </row>
    <row r="760">
      <c r="C760" s="22"/>
      <c r="AH760" s="55"/>
    </row>
    <row r="761">
      <c r="C761" s="22"/>
      <c r="AH761" s="55"/>
    </row>
    <row r="762">
      <c r="C762" s="22"/>
      <c r="AH762" s="55"/>
    </row>
    <row r="763">
      <c r="C763" s="22"/>
      <c r="AH763" s="55"/>
    </row>
    <row r="764">
      <c r="C764" s="22"/>
      <c r="AH764" s="55"/>
    </row>
    <row r="765">
      <c r="C765" s="22"/>
      <c r="AH765" s="55"/>
    </row>
    <row r="766">
      <c r="C766" s="22"/>
      <c r="AH766" s="55"/>
    </row>
    <row r="767">
      <c r="C767" s="22"/>
      <c r="AH767" s="55"/>
    </row>
    <row r="768">
      <c r="C768" s="22"/>
      <c r="AH768" s="55"/>
    </row>
    <row r="769">
      <c r="C769" s="22"/>
      <c r="AH769" s="55"/>
    </row>
    <row r="770">
      <c r="C770" s="22"/>
      <c r="AH770" s="55"/>
    </row>
    <row r="771">
      <c r="C771" s="22"/>
      <c r="AH771" s="55"/>
    </row>
    <row r="772">
      <c r="C772" s="22"/>
      <c r="AH772" s="55"/>
    </row>
    <row r="773">
      <c r="C773" s="22"/>
      <c r="AH773" s="55"/>
    </row>
    <row r="774">
      <c r="C774" s="22"/>
      <c r="AH774" s="55"/>
    </row>
    <row r="775">
      <c r="C775" s="22"/>
      <c r="AH775" s="55"/>
    </row>
    <row r="776">
      <c r="C776" s="22"/>
      <c r="AH776" s="55"/>
    </row>
    <row r="777">
      <c r="C777" s="22"/>
      <c r="AH777" s="55"/>
    </row>
    <row r="778">
      <c r="C778" s="22"/>
      <c r="AH778" s="55"/>
    </row>
    <row r="779">
      <c r="C779" s="22"/>
      <c r="AH779" s="55"/>
    </row>
    <row r="780">
      <c r="C780" s="22"/>
      <c r="AH780" s="55"/>
    </row>
    <row r="781">
      <c r="C781" s="22"/>
      <c r="AH781" s="55"/>
    </row>
    <row r="782">
      <c r="C782" s="22"/>
      <c r="AH782" s="55"/>
    </row>
    <row r="783">
      <c r="C783" s="22"/>
      <c r="AH783" s="55"/>
    </row>
    <row r="784">
      <c r="C784" s="22"/>
      <c r="AH784" s="55"/>
    </row>
    <row r="785">
      <c r="C785" s="22"/>
      <c r="AH785" s="55"/>
    </row>
    <row r="786">
      <c r="C786" s="22"/>
      <c r="AH786" s="55"/>
    </row>
    <row r="787">
      <c r="C787" s="22"/>
      <c r="AH787" s="55"/>
    </row>
    <row r="788">
      <c r="C788" s="22"/>
      <c r="AH788" s="55"/>
    </row>
    <row r="789">
      <c r="C789" s="22"/>
      <c r="AH789" s="55"/>
    </row>
    <row r="790">
      <c r="C790" s="22"/>
      <c r="AH790" s="55"/>
    </row>
    <row r="791">
      <c r="C791" s="22"/>
      <c r="AH791" s="55"/>
    </row>
    <row r="792">
      <c r="C792" s="22"/>
      <c r="AH792" s="55"/>
    </row>
    <row r="793">
      <c r="C793" s="22"/>
      <c r="AH793" s="55"/>
    </row>
    <row r="794">
      <c r="C794" s="22"/>
      <c r="AH794" s="55"/>
    </row>
    <row r="795">
      <c r="C795" s="22"/>
      <c r="AH795" s="55"/>
    </row>
    <row r="796">
      <c r="C796" s="22"/>
      <c r="AH796" s="55"/>
    </row>
    <row r="797">
      <c r="C797" s="22"/>
      <c r="AH797" s="55"/>
    </row>
    <row r="798">
      <c r="C798" s="22"/>
      <c r="AH798" s="55"/>
    </row>
    <row r="799">
      <c r="C799" s="22"/>
      <c r="AH799" s="55"/>
    </row>
    <row r="800">
      <c r="C800" s="22"/>
      <c r="AH800" s="55"/>
    </row>
    <row r="801">
      <c r="C801" s="22"/>
      <c r="AH801" s="55"/>
    </row>
    <row r="802">
      <c r="C802" s="22"/>
      <c r="AH802" s="55"/>
    </row>
    <row r="803">
      <c r="C803" s="22"/>
      <c r="AH803" s="55"/>
    </row>
    <row r="804">
      <c r="C804" s="22"/>
      <c r="AH804" s="55"/>
    </row>
    <row r="805">
      <c r="C805" s="22"/>
      <c r="AH805" s="55"/>
    </row>
    <row r="806">
      <c r="C806" s="22"/>
      <c r="AH806" s="55"/>
    </row>
    <row r="807">
      <c r="C807" s="22"/>
      <c r="AH807" s="55"/>
    </row>
    <row r="808">
      <c r="C808" s="22"/>
      <c r="AH808" s="55"/>
    </row>
    <row r="809">
      <c r="C809" s="22"/>
      <c r="AH809" s="55"/>
    </row>
    <row r="810">
      <c r="C810" s="22"/>
      <c r="AH810" s="55"/>
    </row>
    <row r="811">
      <c r="C811" s="22"/>
      <c r="AH811" s="55"/>
    </row>
    <row r="812">
      <c r="C812" s="22"/>
      <c r="AH812" s="55"/>
    </row>
    <row r="813">
      <c r="C813" s="22"/>
      <c r="AH813" s="55"/>
    </row>
    <row r="814">
      <c r="C814" s="22"/>
      <c r="AH814" s="55"/>
    </row>
    <row r="815">
      <c r="C815" s="22"/>
      <c r="AH815" s="55"/>
    </row>
    <row r="816">
      <c r="C816" s="22"/>
      <c r="AH816" s="55"/>
    </row>
    <row r="817">
      <c r="C817" s="22"/>
      <c r="AH817" s="55"/>
    </row>
    <row r="818">
      <c r="C818" s="22"/>
      <c r="AH818" s="55"/>
    </row>
    <row r="819">
      <c r="C819" s="22"/>
      <c r="AH819" s="55"/>
    </row>
    <row r="820">
      <c r="C820" s="22"/>
      <c r="AH820" s="55"/>
    </row>
    <row r="821">
      <c r="C821" s="22"/>
      <c r="AH821" s="55"/>
    </row>
    <row r="822">
      <c r="C822" s="22"/>
      <c r="AH822" s="55"/>
    </row>
    <row r="823">
      <c r="C823" s="22"/>
      <c r="AH823" s="55"/>
    </row>
    <row r="824">
      <c r="C824" s="22"/>
      <c r="AH824" s="55"/>
    </row>
    <row r="825">
      <c r="C825" s="22"/>
      <c r="AH825" s="55"/>
    </row>
    <row r="826">
      <c r="C826" s="22"/>
      <c r="AH826" s="55"/>
    </row>
    <row r="827">
      <c r="C827" s="22"/>
      <c r="AH827" s="55"/>
    </row>
    <row r="828">
      <c r="C828" s="22"/>
      <c r="AH828" s="55"/>
    </row>
    <row r="829">
      <c r="C829" s="22"/>
      <c r="AH829" s="55"/>
    </row>
    <row r="830">
      <c r="C830" s="22"/>
      <c r="AH830" s="55"/>
    </row>
    <row r="831">
      <c r="C831" s="22"/>
      <c r="AH831" s="55"/>
    </row>
    <row r="832">
      <c r="C832" s="22"/>
      <c r="AH832" s="55"/>
    </row>
    <row r="833">
      <c r="C833" s="22"/>
      <c r="AH833" s="55"/>
    </row>
    <row r="834">
      <c r="C834" s="22"/>
      <c r="AH834" s="55"/>
    </row>
    <row r="835">
      <c r="C835" s="22"/>
      <c r="AH835" s="55"/>
    </row>
    <row r="836">
      <c r="C836" s="22"/>
      <c r="AH836" s="55"/>
    </row>
    <row r="837">
      <c r="C837" s="22"/>
      <c r="AH837" s="55"/>
    </row>
    <row r="838">
      <c r="C838" s="22"/>
      <c r="AH838" s="55"/>
    </row>
    <row r="839">
      <c r="C839" s="22"/>
      <c r="AH839" s="55"/>
    </row>
    <row r="840">
      <c r="C840" s="22"/>
      <c r="AH840" s="55"/>
    </row>
    <row r="841">
      <c r="C841" s="22"/>
      <c r="AH841" s="55"/>
    </row>
    <row r="842">
      <c r="C842" s="22"/>
      <c r="AH842" s="55"/>
    </row>
    <row r="843">
      <c r="C843" s="22"/>
      <c r="AH843" s="55"/>
    </row>
    <row r="844">
      <c r="C844" s="22"/>
      <c r="AH844" s="55"/>
    </row>
    <row r="845">
      <c r="C845" s="22"/>
      <c r="AH845" s="55"/>
    </row>
    <row r="846">
      <c r="C846" s="22"/>
      <c r="AH846" s="55"/>
    </row>
    <row r="847">
      <c r="C847" s="22"/>
      <c r="AH847" s="55"/>
    </row>
    <row r="848">
      <c r="C848" s="22"/>
      <c r="AH848" s="55"/>
    </row>
    <row r="849">
      <c r="C849" s="22"/>
      <c r="AH849" s="55"/>
    </row>
    <row r="850">
      <c r="C850" s="22"/>
      <c r="AH850" s="55"/>
    </row>
    <row r="851">
      <c r="C851" s="22"/>
      <c r="AH851" s="55"/>
    </row>
    <row r="852">
      <c r="C852" s="22"/>
      <c r="AH852" s="55"/>
    </row>
    <row r="853">
      <c r="C853" s="22"/>
      <c r="AH853" s="55"/>
    </row>
    <row r="854">
      <c r="C854" s="22"/>
      <c r="AH854" s="55"/>
    </row>
    <row r="855">
      <c r="C855" s="22"/>
      <c r="AH855" s="55"/>
    </row>
    <row r="856">
      <c r="C856" s="22"/>
      <c r="AH856" s="55"/>
    </row>
    <row r="857">
      <c r="C857" s="22"/>
      <c r="AH857" s="55"/>
    </row>
    <row r="858">
      <c r="C858" s="22"/>
      <c r="AH858" s="55"/>
    </row>
    <row r="859">
      <c r="C859" s="22"/>
      <c r="AH859" s="55"/>
    </row>
    <row r="860">
      <c r="C860" s="22"/>
      <c r="AH860" s="55"/>
    </row>
    <row r="861">
      <c r="C861" s="22"/>
      <c r="AH861" s="55"/>
    </row>
    <row r="862">
      <c r="C862" s="22"/>
      <c r="AH862" s="55"/>
    </row>
    <row r="863">
      <c r="C863" s="22"/>
      <c r="AH863" s="55"/>
    </row>
    <row r="864">
      <c r="C864" s="22"/>
      <c r="AH864" s="55"/>
    </row>
    <row r="865">
      <c r="C865" s="22"/>
      <c r="AH865" s="55"/>
    </row>
    <row r="866">
      <c r="C866" s="22"/>
      <c r="AH866" s="55"/>
    </row>
    <row r="867">
      <c r="C867" s="22"/>
      <c r="AH867" s="55"/>
    </row>
    <row r="868">
      <c r="C868" s="22"/>
      <c r="AH868" s="55"/>
    </row>
    <row r="869">
      <c r="C869" s="22"/>
      <c r="AH869" s="55"/>
    </row>
    <row r="870">
      <c r="C870" s="22"/>
      <c r="AH870" s="55"/>
    </row>
    <row r="871">
      <c r="C871" s="22"/>
      <c r="AH871" s="55"/>
    </row>
    <row r="872">
      <c r="C872" s="22"/>
      <c r="AH872" s="55"/>
    </row>
    <row r="873">
      <c r="C873" s="22"/>
      <c r="AH873" s="55"/>
    </row>
    <row r="874">
      <c r="C874" s="22"/>
      <c r="AH874" s="55"/>
    </row>
    <row r="875">
      <c r="C875" s="22"/>
      <c r="AH875" s="55"/>
    </row>
    <row r="876">
      <c r="C876" s="22"/>
      <c r="AH876" s="55"/>
    </row>
    <row r="877">
      <c r="C877" s="22"/>
      <c r="AH877" s="55"/>
    </row>
    <row r="878">
      <c r="C878" s="22"/>
      <c r="AH878" s="55"/>
    </row>
    <row r="879">
      <c r="C879" s="22"/>
      <c r="AH879" s="55"/>
    </row>
    <row r="880">
      <c r="C880" s="22"/>
      <c r="AH880" s="55"/>
    </row>
    <row r="881">
      <c r="C881" s="22"/>
      <c r="AH881" s="55"/>
    </row>
    <row r="882">
      <c r="C882" s="22"/>
      <c r="AH882" s="55"/>
    </row>
    <row r="883">
      <c r="C883" s="22"/>
      <c r="AH883" s="55"/>
    </row>
    <row r="884">
      <c r="C884" s="22"/>
      <c r="AH884" s="55"/>
    </row>
    <row r="885">
      <c r="C885" s="22"/>
      <c r="AH885" s="55"/>
    </row>
    <row r="886">
      <c r="C886" s="22"/>
      <c r="AH886" s="55"/>
    </row>
    <row r="887">
      <c r="C887" s="22"/>
      <c r="AH887" s="55"/>
    </row>
    <row r="888">
      <c r="C888" s="22"/>
      <c r="AH888" s="55"/>
    </row>
    <row r="889">
      <c r="C889" s="22"/>
      <c r="AH889" s="55"/>
    </row>
    <row r="890">
      <c r="C890" s="22"/>
      <c r="AH890" s="55"/>
    </row>
    <row r="891">
      <c r="C891" s="22"/>
      <c r="AH891" s="55"/>
    </row>
    <row r="892">
      <c r="C892" s="22"/>
      <c r="AH892" s="55"/>
    </row>
    <row r="893">
      <c r="C893" s="22"/>
      <c r="AH893" s="55"/>
    </row>
    <row r="894">
      <c r="C894" s="22"/>
      <c r="AH894" s="55"/>
    </row>
    <row r="895">
      <c r="C895" s="22"/>
      <c r="AH895" s="55"/>
    </row>
    <row r="896">
      <c r="C896" s="22"/>
      <c r="AH896" s="55"/>
    </row>
    <row r="897">
      <c r="C897" s="22"/>
      <c r="AH897" s="55"/>
    </row>
    <row r="898">
      <c r="C898" s="22"/>
      <c r="AH898" s="55"/>
    </row>
    <row r="899">
      <c r="C899" s="22"/>
      <c r="AH899" s="55"/>
    </row>
    <row r="900">
      <c r="C900" s="22"/>
      <c r="AH900" s="55"/>
    </row>
    <row r="901">
      <c r="C901" s="22"/>
      <c r="AH901" s="55"/>
    </row>
    <row r="902">
      <c r="C902" s="22"/>
      <c r="AH902" s="55"/>
    </row>
    <row r="903">
      <c r="C903" s="22"/>
      <c r="AH903" s="55"/>
    </row>
    <row r="904">
      <c r="C904" s="22"/>
      <c r="AH904" s="55"/>
    </row>
    <row r="905">
      <c r="C905" s="22"/>
      <c r="AH905" s="55"/>
    </row>
    <row r="906">
      <c r="C906" s="22"/>
      <c r="AH906" s="55"/>
    </row>
    <row r="907">
      <c r="C907" s="22"/>
      <c r="AH907" s="55"/>
    </row>
    <row r="908">
      <c r="C908" s="22"/>
      <c r="AH908" s="55"/>
    </row>
    <row r="909">
      <c r="C909" s="22"/>
      <c r="AH909" s="55"/>
    </row>
    <row r="910">
      <c r="C910" s="22"/>
      <c r="AH910" s="55"/>
    </row>
    <row r="911">
      <c r="C911" s="22"/>
      <c r="AH911" s="55"/>
    </row>
    <row r="912">
      <c r="C912" s="22"/>
      <c r="AH912" s="55"/>
    </row>
    <row r="913">
      <c r="C913" s="22"/>
      <c r="AH913" s="55"/>
    </row>
    <row r="914">
      <c r="C914" s="22"/>
      <c r="AH914" s="55"/>
    </row>
    <row r="915">
      <c r="C915" s="22"/>
      <c r="AH915" s="55"/>
    </row>
    <row r="916">
      <c r="C916" s="22"/>
      <c r="AH916" s="55"/>
    </row>
    <row r="917">
      <c r="C917" s="22"/>
      <c r="AH917" s="55"/>
    </row>
    <row r="918">
      <c r="C918" s="22"/>
      <c r="AH918" s="55"/>
    </row>
    <row r="919">
      <c r="C919" s="22"/>
      <c r="AH919" s="55"/>
    </row>
    <row r="920">
      <c r="C920" s="22"/>
      <c r="AH920" s="55"/>
    </row>
    <row r="921">
      <c r="C921" s="22"/>
      <c r="AH921" s="55"/>
    </row>
    <row r="922">
      <c r="C922" s="22"/>
      <c r="AH922" s="55"/>
    </row>
    <row r="923">
      <c r="C923" s="22"/>
      <c r="AH923" s="55"/>
    </row>
    <row r="924">
      <c r="C924" s="22"/>
      <c r="AH924" s="55"/>
    </row>
    <row r="925">
      <c r="C925" s="22"/>
      <c r="AH925" s="55"/>
    </row>
    <row r="926">
      <c r="C926" s="22"/>
      <c r="AH926" s="55"/>
    </row>
    <row r="927">
      <c r="C927" s="22"/>
      <c r="AH927" s="55"/>
    </row>
    <row r="928">
      <c r="C928" s="22"/>
      <c r="AH928" s="55"/>
    </row>
    <row r="929">
      <c r="C929" s="22"/>
      <c r="AH929" s="55"/>
    </row>
    <row r="930">
      <c r="C930" s="22"/>
      <c r="AH930" s="55"/>
    </row>
    <row r="931">
      <c r="C931" s="22"/>
      <c r="AH931" s="55"/>
    </row>
    <row r="932">
      <c r="C932" s="22"/>
      <c r="AH932" s="55"/>
    </row>
    <row r="933">
      <c r="C933" s="22"/>
      <c r="AH933" s="55"/>
    </row>
    <row r="934">
      <c r="C934" s="22"/>
      <c r="AH934" s="55"/>
    </row>
    <row r="935">
      <c r="C935" s="22"/>
      <c r="AH935" s="55"/>
    </row>
    <row r="936">
      <c r="C936" s="22"/>
      <c r="AH936" s="55"/>
    </row>
    <row r="937">
      <c r="C937" s="22"/>
      <c r="AH937" s="55"/>
    </row>
    <row r="938">
      <c r="C938" s="22"/>
      <c r="AH938" s="55"/>
    </row>
    <row r="939">
      <c r="C939" s="22"/>
      <c r="AH939" s="55"/>
    </row>
    <row r="940">
      <c r="C940" s="22"/>
      <c r="AH940" s="55"/>
    </row>
    <row r="941">
      <c r="C941" s="22"/>
      <c r="AH941" s="55"/>
    </row>
    <row r="942">
      <c r="C942" s="22"/>
      <c r="AH942" s="55"/>
    </row>
    <row r="943">
      <c r="C943" s="22"/>
      <c r="AH943" s="55"/>
    </row>
    <row r="944">
      <c r="C944" s="22"/>
      <c r="AH944" s="55"/>
    </row>
    <row r="945">
      <c r="C945" s="22"/>
      <c r="AH945" s="55"/>
    </row>
    <row r="946">
      <c r="C946" s="22"/>
      <c r="AH946" s="55"/>
    </row>
    <row r="947">
      <c r="C947" s="22"/>
      <c r="AH947" s="55"/>
    </row>
    <row r="948">
      <c r="C948" s="22"/>
      <c r="AH948" s="55"/>
    </row>
    <row r="949">
      <c r="C949" s="22"/>
      <c r="AH949" s="55"/>
    </row>
    <row r="950">
      <c r="C950" s="22"/>
      <c r="AH950" s="55"/>
    </row>
    <row r="951">
      <c r="C951" s="22"/>
      <c r="AH951" s="55"/>
    </row>
    <row r="952">
      <c r="C952" s="22"/>
      <c r="AH952" s="55"/>
    </row>
    <row r="953">
      <c r="C953" s="22"/>
      <c r="AH953" s="55"/>
    </row>
    <row r="954">
      <c r="C954" s="22"/>
      <c r="AH954" s="55"/>
    </row>
    <row r="955">
      <c r="C955" s="22"/>
      <c r="AH955" s="55"/>
    </row>
    <row r="956">
      <c r="C956" s="22"/>
      <c r="AH956" s="55"/>
    </row>
    <row r="957">
      <c r="C957" s="22"/>
      <c r="AH957" s="55"/>
    </row>
    <row r="958">
      <c r="C958" s="22"/>
      <c r="AH958" s="55"/>
    </row>
    <row r="959">
      <c r="C959" s="22"/>
      <c r="AH959" s="55"/>
    </row>
    <row r="960">
      <c r="C960" s="22"/>
      <c r="AH960" s="55"/>
    </row>
    <row r="961">
      <c r="C961" s="22"/>
      <c r="AH961" s="55"/>
    </row>
    <row r="962">
      <c r="C962" s="22"/>
      <c r="AH962" s="55"/>
    </row>
    <row r="963">
      <c r="C963" s="22"/>
      <c r="AH963" s="55"/>
    </row>
    <row r="964">
      <c r="C964" s="22"/>
      <c r="AH964" s="55"/>
    </row>
    <row r="965">
      <c r="C965" s="22"/>
      <c r="AH965" s="55"/>
    </row>
    <row r="966">
      <c r="C966" s="22"/>
      <c r="AH966" s="55"/>
    </row>
    <row r="967">
      <c r="C967" s="22"/>
      <c r="AH967" s="55"/>
    </row>
    <row r="968">
      <c r="C968" s="22"/>
      <c r="AH968" s="55"/>
    </row>
    <row r="969">
      <c r="C969" s="22"/>
      <c r="AH969" s="55"/>
    </row>
    <row r="970">
      <c r="C970" s="22"/>
      <c r="AH970" s="55"/>
    </row>
    <row r="971">
      <c r="C971" s="22"/>
      <c r="AH971" s="55"/>
    </row>
    <row r="972">
      <c r="C972" s="22"/>
      <c r="AH972" s="55"/>
    </row>
    <row r="973">
      <c r="C973" s="22"/>
      <c r="AH973" s="55"/>
    </row>
    <row r="974">
      <c r="C974" s="22"/>
      <c r="AH974" s="55"/>
    </row>
    <row r="975">
      <c r="C975" s="22"/>
      <c r="AH975" s="55"/>
    </row>
    <row r="976">
      <c r="C976" s="22"/>
      <c r="AH976" s="55"/>
    </row>
    <row r="977">
      <c r="C977" s="22"/>
      <c r="AH977" s="55"/>
    </row>
    <row r="978">
      <c r="C978" s="22"/>
      <c r="AH978" s="55"/>
    </row>
    <row r="979">
      <c r="C979" s="22"/>
      <c r="AH979" s="55"/>
    </row>
    <row r="980">
      <c r="C980" s="22"/>
      <c r="AH980" s="55"/>
    </row>
    <row r="981">
      <c r="C981" s="22"/>
      <c r="AH981" s="55"/>
    </row>
    <row r="982">
      <c r="C982" s="22"/>
      <c r="AH982" s="55"/>
    </row>
    <row r="983">
      <c r="C983" s="22"/>
      <c r="AH983" s="55"/>
    </row>
    <row r="984">
      <c r="C984" s="22"/>
      <c r="AH984" s="55"/>
    </row>
    <row r="985">
      <c r="C985" s="22"/>
      <c r="AH985" s="55"/>
    </row>
    <row r="986">
      <c r="C986" s="22"/>
      <c r="AH986" s="55"/>
    </row>
    <row r="987">
      <c r="C987" s="22"/>
      <c r="AH987" s="55"/>
    </row>
    <row r="988">
      <c r="C988" s="22"/>
      <c r="AH988" s="55"/>
    </row>
    <row r="989">
      <c r="C989" s="22"/>
      <c r="AH989" s="55"/>
    </row>
    <row r="990">
      <c r="C990" s="22"/>
      <c r="AH990" s="55"/>
    </row>
    <row r="991">
      <c r="C991" s="22"/>
      <c r="AH991" s="55"/>
    </row>
    <row r="992">
      <c r="C992" s="22"/>
      <c r="AH992" s="55"/>
    </row>
    <row r="993">
      <c r="C993" s="22"/>
      <c r="AH993" s="55"/>
    </row>
    <row r="994">
      <c r="C994" s="22"/>
      <c r="AH994" s="55"/>
    </row>
    <row r="995">
      <c r="C995" s="22"/>
      <c r="AH995" s="55"/>
    </row>
    <row r="996">
      <c r="C996" s="22"/>
      <c r="AH996" s="55"/>
    </row>
    <row r="997">
      <c r="C997" s="22"/>
      <c r="AH997" s="55"/>
    </row>
    <row r="998">
      <c r="C998" s="22"/>
      <c r="AH998" s="55"/>
    </row>
    <row r="999">
      <c r="C999" s="22"/>
      <c r="AH999" s="55"/>
    </row>
    <row r="1000">
      <c r="AH1000" s="55"/>
    </row>
  </sheetData>
  <dataValidations>
    <dataValidation type="list" allowBlank="1" showErrorMessage="1" sqref="C2:C31">
      <formula1>"1,2,3,4,5,6,N"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A026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5.63"/>
    <col customWidth="1" min="2" max="2" width="16.75"/>
    <col customWidth="1" min="3" max="19" width="3.13"/>
  </cols>
  <sheetData>
    <row r="1">
      <c r="A1" s="30" t="s">
        <v>365</v>
      </c>
      <c r="B1" s="30" t="s">
        <v>366</v>
      </c>
      <c r="C1" s="56" t="s">
        <v>400</v>
      </c>
      <c r="D1" s="56" t="s">
        <v>401</v>
      </c>
      <c r="E1" s="56" t="s">
        <v>402</v>
      </c>
      <c r="F1" s="56" t="s">
        <v>403</v>
      </c>
      <c r="G1" s="56" t="s">
        <v>404</v>
      </c>
      <c r="H1" s="56" t="s">
        <v>405</v>
      </c>
      <c r="I1" s="56" t="s">
        <v>406</v>
      </c>
      <c r="J1" s="56" t="s">
        <v>407</v>
      </c>
      <c r="K1" s="56" t="s">
        <v>408</v>
      </c>
      <c r="L1" s="56" t="s">
        <v>409</v>
      </c>
      <c r="M1" s="56" t="s">
        <v>410</v>
      </c>
      <c r="N1" s="56" t="s">
        <v>411</v>
      </c>
      <c r="O1" s="56" t="s">
        <v>412</v>
      </c>
      <c r="P1" s="56" t="s">
        <v>413</v>
      </c>
      <c r="Q1" s="57" t="s">
        <v>414</v>
      </c>
      <c r="R1" s="56" t="s">
        <v>399</v>
      </c>
      <c r="S1" s="56" t="s">
        <v>415</v>
      </c>
    </row>
    <row r="2">
      <c r="A2" s="58">
        <v>2.0</v>
      </c>
      <c r="B2" s="59" t="s">
        <v>251</v>
      </c>
      <c r="C2" s="60">
        <v>10.0</v>
      </c>
      <c r="D2" s="60"/>
      <c r="E2" s="60"/>
      <c r="F2" s="60"/>
      <c r="G2" s="60">
        <v>7.0</v>
      </c>
      <c r="H2" s="60">
        <v>8.0</v>
      </c>
      <c r="I2" s="60">
        <v>8.0</v>
      </c>
      <c r="J2" s="60"/>
      <c r="K2" s="60">
        <v>7.0</v>
      </c>
      <c r="L2" s="60">
        <v>12.0</v>
      </c>
      <c r="M2" s="60"/>
      <c r="N2" s="60"/>
      <c r="O2" s="60"/>
      <c r="P2" s="60">
        <v>8.0</v>
      </c>
      <c r="Q2" s="61">
        <v>6.0</v>
      </c>
      <c r="R2" s="62">
        <f t="shared" ref="R2:R28" si="1">SUM(C2:Q2)</f>
        <v>66</v>
      </c>
      <c r="S2" s="63">
        <f>COUNT(C2:P2)</f>
        <v>7</v>
      </c>
    </row>
    <row r="3">
      <c r="A3" s="58">
        <v>1.0</v>
      </c>
      <c r="B3" s="59" t="s">
        <v>167</v>
      </c>
      <c r="C3" s="60">
        <v>4.0</v>
      </c>
      <c r="D3" s="60"/>
      <c r="E3" s="60"/>
      <c r="F3" s="60"/>
      <c r="G3" s="60"/>
      <c r="H3" s="60">
        <v>4.0</v>
      </c>
      <c r="I3" s="60"/>
      <c r="J3" s="60"/>
      <c r="K3" s="60">
        <v>5.0</v>
      </c>
      <c r="L3" s="60">
        <v>10.0</v>
      </c>
      <c r="M3" s="60">
        <v>5.0</v>
      </c>
      <c r="N3" s="60">
        <v>7.0</v>
      </c>
      <c r="O3" s="60">
        <v>6.0</v>
      </c>
      <c r="P3" s="60">
        <v>12.0</v>
      </c>
      <c r="Q3" s="61">
        <v>6.0</v>
      </c>
      <c r="R3" s="62">
        <f t="shared" si="1"/>
        <v>59</v>
      </c>
      <c r="S3" s="63">
        <f>COUNT(C3:Q3)</f>
        <v>9</v>
      </c>
    </row>
    <row r="4">
      <c r="A4" s="58">
        <v>3.0</v>
      </c>
      <c r="B4" s="59" t="s">
        <v>192</v>
      </c>
      <c r="C4" s="60">
        <v>12.0</v>
      </c>
      <c r="D4" s="60"/>
      <c r="E4" s="60"/>
      <c r="F4" s="60">
        <v>12.0</v>
      </c>
      <c r="G4" s="60">
        <v>8.0</v>
      </c>
      <c r="H4" s="60"/>
      <c r="I4" s="60"/>
      <c r="J4" s="60"/>
      <c r="K4" s="60">
        <v>10.0</v>
      </c>
      <c r="L4" s="60">
        <v>7.0</v>
      </c>
      <c r="M4" s="60">
        <v>10.0</v>
      </c>
      <c r="N4" s="60"/>
      <c r="O4" s="60"/>
      <c r="P4" s="60"/>
      <c r="Q4" s="64"/>
      <c r="R4" s="62">
        <f t="shared" si="1"/>
        <v>59</v>
      </c>
      <c r="S4" s="63">
        <f t="shared" ref="S4:S28" si="2">COUNT(C4:P4)</f>
        <v>6</v>
      </c>
    </row>
    <row r="5">
      <c r="A5" s="65">
        <v>4.0</v>
      </c>
      <c r="B5" s="66" t="s">
        <v>112</v>
      </c>
      <c r="C5" s="67"/>
      <c r="D5" s="67"/>
      <c r="E5" s="67"/>
      <c r="F5" s="67">
        <v>5.0</v>
      </c>
      <c r="G5" s="67">
        <v>10.0</v>
      </c>
      <c r="H5" s="67"/>
      <c r="I5" s="67">
        <v>10.0</v>
      </c>
      <c r="J5" s="67"/>
      <c r="K5" s="67">
        <v>4.0</v>
      </c>
      <c r="L5" s="67"/>
      <c r="M5" s="67">
        <v>1.0</v>
      </c>
      <c r="N5" s="67">
        <v>12.0</v>
      </c>
      <c r="O5" s="67"/>
      <c r="P5" s="67">
        <v>10.0</v>
      </c>
      <c r="Q5" s="68"/>
      <c r="R5" s="69">
        <f t="shared" si="1"/>
        <v>52</v>
      </c>
      <c r="S5" s="70">
        <f t="shared" si="2"/>
        <v>7</v>
      </c>
    </row>
    <row r="6">
      <c r="A6" s="58">
        <v>5.0</v>
      </c>
      <c r="B6" s="59" t="s">
        <v>281</v>
      </c>
      <c r="C6" s="60"/>
      <c r="D6" s="60"/>
      <c r="E6" s="60">
        <v>6.0</v>
      </c>
      <c r="F6" s="60"/>
      <c r="G6" s="60">
        <v>2.0</v>
      </c>
      <c r="H6" s="60"/>
      <c r="I6" s="60"/>
      <c r="J6" s="60">
        <v>2.0</v>
      </c>
      <c r="K6" s="60">
        <v>12.0</v>
      </c>
      <c r="L6" s="60">
        <v>5.0</v>
      </c>
      <c r="M6" s="60">
        <v>12.0</v>
      </c>
      <c r="N6" s="60">
        <v>2.0</v>
      </c>
      <c r="O6" s="60">
        <v>2.0</v>
      </c>
      <c r="P6" s="60"/>
      <c r="Q6" s="61">
        <v>6.0</v>
      </c>
      <c r="R6" s="62">
        <f t="shared" si="1"/>
        <v>49</v>
      </c>
      <c r="S6" s="63">
        <f t="shared" si="2"/>
        <v>8</v>
      </c>
    </row>
    <row r="7">
      <c r="A7" s="58">
        <v>6.0</v>
      </c>
      <c r="B7" s="59" t="s">
        <v>212</v>
      </c>
      <c r="C7" s="60">
        <v>2.0</v>
      </c>
      <c r="D7" s="60">
        <v>7.0</v>
      </c>
      <c r="E7" s="60">
        <v>10.0</v>
      </c>
      <c r="F7" s="60"/>
      <c r="G7" s="60"/>
      <c r="H7" s="60"/>
      <c r="I7" s="60">
        <v>6.0</v>
      </c>
      <c r="J7" s="60"/>
      <c r="K7" s="60"/>
      <c r="L7" s="60"/>
      <c r="M7" s="60"/>
      <c r="N7" s="60">
        <v>10.0</v>
      </c>
      <c r="O7" s="60"/>
      <c r="P7" s="60">
        <v>5.0</v>
      </c>
      <c r="Q7" s="61">
        <v>6.0</v>
      </c>
      <c r="R7" s="62">
        <f t="shared" si="1"/>
        <v>46</v>
      </c>
      <c r="S7" s="63">
        <f t="shared" si="2"/>
        <v>6</v>
      </c>
    </row>
    <row r="8">
      <c r="A8" s="58">
        <v>7.0</v>
      </c>
      <c r="B8" s="59" t="s">
        <v>82</v>
      </c>
      <c r="C8" s="60">
        <v>6.0</v>
      </c>
      <c r="D8" s="60"/>
      <c r="E8" s="60">
        <v>5.0</v>
      </c>
      <c r="F8" s="60">
        <v>2.0</v>
      </c>
      <c r="G8" s="60"/>
      <c r="H8" s="60"/>
      <c r="I8" s="60"/>
      <c r="J8" s="60"/>
      <c r="K8" s="60"/>
      <c r="L8" s="60">
        <v>6.0</v>
      </c>
      <c r="M8" s="60">
        <v>7.0</v>
      </c>
      <c r="N8" s="60">
        <v>4.0</v>
      </c>
      <c r="O8" s="60">
        <v>7.0</v>
      </c>
      <c r="P8" s="60"/>
      <c r="Q8" s="61">
        <v>6.0</v>
      </c>
      <c r="R8" s="62">
        <f t="shared" si="1"/>
        <v>43</v>
      </c>
      <c r="S8" s="63">
        <f t="shared" si="2"/>
        <v>7</v>
      </c>
    </row>
    <row r="9">
      <c r="A9" s="58">
        <v>9.0</v>
      </c>
      <c r="B9" s="59" t="s">
        <v>67</v>
      </c>
      <c r="C9" s="60"/>
      <c r="D9" s="60"/>
      <c r="E9" s="60"/>
      <c r="F9" s="60"/>
      <c r="G9" s="60">
        <v>6.0</v>
      </c>
      <c r="H9" s="60">
        <v>3.0</v>
      </c>
      <c r="I9" s="60">
        <v>1.0</v>
      </c>
      <c r="J9" s="60">
        <v>6.0</v>
      </c>
      <c r="K9" s="60"/>
      <c r="L9" s="60">
        <v>3.0</v>
      </c>
      <c r="M9" s="60"/>
      <c r="N9" s="60">
        <v>6.0</v>
      </c>
      <c r="O9" s="60">
        <v>8.0</v>
      </c>
      <c r="P9" s="60">
        <v>2.0</v>
      </c>
      <c r="Q9" s="61">
        <v>6.0</v>
      </c>
      <c r="R9" s="62">
        <f t="shared" si="1"/>
        <v>41</v>
      </c>
      <c r="S9" s="63">
        <f t="shared" si="2"/>
        <v>8</v>
      </c>
    </row>
    <row r="10">
      <c r="A10" s="58">
        <v>11.0</v>
      </c>
      <c r="B10" s="59" t="s">
        <v>92</v>
      </c>
      <c r="C10" s="60"/>
      <c r="D10" s="60">
        <v>4.0</v>
      </c>
      <c r="E10" s="60"/>
      <c r="F10" s="60">
        <v>8.0</v>
      </c>
      <c r="G10" s="60"/>
      <c r="H10" s="60"/>
      <c r="I10" s="60"/>
      <c r="J10" s="60"/>
      <c r="K10" s="60">
        <v>6.0</v>
      </c>
      <c r="L10" s="60">
        <v>2.0</v>
      </c>
      <c r="M10" s="60">
        <v>4.0</v>
      </c>
      <c r="N10" s="60">
        <v>5.0</v>
      </c>
      <c r="O10" s="60"/>
      <c r="P10" s="60">
        <v>7.0</v>
      </c>
      <c r="Q10" s="64"/>
      <c r="R10" s="62">
        <f t="shared" si="1"/>
        <v>36</v>
      </c>
      <c r="S10" s="63">
        <f t="shared" si="2"/>
        <v>7</v>
      </c>
    </row>
    <row r="11">
      <c r="A11" s="58">
        <v>10.0</v>
      </c>
      <c r="B11" s="59" t="s">
        <v>127</v>
      </c>
      <c r="C11" s="60"/>
      <c r="D11" s="60">
        <v>10.0</v>
      </c>
      <c r="E11" s="60"/>
      <c r="F11" s="60"/>
      <c r="G11" s="60">
        <v>4.0</v>
      </c>
      <c r="H11" s="60"/>
      <c r="I11" s="60"/>
      <c r="J11" s="60">
        <v>7.0</v>
      </c>
      <c r="K11" s="60">
        <v>8.0</v>
      </c>
      <c r="L11" s="60"/>
      <c r="M11" s="60">
        <v>6.0</v>
      </c>
      <c r="N11" s="60"/>
      <c r="O11" s="60"/>
      <c r="P11" s="60"/>
      <c r="Q11" s="64"/>
      <c r="R11" s="62">
        <f t="shared" si="1"/>
        <v>35</v>
      </c>
      <c r="S11" s="63">
        <f t="shared" si="2"/>
        <v>5</v>
      </c>
    </row>
    <row r="12">
      <c r="A12" s="58">
        <v>13.0</v>
      </c>
      <c r="B12" s="59" t="s">
        <v>172</v>
      </c>
      <c r="C12" s="60"/>
      <c r="D12" s="60">
        <v>12.0</v>
      </c>
      <c r="E12" s="60"/>
      <c r="F12" s="60">
        <v>1.0</v>
      </c>
      <c r="G12" s="60"/>
      <c r="H12" s="60">
        <v>6.0</v>
      </c>
      <c r="I12" s="60">
        <v>7.0</v>
      </c>
      <c r="J12" s="60"/>
      <c r="K12" s="60"/>
      <c r="L12" s="60"/>
      <c r="M12" s="60"/>
      <c r="N12" s="60">
        <v>8.0</v>
      </c>
      <c r="O12" s="60"/>
      <c r="P12" s="60"/>
      <c r="Q12" s="64"/>
      <c r="R12" s="62">
        <f t="shared" si="1"/>
        <v>34</v>
      </c>
      <c r="S12" s="63">
        <f t="shared" si="2"/>
        <v>5</v>
      </c>
    </row>
    <row r="13">
      <c r="A13" s="58">
        <v>14.0</v>
      </c>
      <c r="B13" s="59" t="s">
        <v>182</v>
      </c>
      <c r="C13" s="60">
        <v>7.0</v>
      </c>
      <c r="D13" s="60">
        <v>5.0</v>
      </c>
      <c r="E13" s="60"/>
      <c r="F13" s="60">
        <v>3.0</v>
      </c>
      <c r="G13" s="60"/>
      <c r="H13" s="60">
        <v>7.0</v>
      </c>
      <c r="I13" s="60"/>
      <c r="J13" s="60"/>
      <c r="K13" s="60"/>
      <c r="L13" s="60"/>
      <c r="M13" s="60"/>
      <c r="N13" s="60"/>
      <c r="O13" s="60">
        <v>12.0</v>
      </c>
      <c r="P13" s="60"/>
      <c r="Q13" s="64"/>
      <c r="R13" s="62">
        <f t="shared" si="1"/>
        <v>34</v>
      </c>
      <c r="S13" s="63">
        <f t="shared" si="2"/>
        <v>5</v>
      </c>
    </row>
    <row r="14">
      <c r="A14" s="58">
        <v>8.0</v>
      </c>
      <c r="B14" s="59" t="s">
        <v>291</v>
      </c>
      <c r="C14" s="60">
        <v>3.0</v>
      </c>
      <c r="D14" s="60"/>
      <c r="E14" s="60"/>
      <c r="F14" s="60"/>
      <c r="G14" s="60"/>
      <c r="H14" s="60">
        <v>12.0</v>
      </c>
      <c r="I14" s="60">
        <v>3.0</v>
      </c>
      <c r="J14" s="60">
        <v>8.0</v>
      </c>
      <c r="K14" s="60">
        <v>1.0</v>
      </c>
      <c r="L14" s="60"/>
      <c r="M14" s="60"/>
      <c r="N14" s="60"/>
      <c r="O14" s="60"/>
      <c r="P14" s="60">
        <v>4.0</v>
      </c>
      <c r="Q14" s="64"/>
      <c r="R14" s="62">
        <f t="shared" si="1"/>
        <v>31</v>
      </c>
      <c r="S14" s="63">
        <f t="shared" si="2"/>
        <v>6</v>
      </c>
    </row>
    <row r="15">
      <c r="A15" s="58">
        <v>16.0</v>
      </c>
      <c r="B15" s="59" t="s">
        <v>197</v>
      </c>
      <c r="C15" s="60"/>
      <c r="D15" s="60">
        <v>8.0</v>
      </c>
      <c r="E15" s="60"/>
      <c r="F15" s="60"/>
      <c r="G15" s="60">
        <v>12.0</v>
      </c>
      <c r="H15" s="60">
        <v>2.0</v>
      </c>
      <c r="I15" s="60"/>
      <c r="J15" s="60">
        <v>3.0</v>
      </c>
      <c r="K15" s="60"/>
      <c r="L15" s="60"/>
      <c r="M15" s="60"/>
      <c r="N15" s="60"/>
      <c r="O15" s="60">
        <v>5.0</v>
      </c>
      <c r="P15" s="60"/>
      <c r="Q15" s="64"/>
      <c r="R15" s="62">
        <f t="shared" si="1"/>
        <v>30</v>
      </c>
      <c r="S15" s="63">
        <f t="shared" si="2"/>
        <v>5</v>
      </c>
    </row>
    <row r="16">
      <c r="A16" s="58">
        <v>17.0</v>
      </c>
      <c r="B16" s="59" t="s">
        <v>177</v>
      </c>
      <c r="C16" s="60"/>
      <c r="D16" s="60"/>
      <c r="E16" s="60">
        <v>8.0</v>
      </c>
      <c r="F16" s="60"/>
      <c r="G16" s="60">
        <v>3.0</v>
      </c>
      <c r="H16" s="60"/>
      <c r="I16" s="60"/>
      <c r="J16" s="60">
        <v>1.0</v>
      </c>
      <c r="K16" s="60">
        <v>3.0</v>
      </c>
      <c r="L16" s="60"/>
      <c r="M16" s="60">
        <v>8.0</v>
      </c>
      <c r="N16" s="60"/>
      <c r="O16" s="60"/>
      <c r="P16" s="60"/>
      <c r="Q16" s="61">
        <v>6.0</v>
      </c>
      <c r="R16" s="62">
        <f t="shared" si="1"/>
        <v>29</v>
      </c>
      <c r="S16" s="63">
        <f t="shared" si="2"/>
        <v>5</v>
      </c>
    </row>
    <row r="17">
      <c r="A17" s="58">
        <v>15.0</v>
      </c>
      <c r="B17" s="59" t="s">
        <v>77</v>
      </c>
      <c r="C17" s="60">
        <v>5.0</v>
      </c>
      <c r="D17" s="60">
        <v>2.0</v>
      </c>
      <c r="E17" s="60"/>
      <c r="F17" s="60"/>
      <c r="G17" s="60"/>
      <c r="H17" s="60">
        <v>10.0</v>
      </c>
      <c r="I17" s="60">
        <v>5.0</v>
      </c>
      <c r="J17" s="60"/>
      <c r="K17" s="60"/>
      <c r="L17" s="60"/>
      <c r="M17" s="60"/>
      <c r="N17" s="60"/>
      <c r="O17" s="60"/>
      <c r="P17" s="60"/>
      <c r="Q17" s="61">
        <v>6.0</v>
      </c>
      <c r="R17" s="62">
        <f t="shared" si="1"/>
        <v>28</v>
      </c>
      <c r="S17" s="63">
        <f t="shared" si="2"/>
        <v>4</v>
      </c>
    </row>
    <row r="18">
      <c r="A18" s="58">
        <v>18.0</v>
      </c>
      <c r="B18" s="59" t="s">
        <v>222</v>
      </c>
      <c r="C18" s="60"/>
      <c r="D18" s="60"/>
      <c r="E18" s="60">
        <v>7.0</v>
      </c>
      <c r="F18" s="60">
        <v>10.0</v>
      </c>
      <c r="G18" s="60">
        <v>1.0</v>
      </c>
      <c r="H18" s="60"/>
      <c r="I18" s="60"/>
      <c r="J18" s="60">
        <v>10.0</v>
      </c>
      <c r="K18" s="60"/>
      <c r="L18" s="60"/>
      <c r="M18" s="60"/>
      <c r="N18" s="60"/>
      <c r="O18" s="60"/>
      <c r="P18" s="60"/>
      <c r="Q18" s="64"/>
      <c r="R18" s="62">
        <f t="shared" si="1"/>
        <v>28</v>
      </c>
      <c r="S18" s="63">
        <f t="shared" si="2"/>
        <v>4</v>
      </c>
    </row>
    <row r="19">
      <c r="A19" s="58">
        <v>12.0</v>
      </c>
      <c r="B19" s="59" t="s">
        <v>207</v>
      </c>
      <c r="C19" s="60"/>
      <c r="D19" s="60"/>
      <c r="E19" s="60">
        <v>12.0</v>
      </c>
      <c r="F19" s="60">
        <v>7.0</v>
      </c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1">
        <v>6.0</v>
      </c>
      <c r="R19" s="62">
        <f t="shared" si="1"/>
        <v>25</v>
      </c>
      <c r="S19" s="63">
        <f t="shared" si="2"/>
        <v>2</v>
      </c>
    </row>
    <row r="20">
      <c r="A20" s="58">
        <v>19.0</v>
      </c>
      <c r="B20" s="59" t="s">
        <v>27</v>
      </c>
      <c r="C20" s="60"/>
      <c r="D20" s="60"/>
      <c r="E20" s="60">
        <v>1.0</v>
      </c>
      <c r="F20" s="60">
        <v>6.0</v>
      </c>
      <c r="G20" s="60"/>
      <c r="H20" s="60"/>
      <c r="I20" s="60">
        <v>4.0</v>
      </c>
      <c r="J20" s="60">
        <v>12.0</v>
      </c>
      <c r="K20" s="60"/>
      <c r="L20" s="60"/>
      <c r="M20" s="60"/>
      <c r="N20" s="60"/>
      <c r="O20" s="60">
        <v>1.0</v>
      </c>
      <c r="P20" s="60"/>
      <c r="Q20" s="64"/>
      <c r="R20" s="62">
        <f t="shared" si="1"/>
        <v>24</v>
      </c>
      <c r="S20" s="63">
        <f t="shared" si="2"/>
        <v>5</v>
      </c>
    </row>
    <row r="21">
      <c r="A21" s="58">
        <v>21.0</v>
      </c>
      <c r="B21" s="59" t="s">
        <v>102</v>
      </c>
      <c r="C21" s="60">
        <v>1.0</v>
      </c>
      <c r="D21" s="60">
        <v>3.0</v>
      </c>
      <c r="E21" s="60"/>
      <c r="F21" s="60">
        <v>4.0</v>
      </c>
      <c r="G21" s="60"/>
      <c r="H21" s="60"/>
      <c r="I21" s="60"/>
      <c r="J21" s="60">
        <v>4.0</v>
      </c>
      <c r="K21" s="60">
        <v>2.0</v>
      </c>
      <c r="L21" s="60">
        <v>1.0</v>
      </c>
      <c r="M21" s="60">
        <v>2.0</v>
      </c>
      <c r="N21" s="60">
        <v>3.0</v>
      </c>
      <c r="O21" s="60"/>
      <c r="P21" s="60">
        <v>3.0</v>
      </c>
      <c r="Q21" s="64"/>
      <c r="R21" s="62">
        <f t="shared" si="1"/>
        <v>23</v>
      </c>
      <c r="S21" s="63">
        <f t="shared" si="2"/>
        <v>9</v>
      </c>
    </row>
    <row r="22">
      <c r="A22" s="58">
        <v>22.0</v>
      </c>
      <c r="B22" s="59" t="s">
        <v>266</v>
      </c>
      <c r="C22" s="60">
        <v>8.0</v>
      </c>
      <c r="D22" s="60"/>
      <c r="E22" s="60"/>
      <c r="F22" s="60"/>
      <c r="G22" s="60"/>
      <c r="H22" s="60"/>
      <c r="I22" s="60"/>
      <c r="J22" s="60">
        <v>5.0</v>
      </c>
      <c r="K22" s="60"/>
      <c r="L22" s="60"/>
      <c r="M22" s="60"/>
      <c r="N22" s="60"/>
      <c r="O22" s="60">
        <v>3.0</v>
      </c>
      <c r="P22" s="60">
        <v>1.0</v>
      </c>
      <c r="Q22" s="61">
        <v>6.0</v>
      </c>
      <c r="R22" s="62">
        <f t="shared" si="1"/>
        <v>23</v>
      </c>
      <c r="S22" s="63">
        <f t="shared" si="2"/>
        <v>4</v>
      </c>
    </row>
    <row r="23">
      <c r="A23" s="58">
        <v>23.0</v>
      </c>
      <c r="B23" s="59" t="s">
        <v>301</v>
      </c>
      <c r="C23" s="60"/>
      <c r="D23" s="60"/>
      <c r="E23" s="60">
        <v>4.0</v>
      </c>
      <c r="F23" s="60"/>
      <c r="G23" s="60"/>
      <c r="H23" s="60">
        <v>1.0</v>
      </c>
      <c r="I23" s="60">
        <v>12.0</v>
      </c>
      <c r="J23" s="60"/>
      <c r="K23" s="60"/>
      <c r="L23" s="60">
        <v>4.0</v>
      </c>
      <c r="M23" s="60"/>
      <c r="N23" s="60"/>
      <c r="O23" s="60"/>
      <c r="P23" s="60"/>
      <c r="Q23" s="64"/>
      <c r="R23" s="62">
        <f t="shared" si="1"/>
        <v>21</v>
      </c>
      <c r="S23" s="63">
        <f t="shared" si="2"/>
        <v>4</v>
      </c>
    </row>
    <row r="24">
      <c r="A24" s="58">
        <v>24.0</v>
      </c>
      <c r="B24" s="59" t="s">
        <v>152</v>
      </c>
      <c r="C24" s="60"/>
      <c r="D24" s="60"/>
      <c r="E24" s="60">
        <v>3.0</v>
      </c>
      <c r="F24" s="60"/>
      <c r="G24" s="60">
        <v>5.0</v>
      </c>
      <c r="H24" s="60"/>
      <c r="I24" s="60">
        <v>2.0</v>
      </c>
      <c r="J24" s="60"/>
      <c r="K24" s="60"/>
      <c r="L24" s="60"/>
      <c r="M24" s="60"/>
      <c r="N24" s="60"/>
      <c r="O24" s="60">
        <v>10.0</v>
      </c>
      <c r="P24" s="60"/>
      <c r="Q24" s="64"/>
      <c r="R24" s="62">
        <f t="shared" si="1"/>
        <v>20</v>
      </c>
      <c r="S24" s="63">
        <f t="shared" si="2"/>
        <v>4</v>
      </c>
    </row>
    <row r="25">
      <c r="A25" s="58">
        <v>25.0</v>
      </c>
      <c r="B25" s="59" t="s">
        <v>237</v>
      </c>
      <c r="C25" s="60"/>
      <c r="D25" s="60"/>
      <c r="E25" s="60">
        <v>2.0</v>
      </c>
      <c r="F25" s="60"/>
      <c r="G25" s="60"/>
      <c r="H25" s="60"/>
      <c r="I25" s="60"/>
      <c r="J25" s="60"/>
      <c r="K25" s="60"/>
      <c r="L25" s="60">
        <v>8.0</v>
      </c>
      <c r="M25" s="60">
        <v>3.0</v>
      </c>
      <c r="N25" s="60"/>
      <c r="O25" s="60"/>
      <c r="P25" s="60"/>
      <c r="Q25" s="61">
        <v>6.0</v>
      </c>
      <c r="R25" s="62">
        <f t="shared" si="1"/>
        <v>19</v>
      </c>
      <c r="S25" s="63">
        <f t="shared" si="2"/>
        <v>3</v>
      </c>
    </row>
    <row r="26">
      <c r="A26" s="58">
        <v>20.0</v>
      </c>
      <c r="B26" s="59" t="s">
        <v>296</v>
      </c>
      <c r="C26" s="60"/>
      <c r="D26" s="60">
        <v>6.0</v>
      </c>
      <c r="E26" s="60"/>
      <c r="F26" s="60"/>
      <c r="G26" s="60"/>
      <c r="H26" s="60">
        <v>5.0</v>
      </c>
      <c r="I26" s="60"/>
      <c r="J26" s="60"/>
      <c r="K26" s="60"/>
      <c r="L26" s="60"/>
      <c r="M26" s="60"/>
      <c r="N26" s="60"/>
      <c r="O26" s="60"/>
      <c r="P26" s="60"/>
      <c r="Q26" s="61">
        <v>6.0</v>
      </c>
      <c r="R26" s="62">
        <f t="shared" si="1"/>
        <v>17</v>
      </c>
      <c r="S26" s="63">
        <f t="shared" si="2"/>
        <v>2</v>
      </c>
    </row>
    <row r="27">
      <c r="A27" s="58">
        <v>26.0</v>
      </c>
      <c r="B27" s="59" t="s">
        <v>42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>
        <v>6.0</v>
      </c>
      <c r="Q27" s="64"/>
      <c r="R27" s="62">
        <f t="shared" si="1"/>
        <v>6</v>
      </c>
      <c r="S27" s="63">
        <f t="shared" si="2"/>
        <v>1</v>
      </c>
    </row>
    <row r="28">
      <c r="A28" s="58">
        <v>27.0</v>
      </c>
      <c r="B28" s="59" t="s">
        <v>17</v>
      </c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>
        <v>1.0</v>
      </c>
      <c r="O28" s="60">
        <v>4.0</v>
      </c>
      <c r="P28" s="60"/>
      <c r="Q28" s="64"/>
      <c r="R28" s="62">
        <f t="shared" si="1"/>
        <v>5</v>
      </c>
      <c r="S28" s="63">
        <f t="shared" si="2"/>
        <v>2</v>
      </c>
    </row>
    <row r="30">
      <c r="E30" s="4"/>
    </row>
    <row r="31">
      <c r="E31" s="71"/>
    </row>
    <row r="32">
      <c r="E32" s="71"/>
    </row>
    <row r="33">
      <c r="E33" s="71"/>
    </row>
    <row r="34">
      <c r="C34" s="4"/>
      <c r="E34" s="71"/>
    </row>
    <row r="35">
      <c r="C35" s="4"/>
      <c r="E35" s="71"/>
    </row>
    <row r="36">
      <c r="C36" s="4"/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0CA3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.0"/>
    <col customWidth="1" min="2" max="2" width="24.25"/>
    <col customWidth="1" min="3" max="3" width="4.75"/>
    <col customWidth="1" min="4" max="34" width="3.13"/>
  </cols>
  <sheetData>
    <row r="1" ht="115.5" customHeight="1">
      <c r="A1" s="72" t="s">
        <v>365</v>
      </c>
      <c r="B1" s="72" t="s">
        <v>416</v>
      </c>
      <c r="C1" s="73" t="s">
        <v>367</v>
      </c>
      <c r="D1" s="74" t="s">
        <v>417</v>
      </c>
      <c r="E1" s="74" t="s">
        <v>418</v>
      </c>
      <c r="F1" s="74" t="s">
        <v>419</v>
      </c>
      <c r="G1" s="74" t="s">
        <v>411</v>
      </c>
      <c r="H1" s="74" t="s">
        <v>410</v>
      </c>
      <c r="I1" s="74" t="s">
        <v>420</v>
      </c>
      <c r="J1" s="74" t="s">
        <v>413</v>
      </c>
      <c r="K1" s="74" t="s">
        <v>421</v>
      </c>
      <c r="L1" s="74" t="s">
        <v>422</v>
      </c>
      <c r="M1" s="74" t="s">
        <v>423</v>
      </c>
      <c r="N1" s="74" t="s">
        <v>424</v>
      </c>
      <c r="O1" s="74" t="s">
        <v>401</v>
      </c>
      <c r="P1" s="74" t="s">
        <v>404</v>
      </c>
      <c r="Q1" s="74" t="s">
        <v>425</v>
      </c>
      <c r="R1" s="74" t="s">
        <v>409</v>
      </c>
      <c r="S1" s="74" t="s">
        <v>426</v>
      </c>
      <c r="T1" s="74" t="s">
        <v>400</v>
      </c>
      <c r="U1" s="74" t="s">
        <v>427</v>
      </c>
      <c r="V1" s="74" t="s">
        <v>412</v>
      </c>
      <c r="W1" s="74" t="s">
        <v>428</v>
      </c>
      <c r="X1" s="74" t="s">
        <v>429</v>
      </c>
      <c r="Y1" s="74" t="s">
        <v>405</v>
      </c>
      <c r="Z1" s="74" t="s">
        <v>430</v>
      </c>
      <c r="AA1" s="74" t="s">
        <v>431</v>
      </c>
      <c r="AB1" s="74" t="s">
        <v>402</v>
      </c>
      <c r="AC1" s="74" t="s">
        <v>432</v>
      </c>
      <c r="AD1" s="75" t="s">
        <v>403</v>
      </c>
      <c r="AE1" s="75" t="s">
        <v>408</v>
      </c>
      <c r="AF1" s="75" t="s">
        <v>433</v>
      </c>
      <c r="AG1" s="76" t="s">
        <v>398</v>
      </c>
      <c r="AH1" s="77" t="s">
        <v>399</v>
      </c>
    </row>
    <row r="2">
      <c r="A2" s="78">
        <v>1.0</v>
      </c>
      <c r="B2" s="79" t="s">
        <v>286</v>
      </c>
      <c r="C2" s="80">
        <v>1.0</v>
      </c>
      <c r="D2" s="81"/>
      <c r="E2" s="81"/>
      <c r="F2" s="81">
        <v>8.0</v>
      </c>
      <c r="G2" s="81"/>
      <c r="H2" s="81"/>
      <c r="I2" s="81">
        <v>1.0</v>
      </c>
      <c r="J2" s="81">
        <v>12.0</v>
      </c>
      <c r="K2" s="81">
        <v>5.0</v>
      </c>
      <c r="L2" s="81"/>
      <c r="M2" s="81"/>
      <c r="N2" s="81"/>
      <c r="O2" s="81">
        <v>2.0</v>
      </c>
      <c r="P2" s="81">
        <v>5.0</v>
      </c>
      <c r="Q2" s="81"/>
      <c r="R2" s="81">
        <v>10.0</v>
      </c>
      <c r="S2" s="81">
        <v>4.0</v>
      </c>
      <c r="T2" s="81">
        <v>12.0</v>
      </c>
      <c r="U2" s="81">
        <v>8.0</v>
      </c>
      <c r="V2" s="81"/>
      <c r="W2" s="81">
        <v>3.0</v>
      </c>
      <c r="X2" s="81">
        <v>8.0</v>
      </c>
      <c r="Y2" s="81">
        <v>12.0</v>
      </c>
      <c r="Z2" s="81">
        <v>12.0</v>
      </c>
      <c r="AA2" s="81"/>
      <c r="AB2" s="81"/>
      <c r="AC2" s="81">
        <v>3.0</v>
      </c>
      <c r="AD2" s="81"/>
      <c r="AE2" s="81">
        <v>10.0</v>
      </c>
      <c r="AF2" s="81"/>
      <c r="AG2" s="82">
        <f t="shared" ref="AG2:AG27" si="1">COUNT(D2:AF2)</f>
        <v>16</v>
      </c>
      <c r="AH2" s="83">
        <f t="shared" ref="AH2:AH27" si="2">SUM(D2:AF2)</f>
        <v>115</v>
      </c>
    </row>
    <row r="3">
      <c r="A3" s="84">
        <v>2.0</v>
      </c>
      <c r="B3" s="35" t="s">
        <v>62</v>
      </c>
      <c r="C3" s="85">
        <v>2.0</v>
      </c>
      <c r="D3" s="37">
        <v>3.0</v>
      </c>
      <c r="E3" s="37"/>
      <c r="F3" s="37"/>
      <c r="G3" s="37">
        <v>8.0</v>
      </c>
      <c r="H3" s="37">
        <v>6.0</v>
      </c>
      <c r="I3" s="37">
        <v>4.0</v>
      </c>
      <c r="J3" s="37"/>
      <c r="K3" s="37">
        <v>4.0</v>
      </c>
      <c r="L3" s="37">
        <v>4.0</v>
      </c>
      <c r="M3" s="37">
        <v>6.0</v>
      </c>
      <c r="N3" s="37">
        <v>4.0</v>
      </c>
      <c r="O3" s="37">
        <v>12.0</v>
      </c>
      <c r="P3" s="37"/>
      <c r="Q3" s="37">
        <v>7.0</v>
      </c>
      <c r="R3" s="37"/>
      <c r="S3" s="37">
        <v>7.0</v>
      </c>
      <c r="T3" s="37"/>
      <c r="U3" s="37">
        <v>2.0</v>
      </c>
      <c r="V3" s="37">
        <v>8.0</v>
      </c>
      <c r="W3" s="37"/>
      <c r="X3" s="37">
        <v>7.0</v>
      </c>
      <c r="Y3" s="37"/>
      <c r="Z3" s="37"/>
      <c r="AA3" s="37">
        <v>10.0</v>
      </c>
      <c r="AB3" s="37">
        <v>5.0</v>
      </c>
      <c r="AC3" s="37">
        <v>5.0</v>
      </c>
      <c r="AD3" s="37">
        <v>2.0</v>
      </c>
      <c r="AE3" s="37">
        <v>8.0</v>
      </c>
      <c r="AF3" s="37">
        <v>2.0</v>
      </c>
      <c r="AG3" s="86">
        <f t="shared" si="1"/>
        <v>20</v>
      </c>
      <c r="AH3" s="87">
        <f t="shared" si="2"/>
        <v>114</v>
      </c>
    </row>
    <row r="4">
      <c r="A4" s="84">
        <v>3.0</v>
      </c>
      <c r="B4" s="35" t="s">
        <v>122</v>
      </c>
      <c r="C4" s="85">
        <v>4.0</v>
      </c>
      <c r="D4" s="37">
        <v>12.0</v>
      </c>
      <c r="E4" s="37">
        <v>8.0</v>
      </c>
      <c r="F4" s="37"/>
      <c r="G4" s="37">
        <v>12.0</v>
      </c>
      <c r="H4" s="37"/>
      <c r="I4" s="37"/>
      <c r="J4" s="37"/>
      <c r="K4" s="37"/>
      <c r="L4" s="37"/>
      <c r="M4" s="37">
        <v>7.0</v>
      </c>
      <c r="N4" s="37">
        <v>10.0</v>
      </c>
      <c r="O4" s="37">
        <v>5.0</v>
      </c>
      <c r="P4" s="37">
        <v>7.0</v>
      </c>
      <c r="Q4" s="37"/>
      <c r="R4" s="37"/>
      <c r="S4" s="37"/>
      <c r="T4" s="37">
        <v>4.0</v>
      </c>
      <c r="U4" s="37"/>
      <c r="V4" s="37"/>
      <c r="W4" s="37"/>
      <c r="X4" s="37">
        <v>5.0</v>
      </c>
      <c r="Y4" s="37">
        <v>8.0</v>
      </c>
      <c r="Z4" s="37">
        <v>8.0</v>
      </c>
      <c r="AA4" s="37">
        <v>12.0</v>
      </c>
      <c r="AB4" s="37"/>
      <c r="AC4" s="37"/>
      <c r="AD4" s="37"/>
      <c r="AE4" s="37"/>
      <c r="AF4" s="37"/>
      <c r="AG4" s="86">
        <f t="shared" si="1"/>
        <v>12</v>
      </c>
      <c r="AH4" s="87">
        <f t="shared" si="2"/>
        <v>98</v>
      </c>
    </row>
    <row r="5">
      <c r="A5" s="84">
        <v>4.0</v>
      </c>
      <c r="B5" s="35" t="s">
        <v>72</v>
      </c>
      <c r="C5" s="85">
        <v>3.0</v>
      </c>
      <c r="D5" s="37">
        <v>6.0</v>
      </c>
      <c r="E5" s="37">
        <v>12.0</v>
      </c>
      <c r="F5" s="37">
        <v>6.0</v>
      </c>
      <c r="G5" s="37"/>
      <c r="H5" s="37"/>
      <c r="I5" s="37"/>
      <c r="J5" s="37">
        <v>5.0</v>
      </c>
      <c r="K5" s="37">
        <v>1.0</v>
      </c>
      <c r="L5" s="37"/>
      <c r="M5" s="37"/>
      <c r="N5" s="37"/>
      <c r="O5" s="37"/>
      <c r="P5" s="37"/>
      <c r="Q5" s="37">
        <v>4.0</v>
      </c>
      <c r="R5" s="37">
        <v>4.0</v>
      </c>
      <c r="S5" s="37">
        <v>5.0</v>
      </c>
      <c r="T5" s="37"/>
      <c r="U5" s="37">
        <v>12.0</v>
      </c>
      <c r="V5" s="37">
        <v>12.0</v>
      </c>
      <c r="W5" s="37"/>
      <c r="X5" s="37"/>
      <c r="Y5" s="37">
        <v>4.0</v>
      </c>
      <c r="Z5" s="37">
        <v>3.0</v>
      </c>
      <c r="AA5" s="37">
        <v>5.0</v>
      </c>
      <c r="AB5" s="37"/>
      <c r="AC5" s="37"/>
      <c r="AD5" s="37"/>
      <c r="AE5" s="37"/>
      <c r="AF5" s="37">
        <v>10.0</v>
      </c>
      <c r="AG5" s="86">
        <f t="shared" si="1"/>
        <v>14</v>
      </c>
      <c r="AH5" s="87">
        <f t="shared" si="2"/>
        <v>89</v>
      </c>
    </row>
    <row r="6">
      <c r="A6" s="84">
        <v>5.0</v>
      </c>
      <c r="B6" s="35" t="s">
        <v>12</v>
      </c>
      <c r="C6" s="85">
        <v>1.0</v>
      </c>
      <c r="D6" s="37">
        <v>5.0</v>
      </c>
      <c r="E6" s="37"/>
      <c r="F6" s="37"/>
      <c r="G6" s="88"/>
      <c r="H6" s="37">
        <v>10.0</v>
      </c>
      <c r="I6" s="37">
        <v>8.0</v>
      </c>
      <c r="J6" s="37"/>
      <c r="K6" s="37">
        <v>10.0</v>
      </c>
      <c r="L6" s="37">
        <v>12.0</v>
      </c>
      <c r="M6" s="37"/>
      <c r="N6" s="37">
        <v>6.0</v>
      </c>
      <c r="O6" s="37">
        <v>6.0</v>
      </c>
      <c r="P6" s="37">
        <v>12.0</v>
      </c>
      <c r="Q6" s="37"/>
      <c r="R6" s="37"/>
      <c r="S6" s="37"/>
      <c r="T6" s="37">
        <v>6.0</v>
      </c>
      <c r="U6" s="37"/>
      <c r="V6" s="37">
        <v>6.0</v>
      </c>
      <c r="W6" s="37"/>
      <c r="X6" s="37"/>
      <c r="Y6" s="37"/>
      <c r="Z6" s="37"/>
      <c r="AA6" s="37"/>
      <c r="AB6" s="37">
        <v>2.0</v>
      </c>
      <c r="AC6" s="37"/>
      <c r="AD6" s="37"/>
      <c r="AE6" s="37">
        <v>6.0</v>
      </c>
      <c r="AF6" s="37"/>
      <c r="AG6" s="86">
        <f t="shared" si="1"/>
        <v>12</v>
      </c>
      <c r="AH6" s="87">
        <f t="shared" si="2"/>
        <v>89</v>
      </c>
    </row>
    <row r="7">
      <c r="A7" s="84">
        <v>6.0</v>
      </c>
      <c r="B7" s="35" t="s">
        <v>187</v>
      </c>
      <c r="C7" s="85">
        <v>5.0</v>
      </c>
      <c r="D7" s="37"/>
      <c r="E7" s="37">
        <v>4.0</v>
      </c>
      <c r="F7" s="37">
        <v>4.0</v>
      </c>
      <c r="G7" s="37">
        <v>3.0</v>
      </c>
      <c r="H7" s="37">
        <v>3.0</v>
      </c>
      <c r="I7" s="37"/>
      <c r="J7" s="37"/>
      <c r="K7" s="37"/>
      <c r="L7" s="37"/>
      <c r="M7" s="37">
        <v>1.0</v>
      </c>
      <c r="N7" s="37"/>
      <c r="O7" s="37"/>
      <c r="P7" s="37">
        <v>6.0</v>
      </c>
      <c r="Q7" s="37"/>
      <c r="R7" s="37">
        <v>12.0</v>
      </c>
      <c r="S7" s="37"/>
      <c r="T7" s="37">
        <v>10.0</v>
      </c>
      <c r="U7" s="37"/>
      <c r="V7" s="37"/>
      <c r="W7" s="37">
        <v>6.0</v>
      </c>
      <c r="X7" s="37">
        <v>2.0</v>
      </c>
      <c r="Y7" s="37">
        <v>6.0</v>
      </c>
      <c r="Z7" s="37">
        <v>10.0</v>
      </c>
      <c r="AA7" s="37"/>
      <c r="AB7" s="37"/>
      <c r="AC7" s="37">
        <v>6.0</v>
      </c>
      <c r="AD7" s="37"/>
      <c r="AE7" s="37">
        <v>5.0</v>
      </c>
      <c r="AF7" s="37">
        <v>7.0</v>
      </c>
      <c r="AG7" s="86">
        <f t="shared" si="1"/>
        <v>15</v>
      </c>
      <c r="AH7" s="87">
        <f t="shared" si="2"/>
        <v>85</v>
      </c>
    </row>
    <row r="8">
      <c r="A8" s="84">
        <v>7.0</v>
      </c>
      <c r="B8" s="35" t="s">
        <v>227</v>
      </c>
      <c r="C8" s="85">
        <v>4.0</v>
      </c>
      <c r="D8" s="37"/>
      <c r="E8" s="37"/>
      <c r="F8" s="37"/>
      <c r="G8" s="37"/>
      <c r="H8" s="37">
        <v>12.0</v>
      </c>
      <c r="I8" s="37">
        <v>12.0</v>
      </c>
      <c r="J8" s="37">
        <v>2.0</v>
      </c>
      <c r="K8" s="37">
        <v>6.0</v>
      </c>
      <c r="L8" s="37">
        <v>2.0</v>
      </c>
      <c r="M8" s="37">
        <v>5.0</v>
      </c>
      <c r="N8" s="37">
        <v>7.0</v>
      </c>
      <c r="O8" s="37">
        <v>1.0</v>
      </c>
      <c r="P8" s="37"/>
      <c r="Q8" s="37"/>
      <c r="R8" s="37"/>
      <c r="S8" s="37">
        <v>12.0</v>
      </c>
      <c r="T8" s="37"/>
      <c r="U8" s="37"/>
      <c r="V8" s="37">
        <v>3.0</v>
      </c>
      <c r="W8" s="37">
        <v>2.0</v>
      </c>
      <c r="X8" s="37">
        <v>12.0</v>
      </c>
      <c r="Y8" s="37"/>
      <c r="Z8" s="37"/>
      <c r="AA8" s="37"/>
      <c r="AB8" s="37"/>
      <c r="AC8" s="37"/>
      <c r="AD8" s="37"/>
      <c r="AE8" s="37">
        <v>7.0</v>
      </c>
      <c r="AF8" s="37"/>
      <c r="AG8" s="86">
        <f t="shared" si="1"/>
        <v>13</v>
      </c>
      <c r="AH8" s="87">
        <f t="shared" si="2"/>
        <v>83</v>
      </c>
    </row>
    <row r="9">
      <c r="A9" s="84">
        <v>8.0</v>
      </c>
      <c r="B9" s="35" t="s">
        <v>32</v>
      </c>
      <c r="C9" s="85">
        <v>4.0</v>
      </c>
      <c r="D9" s="37"/>
      <c r="E9" s="37">
        <v>2.0</v>
      </c>
      <c r="F9" s="37">
        <v>2.0</v>
      </c>
      <c r="G9" s="37">
        <v>5.0</v>
      </c>
      <c r="H9" s="37"/>
      <c r="I9" s="37">
        <v>6.0</v>
      </c>
      <c r="J9" s="37"/>
      <c r="K9" s="37"/>
      <c r="L9" s="37"/>
      <c r="M9" s="37">
        <v>4.0</v>
      </c>
      <c r="N9" s="37">
        <v>8.0</v>
      </c>
      <c r="O9" s="37"/>
      <c r="P9" s="37">
        <v>8.0</v>
      </c>
      <c r="Q9" s="37">
        <v>1.0</v>
      </c>
      <c r="R9" s="37">
        <v>2.0</v>
      </c>
      <c r="S9" s="37"/>
      <c r="T9" s="37"/>
      <c r="U9" s="37">
        <v>6.0</v>
      </c>
      <c r="V9" s="37">
        <v>5.0</v>
      </c>
      <c r="W9" s="37">
        <v>5.0</v>
      </c>
      <c r="X9" s="37">
        <v>10.0</v>
      </c>
      <c r="Y9" s="37"/>
      <c r="Z9" s="37"/>
      <c r="AA9" s="37"/>
      <c r="AB9" s="37">
        <v>4.0</v>
      </c>
      <c r="AC9" s="37">
        <v>7.0</v>
      </c>
      <c r="AD9" s="37"/>
      <c r="AE9" s="37"/>
      <c r="AF9" s="37">
        <v>6.0</v>
      </c>
      <c r="AG9" s="86">
        <f t="shared" si="1"/>
        <v>16</v>
      </c>
      <c r="AH9" s="87">
        <f t="shared" si="2"/>
        <v>81</v>
      </c>
    </row>
    <row r="10">
      <c r="A10" s="84">
        <v>9.0</v>
      </c>
      <c r="B10" s="35" t="s">
        <v>271</v>
      </c>
      <c r="C10" s="85" t="s">
        <v>53</v>
      </c>
      <c r="D10" s="37"/>
      <c r="E10" s="37"/>
      <c r="F10" s="37">
        <v>5.0</v>
      </c>
      <c r="G10" s="88"/>
      <c r="H10" s="37"/>
      <c r="I10" s="37"/>
      <c r="J10" s="37">
        <v>1.0</v>
      </c>
      <c r="K10" s="37"/>
      <c r="L10" s="37">
        <v>6.0</v>
      </c>
      <c r="M10" s="37"/>
      <c r="N10" s="37"/>
      <c r="O10" s="37"/>
      <c r="P10" s="37"/>
      <c r="Q10" s="37"/>
      <c r="R10" s="37">
        <v>5.0</v>
      </c>
      <c r="S10" s="37">
        <v>8.0</v>
      </c>
      <c r="T10" s="37">
        <v>7.0</v>
      </c>
      <c r="U10" s="37">
        <v>7.0</v>
      </c>
      <c r="V10" s="37"/>
      <c r="W10" s="37">
        <v>12.0</v>
      </c>
      <c r="X10" s="37"/>
      <c r="Y10" s="37">
        <v>1.0</v>
      </c>
      <c r="Z10" s="37"/>
      <c r="AA10" s="37"/>
      <c r="AB10" s="37">
        <v>8.0</v>
      </c>
      <c r="AC10" s="37">
        <v>1.0</v>
      </c>
      <c r="AD10" s="37">
        <v>10.0</v>
      </c>
      <c r="AE10" s="37"/>
      <c r="AF10" s="37"/>
      <c r="AG10" s="86">
        <f t="shared" si="1"/>
        <v>12</v>
      </c>
      <c r="AH10" s="87">
        <f t="shared" si="2"/>
        <v>71</v>
      </c>
    </row>
    <row r="11">
      <c r="A11" s="89">
        <v>10.0</v>
      </c>
      <c r="B11" s="90" t="s">
        <v>117</v>
      </c>
      <c r="C11" s="91">
        <v>2.0</v>
      </c>
      <c r="D11" s="92"/>
      <c r="E11" s="92"/>
      <c r="F11" s="92"/>
      <c r="G11" s="92">
        <v>4.0</v>
      </c>
      <c r="H11" s="92"/>
      <c r="I11" s="92"/>
      <c r="J11" s="92"/>
      <c r="K11" s="92"/>
      <c r="L11" s="92"/>
      <c r="M11" s="92">
        <v>10.0</v>
      </c>
      <c r="N11" s="92">
        <v>5.0</v>
      </c>
      <c r="O11" s="92">
        <v>8.0</v>
      </c>
      <c r="P11" s="92"/>
      <c r="Q11" s="92">
        <v>10.0</v>
      </c>
      <c r="R11" s="92"/>
      <c r="S11" s="92">
        <v>3.0</v>
      </c>
      <c r="T11" s="92"/>
      <c r="U11" s="92">
        <v>1.0</v>
      </c>
      <c r="V11" s="92">
        <v>10.0</v>
      </c>
      <c r="W11" s="92"/>
      <c r="X11" s="92"/>
      <c r="Y11" s="92">
        <v>10.0</v>
      </c>
      <c r="Z11" s="92">
        <v>1.0</v>
      </c>
      <c r="AA11" s="92"/>
      <c r="AB11" s="92"/>
      <c r="AC11" s="92"/>
      <c r="AD11" s="92"/>
      <c r="AE11" s="92"/>
      <c r="AF11" s="92">
        <v>5.0</v>
      </c>
      <c r="AG11" s="93">
        <f t="shared" si="1"/>
        <v>11</v>
      </c>
      <c r="AH11" s="94">
        <f t="shared" si="2"/>
        <v>67</v>
      </c>
    </row>
    <row r="12">
      <c r="A12" s="59">
        <v>11.0</v>
      </c>
      <c r="B12" s="59" t="s">
        <v>37</v>
      </c>
      <c r="C12" s="95">
        <v>6.0</v>
      </c>
      <c r="D12" s="63"/>
      <c r="E12" s="63">
        <v>5.0</v>
      </c>
      <c r="F12" s="63">
        <v>12.0</v>
      </c>
      <c r="G12" s="63">
        <v>2.0</v>
      </c>
      <c r="H12" s="63"/>
      <c r="I12" s="63"/>
      <c r="J12" s="63">
        <v>10.0</v>
      </c>
      <c r="K12" s="63">
        <v>3.0</v>
      </c>
      <c r="L12" s="63">
        <v>10.0</v>
      </c>
      <c r="M12" s="63"/>
      <c r="N12" s="63"/>
      <c r="O12" s="63"/>
      <c r="P12" s="63">
        <v>3.0</v>
      </c>
      <c r="Q12" s="63"/>
      <c r="R12" s="63"/>
      <c r="S12" s="63">
        <v>1.0</v>
      </c>
      <c r="T12" s="63">
        <v>5.0</v>
      </c>
      <c r="U12" s="63"/>
      <c r="V12" s="63"/>
      <c r="W12" s="63"/>
      <c r="X12" s="63">
        <v>3.0</v>
      </c>
      <c r="Y12" s="63"/>
      <c r="Z12" s="63">
        <v>6.0</v>
      </c>
      <c r="AA12" s="63"/>
      <c r="AB12" s="63"/>
      <c r="AC12" s="63"/>
      <c r="AD12" s="63"/>
      <c r="AE12" s="63"/>
      <c r="AF12" s="63"/>
      <c r="AG12" s="96">
        <f t="shared" si="1"/>
        <v>11</v>
      </c>
      <c r="AH12" s="63">
        <f t="shared" si="2"/>
        <v>60</v>
      </c>
    </row>
    <row r="13">
      <c r="A13" s="59">
        <v>12.0</v>
      </c>
      <c r="B13" s="59" t="s">
        <v>162</v>
      </c>
      <c r="C13" s="95">
        <v>5.0</v>
      </c>
      <c r="D13" s="63">
        <v>2.0</v>
      </c>
      <c r="E13" s="63"/>
      <c r="F13" s="63"/>
      <c r="G13" s="63"/>
      <c r="H13" s="63">
        <v>8.0</v>
      </c>
      <c r="I13" s="63"/>
      <c r="J13" s="63"/>
      <c r="K13" s="63"/>
      <c r="L13" s="63">
        <v>8.0</v>
      </c>
      <c r="M13" s="63"/>
      <c r="N13" s="63"/>
      <c r="O13" s="63"/>
      <c r="P13" s="63"/>
      <c r="Q13" s="63"/>
      <c r="R13" s="63">
        <v>3.0</v>
      </c>
      <c r="S13" s="63"/>
      <c r="T13" s="63">
        <v>1.0</v>
      </c>
      <c r="U13" s="63"/>
      <c r="V13" s="63"/>
      <c r="W13" s="63">
        <v>10.0</v>
      </c>
      <c r="X13" s="63">
        <v>6.0</v>
      </c>
      <c r="Y13" s="63"/>
      <c r="Z13" s="63"/>
      <c r="AA13" s="63"/>
      <c r="AB13" s="63">
        <v>12.0</v>
      </c>
      <c r="AC13" s="63">
        <v>4.0</v>
      </c>
      <c r="AD13" s="63">
        <v>5.0</v>
      </c>
      <c r="AE13" s="63">
        <v>1.0</v>
      </c>
      <c r="AF13" s="63"/>
      <c r="AG13" s="96">
        <f t="shared" si="1"/>
        <v>11</v>
      </c>
      <c r="AH13" s="63">
        <f t="shared" si="2"/>
        <v>60</v>
      </c>
    </row>
    <row r="14">
      <c r="A14" s="97">
        <v>13.0</v>
      </c>
      <c r="B14" s="98" t="s">
        <v>261</v>
      </c>
      <c r="C14" s="99">
        <v>3.0</v>
      </c>
      <c r="D14" s="100"/>
      <c r="E14" s="100"/>
      <c r="F14" s="100">
        <v>1.0</v>
      </c>
      <c r="G14" s="100"/>
      <c r="H14" s="100"/>
      <c r="I14" s="100"/>
      <c r="J14" s="100"/>
      <c r="K14" s="100">
        <v>7.0</v>
      </c>
      <c r="L14" s="100"/>
      <c r="M14" s="100"/>
      <c r="N14" s="100">
        <v>2.0</v>
      </c>
      <c r="O14" s="100"/>
      <c r="P14" s="100">
        <v>1.0</v>
      </c>
      <c r="Q14" s="100"/>
      <c r="R14" s="100">
        <v>7.0</v>
      </c>
      <c r="S14" s="100"/>
      <c r="T14" s="100"/>
      <c r="U14" s="100"/>
      <c r="V14" s="100">
        <v>4.0</v>
      </c>
      <c r="W14" s="100">
        <v>8.0</v>
      </c>
      <c r="X14" s="100"/>
      <c r="Y14" s="100"/>
      <c r="Z14" s="100"/>
      <c r="AA14" s="100">
        <v>4.0</v>
      </c>
      <c r="AB14" s="100">
        <v>6.0</v>
      </c>
      <c r="AC14" s="100"/>
      <c r="AD14" s="100">
        <v>6.0</v>
      </c>
      <c r="AE14" s="100">
        <v>12.0</v>
      </c>
      <c r="AF14" s="100"/>
      <c r="AG14" s="101">
        <f t="shared" si="1"/>
        <v>11</v>
      </c>
      <c r="AH14" s="70">
        <f t="shared" si="2"/>
        <v>58</v>
      </c>
    </row>
    <row r="15">
      <c r="A15" s="59">
        <v>14.0</v>
      </c>
      <c r="B15" s="59" t="s">
        <v>107</v>
      </c>
      <c r="C15" s="95">
        <v>2.0</v>
      </c>
      <c r="D15" s="63"/>
      <c r="E15" s="63"/>
      <c r="F15" s="63"/>
      <c r="G15" s="63">
        <v>10.0</v>
      </c>
      <c r="H15" s="63">
        <v>4.0</v>
      </c>
      <c r="I15" s="63">
        <v>3.0</v>
      </c>
      <c r="J15" s="63"/>
      <c r="K15" s="63">
        <v>2.0</v>
      </c>
      <c r="L15" s="63"/>
      <c r="M15" s="63"/>
      <c r="N15" s="63"/>
      <c r="O15" s="63">
        <v>10.0</v>
      </c>
      <c r="P15" s="63">
        <v>10.0</v>
      </c>
      <c r="Q15" s="63">
        <v>6.0</v>
      </c>
      <c r="R15" s="63"/>
      <c r="S15" s="63"/>
      <c r="T15" s="63"/>
      <c r="U15" s="63"/>
      <c r="V15" s="63"/>
      <c r="W15" s="63"/>
      <c r="X15" s="63"/>
      <c r="Y15" s="63"/>
      <c r="Z15" s="63"/>
      <c r="AA15" s="63">
        <v>7.0</v>
      </c>
      <c r="AB15" s="63"/>
      <c r="AC15" s="63"/>
      <c r="AD15" s="63">
        <v>3.0</v>
      </c>
      <c r="AE15" s="63"/>
      <c r="AF15" s="63"/>
      <c r="AG15" s="96">
        <f t="shared" si="1"/>
        <v>9</v>
      </c>
      <c r="AH15" s="62">
        <f t="shared" si="2"/>
        <v>55</v>
      </c>
    </row>
    <row r="16">
      <c r="A16" s="59">
        <v>15.0</v>
      </c>
      <c r="B16" s="59" t="s">
        <v>47</v>
      </c>
      <c r="C16" s="95">
        <v>3.0</v>
      </c>
      <c r="D16" s="63"/>
      <c r="E16" s="63"/>
      <c r="F16" s="63"/>
      <c r="G16" s="63"/>
      <c r="H16" s="63">
        <v>5.0</v>
      </c>
      <c r="I16" s="63">
        <v>7.0</v>
      </c>
      <c r="J16" s="63">
        <v>7.0</v>
      </c>
      <c r="K16" s="63"/>
      <c r="L16" s="63"/>
      <c r="M16" s="63">
        <v>8.0</v>
      </c>
      <c r="N16" s="63">
        <v>12.0</v>
      </c>
      <c r="O16" s="63">
        <v>4.0</v>
      </c>
      <c r="P16" s="63"/>
      <c r="Q16" s="63"/>
      <c r="R16" s="63"/>
      <c r="S16" s="63"/>
      <c r="T16" s="63"/>
      <c r="U16" s="63"/>
      <c r="V16" s="63"/>
      <c r="W16" s="63"/>
      <c r="X16" s="63"/>
      <c r="Y16" s="63">
        <v>3.0</v>
      </c>
      <c r="Z16" s="63"/>
      <c r="AA16" s="63">
        <v>6.0</v>
      </c>
      <c r="AB16" s="63"/>
      <c r="AC16" s="63"/>
      <c r="AD16" s="63"/>
      <c r="AE16" s="63">
        <v>3.0</v>
      </c>
      <c r="AF16" s="63"/>
      <c r="AG16" s="96">
        <f t="shared" si="1"/>
        <v>9</v>
      </c>
      <c r="AH16" s="62">
        <f t="shared" si="2"/>
        <v>55</v>
      </c>
    </row>
    <row r="17">
      <c r="A17" s="59">
        <v>16.0</v>
      </c>
      <c r="B17" s="59" t="s">
        <v>276</v>
      </c>
      <c r="C17" s="95">
        <v>3.0</v>
      </c>
      <c r="D17" s="63"/>
      <c r="E17" s="63">
        <v>1.0</v>
      </c>
      <c r="F17" s="63"/>
      <c r="G17" s="63"/>
      <c r="H17" s="63"/>
      <c r="I17" s="63"/>
      <c r="J17" s="63">
        <v>3.0</v>
      </c>
      <c r="K17" s="63">
        <v>12.0</v>
      </c>
      <c r="L17" s="63"/>
      <c r="M17" s="63"/>
      <c r="N17" s="63"/>
      <c r="O17" s="63">
        <v>7.0</v>
      </c>
      <c r="P17" s="63"/>
      <c r="Q17" s="63">
        <v>8.0</v>
      </c>
      <c r="R17" s="63">
        <v>6.0</v>
      </c>
      <c r="S17" s="63"/>
      <c r="T17" s="63"/>
      <c r="U17" s="63">
        <v>10.0</v>
      </c>
      <c r="V17" s="63">
        <v>2.0</v>
      </c>
      <c r="W17" s="63"/>
      <c r="X17" s="63"/>
      <c r="Y17" s="63"/>
      <c r="Z17" s="63">
        <v>5.0</v>
      </c>
      <c r="AA17" s="63"/>
      <c r="AB17" s="63"/>
      <c r="AC17" s="63"/>
      <c r="AD17" s="63"/>
      <c r="AE17" s="63"/>
      <c r="AF17" s="63"/>
      <c r="AG17" s="96">
        <f t="shared" si="1"/>
        <v>9</v>
      </c>
      <c r="AH17" s="62">
        <f t="shared" si="2"/>
        <v>54</v>
      </c>
    </row>
    <row r="18">
      <c r="A18" s="59">
        <v>17.0</v>
      </c>
      <c r="B18" s="59" t="s">
        <v>137</v>
      </c>
      <c r="C18" s="95">
        <v>1.0</v>
      </c>
      <c r="D18" s="63">
        <v>7.0</v>
      </c>
      <c r="E18" s="63"/>
      <c r="F18" s="63">
        <v>10.0</v>
      </c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>
        <v>6.0</v>
      </c>
      <c r="T18" s="63"/>
      <c r="U18" s="63">
        <v>5.0</v>
      </c>
      <c r="V18" s="63">
        <v>1.0</v>
      </c>
      <c r="W18" s="63">
        <v>7.0</v>
      </c>
      <c r="X18" s="63"/>
      <c r="Y18" s="63"/>
      <c r="Z18" s="63">
        <v>7.0</v>
      </c>
      <c r="AA18" s="63"/>
      <c r="AB18" s="63"/>
      <c r="AC18" s="63">
        <v>2.0</v>
      </c>
      <c r="AD18" s="63">
        <v>4.0</v>
      </c>
      <c r="AE18" s="63"/>
      <c r="AF18" s="63">
        <v>4.0</v>
      </c>
      <c r="AG18" s="96">
        <f t="shared" si="1"/>
        <v>10</v>
      </c>
      <c r="AH18" s="62">
        <f t="shared" si="2"/>
        <v>53</v>
      </c>
    </row>
    <row r="19">
      <c r="A19" s="59">
        <v>18.0</v>
      </c>
      <c r="B19" s="59" t="s">
        <v>97</v>
      </c>
      <c r="C19" s="95">
        <v>3.0</v>
      </c>
      <c r="D19" s="63"/>
      <c r="E19" s="63"/>
      <c r="F19" s="63"/>
      <c r="G19" s="63">
        <v>6.0</v>
      </c>
      <c r="H19" s="63">
        <v>1.0</v>
      </c>
      <c r="I19" s="63"/>
      <c r="J19" s="63">
        <v>6.0</v>
      </c>
      <c r="K19" s="63"/>
      <c r="L19" s="63">
        <v>7.0</v>
      </c>
      <c r="M19" s="63"/>
      <c r="N19" s="63"/>
      <c r="O19" s="63"/>
      <c r="P19" s="63">
        <v>2.0</v>
      </c>
      <c r="Q19" s="63"/>
      <c r="R19" s="63">
        <v>8.0</v>
      </c>
      <c r="S19" s="63">
        <v>2.0</v>
      </c>
      <c r="T19" s="63"/>
      <c r="U19" s="63"/>
      <c r="V19" s="63"/>
      <c r="W19" s="63"/>
      <c r="X19" s="63">
        <v>1.0</v>
      </c>
      <c r="Y19" s="63"/>
      <c r="Z19" s="63"/>
      <c r="AA19" s="63"/>
      <c r="AB19" s="63">
        <v>3.0</v>
      </c>
      <c r="AC19" s="63"/>
      <c r="AD19" s="63"/>
      <c r="AE19" s="63">
        <v>4.0</v>
      </c>
      <c r="AF19" s="63">
        <v>12.0</v>
      </c>
      <c r="AG19" s="96">
        <f t="shared" si="1"/>
        <v>11</v>
      </c>
      <c r="AH19" s="62">
        <f t="shared" si="2"/>
        <v>52</v>
      </c>
    </row>
    <row r="20">
      <c r="A20" s="59">
        <v>19.0</v>
      </c>
      <c r="B20" s="59" t="s">
        <v>246</v>
      </c>
      <c r="C20" s="95">
        <v>2.0</v>
      </c>
      <c r="D20" s="63">
        <v>10.0</v>
      </c>
      <c r="E20" s="63">
        <v>6.0</v>
      </c>
      <c r="F20" s="63"/>
      <c r="G20" s="63"/>
      <c r="H20" s="63"/>
      <c r="I20" s="63"/>
      <c r="J20" s="63"/>
      <c r="K20" s="63">
        <v>8.0</v>
      </c>
      <c r="L20" s="63"/>
      <c r="M20" s="63">
        <v>3.0</v>
      </c>
      <c r="N20" s="63">
        <v>1.0</v>
      </c>
      <c r="O20" s="63"/>
      <c r="P20" s="63"/>
      <c r="Q20" s="63">
        <v>12.0</v>
      </c>
      <c r="R20" s="63"/>
      <c r="S20" s="63"/>
      <c r="T20" s="63"/>
      <c r="U20" s="63"/>
      <c r="V20" s="63"/>
      <c r="W20" s="63">
        <v>4.0</v>
      </c>
      <c r="X20" s="63"/>
      <c r="Y20" s="63"/>
      <c r="Z20" s="63"/>
      <c r="AA20" s="63"/>
      <c r="AB20" s="63">
        <v>7.0</v>
      </c>
      <c r="AC20" s="63"/>
      <c r="AD20" s="63"/>
      <c r="AE20" s="63"/>
      <c r="AF20" s="63"/>
      <c r="AG20" s="96">
        <f t="shared" si="1"/>
        <v>8</v>
      </c>
      <c r="AH20" s="62">
        <f t="shared" si="2"/>
        <v>51</v>
      </c>
    </row>
    <row r="21">
      <c r="A21" s="59">
        <v>20.0</v>
      </c>
      <c r="B21" s="59" t="s">
        <v>256</v>
      </c>
      <c r="C21" s="95">
        <v>6.0</v>
      </c>
      <c r="D21" s="63">
        <v>1.0</v>
      </c>
      <c r="E21" s="63"/>
      <c r="F21" s="63">
        <v>3.0</v>
      </c>
      <c r="G21" s="63"/>
      <c r="H21" s="63">
        <v>2.0</v>
      </c>
      <c r="I21" s="63"/>
      <c r="J21" s="63"/>
      <c r="K21" s="63"/>
      <c r="L21" s="63">
        <v>3.0</v>
      </c>
      <c r="M21" s="63"/>
      <c r="N21" s="63"/>
      <c r="O21" s="63"/>
      <c r="P21" s="63"/>
      <c r="Q21" s="63"/>
      <c r="R21" s="63"/>
      <c r="S21" s="63">
        <v>10.0</v>
      </c>
      <c r="T21" s="63">
        <v>2.0</v>
      </c>
      <c r="U21" s="63">
        <v>4.0</v>
      </c>
      <c r="V21" s="63">
        <v>7.0</v>
      </c>
      <c r="W21" s="63"/>
      <c r="X21" s="63"/>
      <c r="Y21" s="63"/>
      <c r="Z21" s="63"/>
      <c r="AA21" s="63">
        <v>1.0</v>
      </c>
      <c r="AB21" s="63"/>
      <c r="AC21" s="63">
        <v>10.0</v>
      </c>
      <c r="AD21" s="63"/>
      <c r="AE21" s="63"/>
      <c r="AF21" s="63">
        <v>8.0</v>
      </c>
      <c r="AG21" s="96">
        <f t="shared" si="1"/>
        <v>11</v>
      </c>
      <c r="AH21" s="62">
        <f t="shared" si="2"/>
        <v>51</v>
      </c>
    </row>
    <row r="22">
      <c r="A22" s="59">
        <v>21.0</v>
      </c>
      <c r="B22" s="59" t="s">
        <v>58</v>
      </c>
      <c r="C22" s="95">
        <v>4.0</v>
      </c>
      <c r="D22" s="63"/>
      <c r="E22" s="63"/>
      <c r="F22" s="63"/>
      <c r="G22" s="63">
        <v>1.0</v>
      </c>
      <c r="H22" s="63">
        <v>7.0</v>
      </c>
      <c r="I22" s="63">
        <v>5.0</v>
      </c>
      <c r="J22" s="63">
        <v>8.0</v>
      </c>
      <c r="K22" s="63"/>
      <c r="L22" s="63"/>
      <c r="M22" s="63">
        <v>2.0</v>
      </c>
      <c r="N22" s="63"/>
      <c r="O22" s="63"/>
      <c r="P22" s="63"/>
      <c r="Q22" s="63"/>
      <c r="R22" s="63">
        <v>1.0</v>
      </c>
      <c r="S22" s="63"/>
      <c r="T22" s="63">
        <v>8.0</v>
      </c>
      <c r="U22" s="63">
        <v>3.0</v>
      </c>
      <c r="V22" s="63"/>
      <c r="W22" s="63"/>
      <c r="X22" s="63"/>
      <c r="Y22" s="63"/>
      <c r="Z22" s="63"/>
      <c r="AA22" s="63">
        <v>2.0</v>
      </c>
      <c r="AB22" s="63"/>
      <c r="AC22" s="63"/>
      <c r="AD22" s="63">
        <v>8.0</v>
      </c>
      <c r="AE22" s="63">
        <v>2.0</v>
      </c>
      <c r="AF22" s="63"/>
      <c r="AG22" s="96">
        <f t="shared" si="1"/>
        <v>11</v>
      </c>
      <c r="AH22" s="62">
        <f t="shared" si="2"/>
        <v>47</v>
      </c>
    </row>
    <row r="23">
      <c r="A23" s="59">
        <v>22.0</v>
      </c>
      <c r="B23" s="59" t="s">
        <v>202</v>
      </c>
      <c r="C23" s="95">
        <v>5.0</v>
      </c>
      <c r="D23" s="63">
        <v>4.0</v>
      </c>
      <c r="E23" s="63">
        <v>3.0</v>
      </c>
      <c r="F23" s="63"/>
      <c r="G23" s="63">
        <v>7.0</v>
      </c>
      <c r="H23" s="63"/>
      <c r="I23" s="63"/>
      <c r="J23" s="63"/>
      <c r="K23" s="63"/>
      <c r="L23" s="63"/>
      <c r="M23" s="63">
        <v>12.0</v>
      </c>
      <c r="N23" s="63"/>
      <c r="O23" s="63"/>
      <c r="P23" s="63"/>
      <c r="Q23" s="63">
        <v>3.0</v>
      </c>
      <c r="R23" s="63"/>
      <c r="S23" s="63"/>
      <c r="T23" s="63"/>
      <c r="U23" s="63"/>
      <c r="V23" s="63"/>
      <c r="W23" s="63"/>
      <c r="X23" s="63"/>
      <c r="Y23" s="63">
        <v>7.0</v>
      </c>
      <c r="Z23" s="63"/>
      <c r="AA23" s="63">
        <v>8.0</v>
      </c>
      <c r="AB23" s="63"/>
      <c r="AC23" s="63"/>
      <c r="AD23" s="63"/>
      <c r="AE23" s="63"/>
      <c r="AF23" s="63"/>
      <c r="AG23" s="96">
        <f t="shared" si="1"/>
        <v>7</v>
      </c>
      <c r="AH23" s="62">
        <f t="shared" si="2"/>
        <v>44</v>
      </c>
    </row>
    <row r="24">
      <c r="A24" s="59">
        <v>23.0</v>
      </c>
      <c r="B24" s="59" t="s">
        <v>147</v>
      </c>
      <c r="C24" s="95">
        <v>6.0</v>
      </c>
      <c r="D24" s="63"/>
      <c r="E24" s="63">
        <v>7.0</v>
      </c>
      <c r="F24" s="63">
        <v>7.0</v>
      </c>
      <c r="G24" s="63"/>
      <c r="H24" s="63"/>
      <c r="I24" s="63">
        <v>10.0</v>
      </c>
      <c r="J24" s="63"/>
      <c r="K24" s="63"/>
      <c r="L24" s="63"/>
      <c r="M24" s="63"/>
      <c r="N24" s="63">
        <v>3.0</v>
      </c>
      <c r="O24" s="63">
        <v>3.0</v>
      </c>
      <c r="P24" s="63"/>
      <c r="Q24" s="63">
        <v>2.0</v>
      </c>
      <c r="R24" s="63"/>
      <c r="S24" s="63"/>
      <c r="T24" s="63"/>
      <c r="U24" s="63"/>
      <c r="V24" s="63"/>
      <c r="W24" s="63"/>
      <c r="X24" s="63"/>
      <c r="Y24" s="63">
        <v>5.0</v>
      </c>
      <c r="Z24" s="63"/>
      <c r="AA24" s="63">
        <v>3.0</v>
      </c>
      <c r="AB24" s="63"/>
      <c r="AC24" s="63"/>
      <c r="AD24" s="63"/>
      <c r="AE24" s="63"/>
      <c r="AF24" s="63">
        <v>3.0</v>
      </c>
      <c r="AG24" s="96">
        <f t="shared" si="1"/>
        <v>9</v>
      </c>
      <c r="AH24" s="62">
        <f t="shared" si="2"/>
        <v>43</v>
      </c>
    </row>
    <row r="25">
      <c r="A25" s="59">
        <v>24.0</v>
      </c>
      <c r="B25" s="59" t="s">
        <v>343</v>
      </c>
      <c r="C25" s="95">
        <v>5.0</v>
      </c>
      <c r="D25" s="63"/>
      <c r="E25" s="63"/>
      <c r="F25" s="63"/>
      <c r="G25" s="63"/>
      <c r="H25" s="63"/>
      <c r="I25" s="63"/>
      <c r="J25" s="63"/>
      <c r="K25" s="63"/>
      <c r="L25" s="63">
        <v>1.0</v>
      </c>
      <c r="M25" s="63"/>
      <c r="N25" s="63"/>
      <c r="O25" s="63"/>
      <c r="P25" s="63">
        <v>4.0</v>
      </c>
      <c r="Q25" s="63">
        <v>5.0</v>
      </c>
      <c r="R25" s="63"/>
      <c r="S25" s="63"/>
      <c r="T25" s="63"/>
      <c r="U25" s="63"/>
      <c r="V25" s="63"/>
      <c r="W25" s="63"/>
      <c r="X25" s="63"/>
      <c r="Y25" s="63">
        <v>2.0</v>
      </c>
      <c r="Z25" s="63">
        <v>4.0</v>
      </c>
      <c r="AA25" s="63"/>
      <c r="AB25" s="63">
        <v>1.0</v>
      </c>
      <c r="AC25" s="63">
        <v>12.0</v>
      </c>
      <c r="AD25" s="63">
        <v>12.0</v>
      </c>
      <c r="AE25" s="63"/>
      <c r="AF25" s="63">
        <v>1.0</v>
      </c>
      <c r="AG25" s="96">
        <f t="shared" si="1"/>
        <v>9</v>
      </c>
      <c r="AH25" s="62">
        <f t="shared" si="2"/>
        <v>42</v>
      </c>
    </row>
    <row r="26">
      <c r="A26" s="59">
        <v>25.0</v>
      </c>
      <c r="B26" s="59" t="s">
        <v>232</v>
      </c>
      <c r="C26" s="95">
        <v>4.0</v>
      </c>
      <c r="D26" s="63">
        <v>8.0</v>
      </c>
      <c r="E26" s="63">
        <v>10.0</v>
      </c>
      <c r="F26" s="63"/>
      <c r="G26" s="63"/>
      <c r="H26" s="63"/>
      <c r="I26" s="63">
        <v>2.0</v>
      </c>
      <c r="J26" s="63">
        <v>4.0</v>
      </c>
      <c r="K26" s="63"/>
      <c r="L26" s="63">
        <v>5.0</v>
      </c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>
        <v>1.0</v>
      </c>
      <c r="X26" s="63">
        <v>4.0</v>
      </c>
      <c r="Y26" s="63"/>
      <c r="Z26" s="63"/>
      <c r="AA26" s="63"/>
      <c r="AB26" s="63"/>
      <c r="AC26" s="63"/>
      <c r="AD26" s="63">
        <v>1.0</v>
      </c>
      <c r="AE26" s="63"/>
      <c r="AF26" s="63"/>
      <c r="AG26" s="96">
        <f t="shared" si="1"/>
        <v>8</v>
      </c>
      <c r="AH26" s="62">
        <f t="shared" si="2"/>
        <v>35</v>
      </c>
    </row>
    <row r="27">
      <c r="A27" s="59">
        <v>26.0</v>
      </c>
      <c r="B27" s="59" t="s">
        <v>52</v>
      </c>
      <c r="C27" s="95">
        <v>3.0</v>
      </c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>
        <v>3.0</v>
      </c>
      <c r="U27" s="63"/>
      <c r="V27" s="63"/>
      <c r="W27" s="63"/>
      <c r="X27" s="63"/>
      <c r="Y27" s="63"/>
      <c r="Z27" s="63">
        <v>2.0</v>
      </c>
      <c r="AA27" s="63"/>
      <c r="AB27" s="63">
        <v>10.0</v>
      </c>
      <c r="AC27" s="63">
        <v>8.0</v>
      </c>
      <c r="AD27" s="63">
        <v>7.0</v>
      </c>
      <c r="AE27" s="63"/>
      <c r="AF27" s="63"/>
      <c r="AG27" s="96">
        <f t="shared" si="1"/>
        <v>5</v>
      </c>
      <c r="AH27" s="62">
        <f t="shared" si="2"/>
        <v>30</v>
      </c>
    </row>
    <row r="28">
      <c r="A28" s="59"/>
      <c r="B28" s="59"/>
      <c r="C28" s="95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96"/>
      <c r="AH28" s="62"/>
    </row>
    <row r="29">
      <c r="C29" s="42"/>
      <c r="AG29" s="55"/>
    </row>
    <row r="30">
      <c r="C30" s="42"/>
      <c r="M30" s="4"/>
      <c r="AG30" s="55"/>
    </row>
    <row r="31">
      <c r="C31" s="42"/>
      <c r="K31" s="4"/>
      <c r="M31" s="4"/>
      <c r="O31" s="4"/>
      <c r="AG31" s="55"/>
    </row>
    <row r="32">
      <c r="C32" s="42"/>
      <c r="K32" s="4"/>
      <c r="M32" s="4"/>
      <c r="O32" s="4"/>
      <c r="AG32" s="55"/>
    </row>
    <row r="33">
      <c r="C33" s="102"/>
      <c r="G33" s="4"/>
      <c r="H33" s="4"/>
      <c r="K33" s="4"/>
      <c r="L33" s="4"/>
      <c r="M33" s="4"/>
      <c r="O33" s="4"/>
      <c r="P33" s="4"/>
      <c r="AG33" s="55"/>
    </row>
    <row r="34">
      <c r="C34" s="102"/>
      <c r="G34" s="4"/>
      <c r="H34" s="4"/>
      <c r="K34" s="4"/>
      <c r="L34" s="4"/>
      <c r="M34" s="4"/>
      <c r="O34" s="4"/>
      <c r="P34" s="4"/>
      <c r="AG34" s="55"/>
    </row>
    <row r="35">
      <c r="C35" s="102"/>
      <c r="G35" s="4"/>
      <c r="H35" s="4"/>
      <c r="K35" s="4"/>
      <c r="L35" s="4"/>
      <c r="M35" s="4"/>
      <c r="O35" s="4"/>
      <c r="P35" s="4"/>
      <c r="AG35" s="55"/>
    </row>
    <row r="36">
      <c r="C36" s="102"/>
      <c r="G36" s="4"/>
      <c r="H36" s="4"/>
      <c r="K36" s="4"/>
      <c r="L36" s="4"/>
      <c r="M36" s="4"/>
      <c r="O36" s="4"/>
      <c r="P36" s="4"/>
      <c r="AG36" s="55"/>
    </row>
    <row r="37">
      <c r="C37" s="102"/>
      <c r="G37" s="4"/>
      <c r="H37" s="4"/>
      <c r="K37" s="4"/>
      <c r="L37" s="4"/>
      <c r="M37" s="4"/>
      <c r="O37" s="4"/>
      <c r="P37" s="4"/>
      <c r="AG37" s="55"/>
    </row>
    <row r="38">
      <c r="C38" s="102"/>
      <c r="G38" s="4"/>
      <c r="H38" s="4"/>
      <c r="K38" s="4"/>
      <c r="L38" s="4"/>
      <c r="M38" s="4"/>
      <c r="O38" s="4"/>
      <c r="P38" s="4"/>
      <c r="AG38" s="55"/>
    </row>
    <row r="39">
      <c r="C39" s="102"/>
      <c r="G39" s="4"/>
      <c r="H39" s="4"/>
      <c r="K39" s="4"/>
      <c r="L39" s="4"/>
      <c r="M39" s="4"/>
      <c r="O39" s="4"/>
      <c r="P39" s="4"/>
      <c r="AG39" s="55"/>
    </row>
    <row r="40">
      <c r="C40" s="102"/>
      <c r="G40" s="4"/>
      <c r="H40" s="4"/>
      <c r="K40" s="4"/>
      <c r="L40" s="4"/>
      <c r="O40" s="4"/>
      <c r="P40" s="4"/>
      <c r="AG40" s="55"/>
    </row>
    <row r="41">
      <c r="C41" s="102"/>
      <c r="G41" s="4"/>
      <c r="H41" s="4"/>
      <c r="L41" s="4"/>
      <c r="P41" s="4"/>
      <c r="AG41" s="55"/>
    </row>
    <row r="42">
      <c r="C42" s="102"/>
      <c r="G42" s="4"/>
      <c r="H42" s="4"/>
      <c r="L42" s="4"/>
      <c r="P42" s="4"/>
      <c r="AG42" s="55"/>
    </row>
    <row r="43">
      <c r="C43" s="102"/>
      <c r="AG43" s="55"/>
    </row>
    <row r="44">
      <c r="C44" s="102"/>
      <c r="AG44" s="55"/>
    </row>
    <row r="45">
      <c r="C45" s="102"/>
      <c r="AG45" s="55"/>
    </row>
    <row r="46">
      <c r="C46" s="102"/>
      <c r="AG46" s="55"/>
    </row>
    <row r="47">
      <c r="C47" s="102"/>
      <c r="AG47" s="55"/>
    </row>
    <row r="48">
      <c r="C48" s="102"/>
      <c r="AG48" s="55"/>
    </row>
    <row r="49">
      <c r="C49" s="102"/>
      <c r="AG49" s="55"/>
    </row>
    <row r="50">
      <c r="C50" s="102"/>
      <c r="AG50" s="55"/>
    </row>
    <row r="51">
      <c r="C51" s="102"/>
      <c r="AG51" s="55"/>
    </row>
    <row r="52">
      <c r="C52" s="102"/>
      <c r="AG52" s="55"/>
    </row>
    <row r="53">
      <c r="C53" s="102"/>
      <c r="AG53" s="55"/>
    </row>
    <row r="54">
      <c r="C54" s="102"/>
      <c r="AG54" s="55"/>
    </row>
    <row r="55">
      <c r="C55" s="102"/>
      <c r="AG55" s="55"/>
    </row>
    <row r="56">
      <c r="C56" s="102"/>
      <c r="AG56" s="55"/>
    </row>
    <row r="57">
      <c r="C57" s="102"/>
      <c r="AG57" s="55"/>
    </row>
    <row r="58">
      <c r="C58" s="102"/>
      <c r="AG58" s="55"/>
    </row>
    <row r="59">
      <c r="C59" s="102"/>
      <c r="AG59" s="55"/>
    </row>
    <row r="60">
      <c r="C60" s="102"/>
      <c r="AG60" s="55"/>
    </row>
    <row r="61">
      <c r="C61" s="102"/>
      <c r="AG61" s="55"/>
    </row>
    <row r="62">
      <c r="C62" s="102"/>
      <c r="AG62" s="55"/>
    </row>
    <row r="63">
      <c r="C63" s="102"/>
      <c r="AG63" s="55"/>
    </row>
    <row r="64">
      <c r="C64" s="102"/>
      <c r="AG64" s="55"/>
    </row>
    <row r="65">
      <c r="C65" s="102"/>
      <c r="AG65" s="55"/>
    </row>
    <row r="66">
      <c r="C66" s="102"/>
      <c r="AG66" s="55"/>
    </row>
    <row r="67">
      <c r="C67" s="102"/>
      <c r="AG67" s="55"/>
    </row>
    <row r="68">
      <c r="C68" s="102"/>
      <c r="AG68" s="55"/>
    </row>
    <row r="69">
      <c r="C69" s="102"/>
      <c r="AG69" s="55"/>
    </row>
    <row r="70">
      <c r="C70" s="102"/>
      <c r="AG70" s="55"/>
    </row>
    <row r="71">
      <c r="C71" s="102"/>
      <c r="AG71" s="55"/>
    </row>
    <row r="72">
      <c r="C72" s="102"/>
      <c r="AG72" s="55"/>
    </row>
    <row r="73">
      <c r="C73" s="102"/>
      <c r="AG73" s="55"/>
    </row>
    <row r="74">
      <c r="C74" s="102"/>
      <c r="AG74" s="55"/>
    </row>
    <row r="75">
      <c r="C75" s="102"/>
      <c r="AG75" s="55"/>
    </row>
    <row r="76">
      <c r="C76" s="102"/>
      <c r="AG76" s="55"/>
    </row>
    <row r="77">
      <c r="C77" s="102"/>
      <c r="AG77" s="55"/>
    </row>
    <row r="78">
      <c r="C78" s="102"/>
      <c r="AG78" s="55"/>
    </row>
    <row r="79">
      <c r="C79" s="102"/>
      <c r="AG79" s="55"/>
    </row>
    <row r="80">
      <c r="C80" s="102"/>
      <c r="AG80" s="55"/>
    </row>
    <row r="81">
      <c r="C81" s="102"/>
      <c r="AG81" s="55"/>
    </row>
    <row r="82">
      <c r="C82" s="102"/>
      <c r="AG82" s="55"/>
    </row>
    <row r="83">
      <c r="C83" s="102"/>
      <c r="AG83" s="55"/>
    </row>
    <row r="84">
      <c r="C84" s="102"/>
      <c r="AG84" s="55"/>
    </row>
    <row r="85">
      <c r="C85" s="102"/>
      <c r="AG85" s="55"/>
    </row>
    <row r="86">
      <c r="C86" s="102"/>
      <c r="AG86" s="55"/>
    </row>
    <row r="87">
      <c r="C87" s="102"/>
      <c r="AG87" s="55"/>
    </row>
    <row r="88">
      <c r="C88" s="102"/>
      <c r="AG88" s="55"/>
    </row>
    <row r="89">
      <c r="C89" s="102"/>
      <c r="AG89" s="55"/>
    </row>
    <row r="90">
      <c r="C90" s="102"/>
      <c r="AG90" s="55"/>
    </row>
    <row r="91">
      <c r="C91" s="102"/>
      <c r="AG91" s="55"/>
    </row>
    <row r="92">
      <c r="C92" s="102"/>
      <c r="AG92" s="55"/>
    </row>
    <row r="93">
      <c r="C93" s="102"/>
      <c r="AG93" s="55"/>
    </row>
    <row r="94">
      <c r="C94" s="102"/>
      <c r="AG94" s="55"/>
    </row>
    <row r="95">
      <c r="C95" s="102"/>
      <c r="AG95" s="55"/>
    </row>
    <row r="96">
      <c r="C96" s="102"/>
      <c r="AG96" s="55"/>
    </row>
    <row r="97">
      <c r="C97" s="102"/>
      <c r="AG97" s="55"/>
    </row>
    <row r="98">
      <c r="C98" s="102"/>
      <c r="AG98" s="55"/>
    </row>
    <row r="99">
      <c r="C99" s="102"/>
      <c r="AG99" s="55"/>
    </row>
    <row r="100">
      <c r="C100" s="102"/>
      <c r="AG100" s="55"/>
    </row>
    <row r="101">
      <c r="C101" s="102"/>
      <c r="AG101" s="55"/>
    </row>
    <row r="102">
      <c r="C102" s="102"/>
      <c r="AG102" s="55"/>
    </row>
    <row r="103">
      <c r="C103" s="102"/>
      <c r="AG103" s="55"/>
    </row>
    <row r="104">
      <c r="C104" s="102"/>
      <c r="AG104" s="55"/>
    </row>
    <row r="105">
      <c r="C105" s="102"/>
      <c r="AG105" s="55"/>
    </row>
    <row r="106">
      <c r="C106" s="102"/>
      <c r="AG106" s="55"/>
    </row>
    <row r="107">
      <c r="C107" s="102"/>
      <c r="AG107" s="55"/>
    </row>
    <row r="108">
      <c r="C108" s="102"/>
      <c r="AG108" s="55"/>
    </row>
    <row r="109">
      <c r="C109" s="102"/>
      <c r="AG109" s="55"/>
    </row>
    <row r="110">
      <c r="C110" s="102"/>
      <c r="AG110" s="55"/>
    </row>
    <row r="111">
      <c r="C111" s="102"/>
      <c r="AG111" s="55"/>
    </row>
    <row r="112">
      <c r="C112" s="102"/>
      <c r="AG112" s="55"/>
    </row>
    <row r="113">
      <c r="C113" s="102"/>
      <c r="AG113" s="55"/>
    </row>
    <row r="114">
      <c r="C114" s="102"/>
      <c r="AG114" s="55"/>
    </row>
    <row r="115">
      <c r="C115" s="102"/>
      <c r="AG115" s="55"/>
    </row>
    <row r="116">
      <c r="C116" s="102"/>
      <c r="AG116" s="55"/>
    </row>
    <row r="117">
      <c r="C117" s="102"/>
      <c r="AG117" s="55"/>
    </row>
    <row r="118">
      <c r="C118" s="102"/>
      <c r="AG118" s="55"/>
    </row>
    <row r="119">
      <c r="C119" s="102"/>
      <c r="AG119" s="55"/>
    </row>
    <row r="120">
      <c r="C120" s="102"/>
      <c r="AG120" s="55"/>
    </row>
    <row r="121">
      <c r="C121" s="102"/>
      <c r="AG121" s="55"/>
    </row>
    <row r="122">
      <c r="C122" s="102"/>
      <c r="AG122" s="55"/>
    </row>
    <row r="123">
      <c r="C123" s="102"/>
      <c r="AG123" s="55"/>
    </row>
    <row r="124">
      <c r="C124" s="102"/>
      <c r="AG124" s="55"/>
    </row>
    <row r="125">
      <c r="C125" s="102"/>
      <c r="AG125" s="55"/>
    </row>
    <row r="126">
      <c r="C126" s="102"/>
      <c r="AG126" s="55"/>
    </row>
    <row r="127">
      <c r="C127" s="102"/>
      <c r="AG127" s="55"/>
    </row>
    <row r="128">
      <c r="C128" s="102"/>
      <c r="AG128" s="55"/>
    </row>
    <row r="129">
      <c r="C129" s="102"/>
      <c r="AG129" s="55"/>
    </row>
    <row r="130">
      <c r="C130" s="102"/>
      <c r="AG130" s="55"/>
    </row>
    <row r="131">
      <c r="C131" s="102"/>
      <c r="AG131" s="55"/>
    </row>
    <row r="132">
      <c r="C132" s="102"/>
      <c r="AG132" s="55"/>
    </row>
    <row r="133">
      <c r="C133" s="102"/>
      <c r="AG133" s="55"/>
    </row>
    <row r="134">
      <c r="C134" s="102"/>
      <c r="AG134" s="55"/>
    </row>
    <row r="135">
      <c r="C135" s="102"/>
      <c r="AG135" s="55"/>
    </row>
    <row r="136">
      <c r="C136" s="102"/>
      <c r="AG136" s="55"/>
    </row>
    <row r="137">
      <c r="C137" s="102"/>
      <c r="AG137" s="55"/>
    </row>
    <row r="138">
      <c r="C138" s="102"/>
      <c r="AG138" s="55"/>
    </row>
    <row r="139">
      <c r="C139" s="102"/>
      <c r="AG139" s="55"/>
    </row>
    <row r="140">
      <c r="C140" s="102"/>
      <c r="AG140" s="55"/>
    </row>
    <row r="141">
      <c r="C141" s="102"/>
      <c r="AG141" s="55"/>
    </row>
    <row r="142">
      <c r="C142" s="102"/>
      <c r="AG142" s="55"/>
    </row>
    <row r="143">
      <c r="C143" s="102"/>
      <c r="AG143" s="55"/>
    </row>
    <row r="144">
      <c r="C144" s="102"/>
      <c r="AG144" s="55"/>
    </row>
    <row r="145">
      <c r="C145" s="102"/>
      <c r="AG145" s="55"/>
    </row>
    <row r="146">
      <c r="C146" s="102"/>
      <c r="AG146" s="55"/>
    </row>
    <row r="147">
      <c r="C147" s="102"/>
      <c r="AG147" s="55"/>
    </row>
    <row r="148">
      <c r="C148" s="102"/>
      <c r="AG148" s="55"/>
    </row>
    <row r="149">
      <c r="C149" s="102"/>
      <c r="AG149" s="55"/>
    </row>
    <row r="150">
      <c r="C150" s="102"/>
      <c r="AG150" s="55"/>
    </row>
    <row r="151">
      <c r="C151" s="102"/>
      <c r="AG151" s="55"/>
    </row>
    <row r="152">
      <c r="C152" s="102"/>
      <c r="AG152" s="55"/>
    </row>
    <row r="153">
      <c r="C153" s="102"/>
      <c r="AG153" s="55"/>
    </row>
    <row r="154">
      <c r="C154" s="102"/>
      <c r="AG154" s="55"/>
    </row>
    <row r="155">
      <c r="C155" s="102"/>
      <c r="AG155" s="55"/>
    </row>
    <row r="156">
      <c r="C156" s="102"/>
      <c r="AG156" s="55"/>
    </row>
    <row r="157">
      <c r="C157" s="102"/>
      <c r="AG157" s="55"/>
    </row>
    <row r="158">
      <c r="C158" s="102"/>
      <c r="AG158" s="55"/>
    </row>
    <row r="159">
      <c r="C159" s="102"/>
      <c r="AG159" s="55"/>
    </row>
    <row r="160">
      <c r="C160" s="102"/>
      <c r="AG160" s="55"/>
    </row>
    <row r="161">
      <c r="C161" s="102"/>
      <c r="AG161" s="55"/>
    </row>
    <row r="162">
      <c r="C162" s="102"/>
      <c r="AG162" s="55"/>
    </row>
    <row r="163">
      <c r="C163" s="102"/>
      <c r="AG163" s="55"/>
    </row>
    <row r="164">
      <c r="C164" s="102"/>
      <c r="AG164" s="55"/>
    </row>
    <row r="165">
      <c r="C165" s="102"/>
      <c r="AG165" s="55"/>
    </row>
    <row r="166">
      <c r="C166" s="102"/>
      <c r="AG166" s="55"/>
    </row>
    <row r="167">
      <c r="C167" s="102"/>
      <c r="AG167" s="55"/>
    </row>
    <row r="168">
      <c r="C168" s="102"/>
      <c r="AG168" s="55"/>
    </row>
    <row r="169">
      <c r="C169" s="102"/>
      <c r="AG169" s="55"/>
    </row>
    <row r="170">
      <c r="C170" s="102"/>
      <c r="AG170" s="55"/>
    </row>
    <row r="171">
      <c r="C171" s="102"/>
      <c r="AG171" s="55"/>
    </row>
    <row r="172">
      <c r="C172" s="102"/>
      <c r="AG172" s="55"/>
    </row>
    <row r="173">
      <c r="C173" s="102"/>
      <c r="AG173" s="55"/>
    </row>
    <row r="174">
      <c r="C174" s="102"/>
      <c r="AG174" s="55"/>
    </row>
    <row r="175">
      <c r="C175" s="102"/>
      <c r="AG175" s="55"/>
    </row>
    <row r="176">
      <c r="C176" s="102"/>
      <c r="AG176" s="55"/>
    </row>
    <row r="177">
      <c r="C177" s="102"/>
      <c r="AG177" s="55"/>
    </row>
    <row r="178">
      <c r="C178" s="102"/>
      <c r="AG178" s="55"/>
    </row>
    <row r="179">
      <c r="C179" s="102"/>
      <c r="AG179" s="55"/>
    </row>
    <row r="180">
      <c r="C180" s="102"/>
      <c r="AG180" s="55"/>
    </row>
    <row r="181">
      <c r="C181" s="102"/>
      <c r="AG181" s="55"/>
    </row>
    <row r="182">
      <c r="C182" s="102"/>
      <c r="AG182" s="55"/>
    </row>
    <row r="183">
      <c r="C183" s="102"/>
      <c r="AG183" s="55"/>
    </row>
    <row r="184">
      <c r="C184" s="102"/>
      <c r="AG184" s="55"/>
    </row>
    <row r="185">
      <c r="C185" s="102"/>
      <c r="AG185" s="55"/>
    </row>
    <row r="186">
      <c r="C186" s="102"/>
      <c r="AG186" s="55"/>
    </row>
    <row r="187">
      <c r="C187" s="102"/>
      <c r="AG187" s="55"/>
    </row>
    <row r="188">
      <c r="C188" s="102"/>
      <c r="AG188" s="55"/>
    </row>
    <row r="189">
      <c r="C189" s="102"/>
      <c r="AG189" s="55"/>
    </row>
    <row r="190">
      <c r="C190" s="102"/>
      <c r="AG190" s="55"/>
    </row>
    <row r="191">
      <c r="C191" s="102"/>
      <c r="AG191" s="55"/>
    </row>
    <row r="192">
      <c r="C192" s="102"/>
      <c r="AG192" s="55"/>
    </row>
    <row r="193">
      <c r="C193" s="102"/>
      <c r="AG193" s="55"/>
    </row>
    <row r="194">
      <c r="C194" s="102"/>
      <c r="AG194" s="55"/>
    </row>
    <row r="195">
      <c r="C195" s="102"/>
      <c r="AG195" s="55"/>
    </row>
    <row r="196">
      <c r="C196" s="102"/>
      <c r="AG196" s="55"/>
    </row>
    <row r="197">
      <c r="C197" s="102"/>
      <c r="AG197" s="55"/>
    </row>
    <row r="198">
      <c r="C198" s="102"/>
      <c r="AG198" s="55"/>
    </row>
    <row r="199">
      <c r="C199" s="102"/>
      <c r="AG199" s="55"/>
    </row>
    <row r="200">
      <c r="C200" s="102"/>
      <c r="AG200" s="55"/>
    </row>
    <row r="201">
      <c r="C201" s="102"/>
      <c r="AG201" s="55"/>
    </row>
    <row r="202">
      <c r="C202" s="102"/>
      <c r="AG202" s="55"/>
    </row>
    <row r="203">
      <c r="C203" s="102"/>
      <c r="AG203" s="55"/>
    </row>
    <row r="204">
      <c r="C204" s="102"/>
      <c r="AG204" s="55"/>
    </row>
    <row r="205">
      <c r="C205" s="102"/>
      <c r="AG205" s="55"/>
    </row>
    <row r="206">
      <c r="C206" s="102"/>
      <c r="AG206" s="55"/>
    </row>
    <row r="207">
      <c r="C207" s="102"/>
      <c r="AG207" s="55"/>
    </row>
    <row r="208">
      <c r="C208" s="102"/>
      <c r="AG208" s="55"/>
    </row>
    <row r="209">
      <c r="C209" s="102"/>
      <c r="AG209" s="55"/>
    </row>
    <row r="210">
      <c r="C210" s="102"/>
      <c r="AG210" s="55"/>
    </row>
    <row r="211">
      <c r="C211" s="102"/>
      <c r="AG211" s="55"/>
    </row>
    <row r="212">
      <c r="C212" s="102"/>
      <c r="AG212" s="55"/>
    </row>
    <row r="213">
      <c r="C213" s="102"/>
      <c r="AG213" s="55"/>
    </row>
    <row r="214">
      <c r="C214" s="102"/>
      <c r="AG214" s="55"/>
    </row>
    <row r="215">
      <c r="C215" s="102"/>
      <c r="AG215" s="55"/>
    </row>
    <row r="216">
      <c r="C216" s="102"/>
      <c r="AG216" s="55"/>
    </row>
    <row r="217">
      <c r="C217" s="102"/>
      <c r="AG217" s="55"/>
    </row>
    <row r="218">
      <c r="C218" s="102"/>
      <c r="AG218" s="55"/>
    </row>
    <row r="219">
      <c r="C219" s="102"/>
      <c r="AG219" s="55"/>
    </row>
    <row r="220">
      <c r="C220" s="102"/>
      <c r="AG220" s="55"/>
    </row>
    <row r="221">
      <c r="C221" s="102"/>
      <c r="AG221" s="55"/>
    </row>
    <row r="222">
      <c r="C222" s="102"/>
      <c r="AG222" s="55"/>
    </row>
    <row r="223">
      <c r="C223" s="102"/>
      <c r="AG223" s="55"/>
    </row>
    <row r="224">
      <c r="C224" s="102"/>
      <c r="AG224" s="55"/>
    </row>
    <row r="225">
      <c r="C225" s="102"/>
      <c r="AG225" s="55"/>
    </row>
    <row r="226">
      <c r="C226" s="102"/>
      <c r="AG226" s="55"/>
    </row>
    <row r="227">
      <c r="C227" s="102"/>
      <c r="AG227" s="55"/>
    </row>
    <row r="228">
      <c r="C228" s="102"/>
      <c r="AG228" s="55"/>
    </row>
    <row r="229">
      <c r="C229" s="102"/>
      <c r="AG229" s="55"/>
    </row>
    <row r="230">
      <c r="C230" s="102"/>
      <c r="AG230" s="55"/>
    </row>
    <row r="231">
      <c r="C231" s="102"/>
      <c r="AG231" s="55"/>
    </row>
    <row r="232">
      <c r="C232" s="102"/>
      <c r="AG232" s="55"/>
    </row>
    <row r="233">
      <c r="C233" s="102"/>
      <c r="AG233" s="55"/>
    </row>
    <row r="234">
      <c r="C234" s="102"/>
      <c r="AG234" s="55"/>
    </row>
    <row r="235">
      <c r="C235" s="102"/>
      <c r="AG235" s="55"/>
    </row>
    <row r="236">
      <c r="C236" s="102"/>
      <c r="AG236" s="55"/>
    </row>
    <row r="237">
      <c r="C237" s="102"/>
      <c r="AG237" s="55"/>
    </row>
    <row r="238">
      <c r="C238" s="102"/>
      <c r="AG238" s="55"/>
    </row>
    <row r="239">
      <c r="C239" s="102"/>
      <c r="AG239" s="55"/>
    </row>
    <row r="240">
      <c r="C240" s="102"/>
      <c r="AG240" s="55"/>
    </row>
    <row r="241">
      <c r="C241" s="102"/>
      <c r="AG241" s="55"/>
    </row>
    <row r="242">
      <c r="C242" s="102"/>
      <c r="AG242" s="55"/>
    </row>
    <row r="243">
      <c r="C243" s="102"/>
      <c r="AG243" s="55"/>
    </row>
    <row r="244">
      <c r="C244" s="102"/>
      <c r="AG244" s="55"/>
    </row>
    <row r="245">
      <c r="C245" s="102"/>
      <c r="AG245" s="55"/>
    </row>
    <row r="246">
      <c r="C246" s="102"/>
      <c r="AG246" s="55"/>
    </row>
    <row r="247">
      <c r="C247" s="102"/>
      <c r="AG247" s="55"/>
    </row>
    <row r="248">
      <c r="C248" s="102"/>
      <c r="AG248" s="55"/>
    </row>
    <row r="249">
      <c r="C249" s="102"/>
      <c r="AG249" s="55"/>
    </row>
    <row r="250">
      <c r="C250" s="102"/>
      <c r="AG250" s="55"/>
    </row>
    <row r="251">
      <c r="C251" s="102"/>
      <c r="AG251" s="55"/>
    </row>
    <row r="252">
      <c r="C252" s="102"/>
      <c r="AG252" s="55"/>
    </row>
    <row r="253">
      <c r="C253" s="102"/>
      <c r="AG253" s="55"/>
    </row>
    <row r="254">
      <c r="C254" s="102"/>
      <c r="AG254" s="55"/>
    </row>
    <row r="255">
      <c r="C255" s="102"/>
      <c r="AG255" s="55"/>
    </row>
    <row r="256">
      <c r="C256" s="102"/>
      <c r="AG256" s="55"/>
    </row>
    <row r="257">
      <c r="C257" s="102"/>
      <c r="AG257" s="55"/>
    </row>
    <row r="258">
      <c r="C258" s="102"/>
      <c r="AG258" s="55"/>
    </row>
    <row r="259">
      <c r="C259" s="102"/>
      <c r="AG259" s="55"/>
    </row>
    <row r="260">
      <c r="C260" s="102"/>
      <c r="AG260" s="55"/>
    </row>
    <row r="261">
      <c r="C261" s="102"/>
      <c r="AG261" s="55"/>
    </row>
    <row r="262">
      <c r="C262" s="102"/>
      <c r="AG262" s="55"/>
    </row>
    <row r="263">
      <c r="C263" s="102"/>
      <c r="AG263" s="55"/>
    </row>
    <row r="264">
      <c r="C264" s="102"/>
      <c r="AG264" s="55"/>
    </row>
    <row r="265">
      <c r="C265" s="102"/>
      <c r="AG265" s="55"/>
    </row>
    <row r="266">
      <c r="C266" s="102"/>
      <c r="AG266" s="55"/>
    </row>
    <row r="267">
      <c r="C267" s="102"/>
      <c r="AG267" s="55"/>
    </row>
    <row r="268">
      <c r="C268" s="102"/>
      <c r="AG268" s="55"/>
    </row>
    <row r="269">
      <c r="C269" s="102"/>
      <c r="AG269" s="55"/>
    </row>
    <row r="270">
      <c r="C270" s="102"/>
      <c r="AG270" s="55"/>
    </row>
    <row r="271">
      <c r="C271" s="102"/>
      <c r="AG271" s="55"/>
    </row>
    <row r="272">
      <c r="C272" s="102"/>
      <c r="AG272" s="55"/>
    </row>
    <row r="273">
      <c r="C273" s="102"/>
      <c r="AG273" s="55"/>
    </row>
    <row r="274">
      <c r="C274" s="102"/>
      <c r="AG274" s="55"/>
    </row>
    <row r="275">
      <c r="C275" s="102"/>
      <c r="AG275" s="55"/>
    </row>
    <row r="276">
      <c r="C276" s="102"/>
      <c r="AG276" s="55"/>
    </row>
    <row r="277">
      <c r="C277" s="102"/>
      <c r="AG277" s="55"/>
    </row>
    <row r="278">
      <c r="C278" s="102"/>
      <c r="AG278" s="55"/>
    </row>
    <row r="279">
      <c r="C279" s="102"/>
      <c r="AG279" s="55"/>
    </row>
    <row r="280">
      <c r="C280" s="102"/>
      <c r="AG280" s="55"/>
    </row>
    <row r="281">
      <c r="C281" s="102"/>
      <c r="AG281" s="55"/>
    </row>
    <row r="282">
      <c r="C282" s="102"/>
      <c r="AG282" s="55"/>
    </row>
    <row r="283">
      <c r="C283" s="102"/>
      <c r="AG283" s="55"/>
    </row>
    <row r="284">
      <c r="C284" s="102"/>
      <c r="AG284" s="55"/>
    </row>
    <row r="285">
      <c r="C285" s="102"/>
      <c r="AG285" s="55"/>
    </row>
    <row r="286">
      <c r="C286" s="102"/>
      <c r="AG286" s="55"/>
    </row>
    <row r="287">
      <c r="C287" s="102"/>
      <c r="AG287" s="55"/>
    </row>
    <row r="288">
      <c r="C288" s="102"/>
      <c r="AG288" s="55"/>
    </row>
    <row r="289">
      <c r="C289" s="102"/>
      <c r="AG289" s="55"/>
    </row>
    <row r="290">
      <c r="C290" s="102"/>
      <c r="AG290" s="55"/>
    </row>
    <row r="291">
      <c r="C291" s="102"/>
      <c r="AG291" s="55"/>
    </row>
    <row r="292">
      <c r="C292" s="102"/>
      <c r="AG292" s="55"/>
    </row>
    <row r="293">
      <c r="C293" s="102"/>
      <c r="AG293" s="55"/>
    </row>
    <row r="294">
      <c r="C294" s="102"/>
      <c r="AG294" s="55"/>
    </row>
    <row r="295">
      <c r="C295" s="102"/>
      <c r="AG295" s="55"/>
    </row>
    <row r="296">
      <c r="C296" s="102"/>
      <c r="AG296" s="55"/>
    </row>
    <row r="297">
      <c r="C297" s="102"/>
      <c r="AG297" s="55"/>
    </row>
    <row r="298">
      <c r="C298" s="102"/>
      <c r="AG298" s="55"/>
    </row>
    <row r="299">
      <c r="C299" s="102"/>
      <c r="AG299" s="55"/>
    </row>
    <row r="300">
      <c r="C300" s="102"/>
      <c r="AG300" s="55"/>
    </row>
    <row r="301">
      <c r="C301" s="102"/>
      <c r="AG301" s="55"/>
    </row>
    <row r="302">
      <c r="C302" s="102"/>
      <c r="AG302" s="55"/>
    </row>
    <row r="303">
      <c r="C303" s="102"/>
      <c r="AG303" s="55"/>
    </row>
    <row r="304">
      <c r="C304" s="102"/>
      <c r="AG304" s="55"/>
    </row>
    <row r="305">
      <c r="C305" s="102"/>
      <c r="AG305" s="55"/>
    </row>
    <row r="306">
      <c r="C306" s="102"/>
      <c r="AG306" s="55"/>
    </row>
    <row r="307">
      <c r="C307" s="102"/>
      <c r="AG307" s="55"/>
    </row>
    <row r="308">
      <c r="C308" s="102"/>
      <c r="AG308" s="55"/>
    </row>
    <row r="309">
      <c r="C309" s="102"/>
      <c r="AG309" s="55"/>
    </row>
    <row r="310">
      <c r="C310" s="102"/>
      <c r="AG310" s="55"/>
    </row>
    <row r="311">
      <c r="C311" s="102"/>
      <c r="AG311" s="55"/>
    </row>
    <row r="312">
      <c r="C312" s="102"/>
      <c r="AG312" s="55"/>
    </row>
    <row r="313">
      <c r="C313" s="102"/>
      <c r="AG313" s="55"/>
    </row>
    <row r="314">
      <c r="C314" s="102"/>
      <c r="AG314" s="55"/>
    </row>
    <row r="315">
      <c r="C315" s="102"/>
      <c r="AG315" s="55"/>
    </row>
    <row r="316">
      <c r="C316" s="102"/>
      <c r="AG316" s="55"/>
    </row>
    <row r="317">
      <c r="C317" s="102"/>
      <c r="AG317" s="55"/>
    </row>
    <row r="318">
      <c r="C318" s="102"/>
      <c r="AG318" s="55"/>
    </row>
    <row r="319">
      <c r="C319" s="102"/>
      <c r="AG319" s="55"/>
    </row>
    <row r="320">
      <c r="C320" s="102"/>
      <c r="AG320" s="55"/>
    </row>
    <row r="321">
      <c r="C321" s="102"/>
      <c r="AG321" s="55"/>
    </row>
    <row r="322">
      <c r="C322" s="102"/>
      <c r="AG322" s="55"/>
    </row>
    <row r="323">
      <c r="C323" s="102"/>
      <c r="AG323" s="55"/>
    </row>
    <row r="324">
      <c r="C324" s="102"/>
      <c r="AG324" s="55"/>
    </row>
    <row r="325">
      <c r="C325" s="102"/>
      <c r="AG325" s="55"/>
    </row>
    <row r="326">
      <c r="C326" s="102"/>
      <c r="AG326" s="55"/>
    </row>
    <row r="327">
      <c r="C327" s="102"/>
      <c r="AG327" s="55"/>
    </row>
    <row r="328">
      <c r="C328" s="102"/>
      <c r="AG328" s="55"/>
    </row>
    <row r="329">
      <c r="C329" s="102"/>
      <c r="AG329" s="55"/>
    </row>
    <row r="330">
      <c r="C330" s="102"/>
      <c r="AG330" s="55"/>
    </row>
    <row r="331">
      <c r="C331" s="102"/>
      <c r="AG331" s="55"/>
    </row>
    <row r="332">
      <c r="C332" s="102"/>
      <c r="AG332" s="55"/>
    </row>
    <row r="333">
      <c r="C333" s="102"/>
      <c r="AG333" s="55"/>
    </row>
    <row r="334">
      <c r="C334" s="102"/>
      <c r="AG334" s="55"/>
    </row>
    <row r="335">
      <c r="C335" s="102"/>
      <c r="AG335" s="55"/>
    </row>
    <row r="336">
      <c r="C336" s="102"/>
      <c r="AG336" s="55"/>
    </row>
    <row r="337">
      <c r="C337" s="102"/>
      <c r="AG337" s="55"/>
    </row>
    <row r="338">
      <c r="C338" s="102"/>
      <c r="AG338" s="55"/>
    </row>
    <row r="339">
      <c r="C339" s="102"/>
      <c r="AG339" s="55"/>
    </row>
    <row r="340">
      <c r="C340" s="102"/>
      <c r="AG340" s="55"/>
    </row>
    <row r="341">
      <c r="C341" s="102"/>
      <c r="AG341" s="55"/>
    </row>
    <row r="342">
      <c r="C342" s="102"/>
      <c r="AG342" s="55"/>
    </row>
    <row r="343">
      <c r="C343" s="102"/>
      <c r="AG343" s="55"/>
    </row>
    <row r="344">
      <c r="C344" s="102"/>
      <c r="AG344" s="55"/>
    </row>
    <row r="345">
      <c r="C345" s="102"/>
      <c r="AG345" s="55"/>
    </row>
    <row r="346">
      <c r="C346" s="102"/>
      <c r="AG346" s="55"/>
    </row>
    <row r="347">
      <c r="C347" s="102"/>
      <c r="AG347" s="55"/>
    </row>
    <row r="348">
      <c r="C348" s="102"/>
      <c r="AG348" s="55"/>
    </row>
    <row r="349">
      <c r="C349" s="102"/>
      <c r="AG349" s="55"/>
    </row>
    <row r="350">
      <c r="C350" s="102"/>
      <c r="AG350" s="55"/>
    </row>
    <row r="351">
      <c r="C351" s="102"/>
      <c r="AG351" s="55"/>
    </row>
    <row r="352">
      <c r="C352" s="102"/>
      <c r="AG352" s="55"/>
    </row>
    <row r="353">
      <c r="C353" s="102"/>
      <c r="AG353" s="55"/>
    </row>
    <row r="354">
      <c r="C354" s="102"/>
      <c r="AG354" s="55"/>
    </row>
    <row r="355">
      <c r="C355" s="102"/>
      <c r="AG355" s="55"/>
    </row>
    <row r="356">
      <c r="C356" s="102"/>
      <c r="AG356" s="55"/>
    </row>
    <row r="357">
      <c r="C357" s="102"/>
      <c r="AG357" s="55"/>
    </row>
    <row r="358">
      <c r="C358" s="102"/>
      <c r="AG358" s="55"/>
    </row>
    <row r="359">
      <c r="C359" s="102"/>
      <c r="AG359" s="55"/>
    </row>
    <row r="360">
      <c r="C360" s="102"/>
      <c r="AG360" s="55"/>
    </row>
    <row r="361">
      <c r="C361" s="102"/>
      <c r="AG361" s="55"/>
    </row>
    <row r="362">
      <c r="C362" s="102"/>
      <c r="AG362" s="55"/>
    </row>
    <row r="363">
      <c r="C363" s="102"/>
      <c r="AG363" s="55"/>
    </row>
    <row r="364">
      <c r="C364" s="102"/>
      <c r="AG364" s="55"/>
    </row>
    <row r="365">
      <c r="C365" s="102"/>
      <c r="AG365" s="55"/>
    </row>
    <row r="366">
      <c r="C366" s="102"/>
      <c r="AG366" s="55"/>
    </row>
    <row r="367">
      <c r="C367" s="102"/>
      <c r="AG367" s="55"/>
    </row>
    <row r="368">
      <c r="C368" s="102"/>
      <c r="AG368" s="55"/>
    </row>
    <row r="369">
      <c r="C369" s="102"/>
      <c r="AG369" s="55"/>
    </row>
    <row r="370">
      <c r="C370" s="102"/>
      <c r="AG370" s="55"/>
    </row>
    <row r="371">
      <c r="C371" s="102"/>
      <c r="AG371" s="55"/>
    </row>
    <row r="372">
      <c r="C372" s="102"/>
      <c r="AG372" s="55"/>
    </row>
    <row r="373">
      <c r="C373" s="102"/>
      <c r="AG373" s="55"/>
    </row>
    <row r="374">
      <c r="C374" s="102"/>
      <c r="AG374" s="55"/>
    </row>
    <row r="375">
      <c r="C375" s="102"/>
      <c r="AG375" s="55"/>
    </row>
    <row r="376">
      <c r="C376" s="102"/>
      <c r="AG376" s="55"/>
    </row>
    <row r="377">
      <c r="C377" s="102"/>
      <c r="AG377" s="55"/>
    </row>
    <row r="378">
      <c r="C378" s="102"/>
      <c r="AG378" s="55"/>
    </row>
    <row r="379">
      <c r="C379" s="102"/>
      <c r="AG379" s="55"/>
    </row>
    <row r="380">
      <c r="C380" s="102"/>
      <c r="AG380" s="55"/>
    </row>
    <row r="381">
      <c r="C381" s="102"/>
      <c r="AG381" s="55"/>
    </row>
    <row r="382">
      <c r="C382" s="102"/>
      <c r="AG382" s="55"/>
    </row>
    <row r="383">
      <c r="C383" s="102"/>
      <c r="AG383" s="55"/>
    </row>
    <row r="384">
      <c r="C384" s="102"/>
      <c r="AG384" s="55"/>
    </row>
    <row r="385">
      <c r="C385" s="102"/>
      <c r="AG385" s="55"/>
    </row>
    <row r="386">
      <c r="C386" s="102"/>
      <c r="AG386" s="55"/>
    </row>
    <row r="387">
      <c r="C387" s="102"/>
      <c r="AG387" s="55"/>
    </row>
    <row r="388">
      <c r="C388" s="102"/>
      <c r="AG388" s="55"/>
    </row>
    <row r="389">
      <c r="C389" s="102"/>
      <c r="AG389" s="55"/>
    </row>
    <row r="390">
      <c r="C390" s="102"/>
      <c r="AG390" s="55"/>
    </row>
    <row r="391">
      <c r="C391" s="102"/>
      <c r="AG391" s="55"/>
    </row>
    <row r="392">
      <c r="C392" s="102"/>
      <c r="AG392" s="55"/>
    </row>
    <row r="393">
      <c r="C393" s="102"/>
      <c r="AG393" s="55"/>
    </row>
    <row r="394">
      <c r="C394" s="102"/>
      <c r="AG394" s="55"/>
    </row>
    <row r="395">
      <c r="C395" s="102"/>
      <c r="AG395" s="55"/>
    </row>
    <row r="396">
      <c r="C396" s="102"/>
      <c r="AG396" s="55"/>
    </row>
    <row r="397">
      <c r="C397" s="102"/>
      <c r="AG397" s="55"/>
    </row>
    <row r="398">
      <c r="C398" s="102"/>
      <c r="AG398" s="55"/>
    </row>
    <row r="399">
      <c r="C399" s="102"/>
      <c r="AG399" s="55"/>
    </row>
    <row r="400">
      <c r="C400" s="102"/>
      <c r="AG400" s="55"/>
    </row>
    <row r="401">
      <c r="C401" s="102"/>
      <c r="AG401" s="55"/>
    </row>
    <row r="402">
      <c r="C402" s="102"/>
      <c r="AG402" s="55"/>
    </row>
    <row r="403">
      <c r="C403" s="102"/>
      <c r="AG403" s="55"/>
    </row>
    <row r="404">
      <c r="C404" s="102"/>
      <c r="AG404" s="55"/>
    </row>
    <row r="405">
      <c r="C405" s="102"/>
      <c r="AG405" s="55"/>
    </row>
    <row r="406">
      <c r="C406" s="102"/>
      <c r="AG406" s="55"/>
    </row>
    <row r="407">
      <c r="C407" s="102"/>
      <c r="AG407" s="55"/>
    </row>
    <row r="408">
      <c r="C408" s="102"/>
      <c r="AG408" s="55"/>
    </row>
    <row r="409">
      <c r="C409" s="102"/>
      <c r="AG409" s="55"/>
    </row>
    <row r="410">
      <c r="C410" s="102"/>
      <c r="AG410" s="55"/>
    </row>
    <row r="411">
      <c r="C411" s="102"/>
      <c r="AG411" s="55"/>
    </row>
    <row r="412">
      <c r="C412" s="102"/>
      <c r="AG412" s="55"/>
    </row>
    <row r="413">
      <c r="C413" s="102"/>
      <c r="AG413" s="55"/>
    </row>
    <row r="414">
      <c r="C414" s="102"/>
      <c r="AG414" s="55"/>
    </row>
    <row r="415">
      <c r="C415" s="102"/>
      <c r="AG415" s="55"/>
    </row>
    <row r="416">
      <c r="C416" s="102"/>
      <c r="AG416" s="55"/>
    </row>
    <row r="417">
      <c r="C417" s="102"/>
      <c r="AG417" s="55"/>
    </row>
    <row r="418">
      <c r="C418" s="102"/>
      <c r="AG418" s="55"/>
    </row>
    <row r="419">
      <c r="C419" s="102"/>
      <c r="AG419" s="55"/>
    </row>
    <row r="420">
      <c r="C420" s="102"/>
      <c r="AG420" s="55"/>
    </row>
    <row r="421">
      <c r="C421" s="102"/>
      <c r="AG421" s="55"/>
    </row>
    <row r="422">
      <c r="C422" s="102"/>
      <c r="AG422" s="55"/>
    </row>
    <row r="423">
      <c r="C423" s="102"/>
      <c r="AG423" s="55"/>
    </row>
    <row r="424">
      <c r="C424" s="102"/>
      <c r="AG424" s="55"/>
    </row>
    <row r="425">
      <c r="C425" s="102"/>
      <c r="AG425" s="55"/>
    </row>
    <row r="426">
      <c r="C426" s="102"/>
      <c r="AG426" s="55"/>
    </row>
    <row r="427">
      <c r="C427" s="102"/>
      <c r="AG427" s="55"/>
    </row>
    <row r="428">
      <c r="C428" s="102"/>
      <c r="AG428" s="55"/>
    </row>
    <row r="429">
      <c r="C429" s="102"/>
      <c r="AG429" s="55"/>
    </row>
    <row r="430">
      <c r="C430" s="102"/>
      <c r="AG430" s="55"/>
    </row>
    <row r="431">
      <c r="C431" s="102"/>
      <c r="AG431" s="55"/>
    </row>
    <row r="432">
      <c r="C432" s="102"/>
      <c r="AG432" s="55"/>
    </row>
    <row r="433">
      <c r="C433" s="102"/>
      <c r="AG433" s="55"/>
    </row>
    <row r="434">
      <c r="C434" s="102"/>
      <c r="AG434" s="55"/>
    </row>
    <row r="435">
      <c r="C435" s="102"/>
      <c r="AG435" s="55"/>
    </row>
    <row r="436">
      <c r="C436" s="102"/>
      <c r="AG436" s="55"/>
    </row>
    <row r="437">
      <c r="C437" s="102"/>
      <c r="AG437" s="55"/>
    </row>
    <row r="438">
      <c r="C438" s="102"/>
      <c r="AG438" s="55"/>
    </row>
    <row r="439">
      <c r="C439" s="102"/>
      <c r="AG439" s="55"/>
    </row>
    <row r="440">
      <c r="C440" s="102"/>
      <c r="AG440" s="55"/>
    </row>
    <row r="441">
      <c r="C441" s="102"/>
      <c r="AG441" s="55"/>
    </row>
    <row r="442">
      <c r="C442" s="102"/>
      <c r="AG442" s="55"/>
    </row>
    <row r="443">
      <c r="C443" s="102"/>
      <c r="AG443" s="55"/>
    </row>
    <row r="444">
      <c r="C444" s="102"/>
      <c r="AG444" s="55"/>
    </row>
    <row r="445">
      <c r="C445" s="102"/>
      <c r="AG445" s="55"/>
    </row>
    <row r="446">
      <c r="C446" s="102"/>
      <c r="AG446" s="55"/>
    </row>
    <row r="447">
      <c r="C447" s="102"/>
      <c r="AG447" s="55"/>
    </row>
    <row r="448">
      <c r="C448" s="102"/>
      <c r="AG448" s="55"/>
    </row>
    <row r="449">
      <c r="C449" s="102"/>
      <c r="AG449" s="55"/>
    </row>
    <row r="450">
      <c r="C450" s="102"/>
      <c r="AG450" s="55"/>
    </row>
    <row r="451">
      <c r="C451" s="102"/>
      <c r="AG451" s="55"/>
    </row>
    <row r="452">
      <c r="C452" s="102"/>
      <c r="AG452" s="55"/>
    </row>
    <row r="453">
      <c r="C453" s="102"/>
      <c r="AG453" s="55"/>
    </row>
    <row r="454">
      <c r="C454" s="102"/>
      <c r="AG454" s="55"/>
    </row>
    <row r="455">
      <c r="C455" s="102"/>
      <c r="AG455" s="55"/>
    </row>
    <row r="456">
      <c r="C456" s="102"/>
      <c r="AG456" s="55"/>
    </row>
    <row r="457">
      <c r="C457" s="102"/>
      <c r="AG457" s="55"/>
    </row>
    <row r="458">
      <c r="C458" s="102"/>
      <c r="AG458" s="55"/>
    </row>
    <row r="459">
      <c r="C459" s="102"/>
      <c r="AG459" s="55"/>
    </row>
    <row r="460">
      <c r="C460" s="102"/>
      <c r="AG460" s="55"/>
    </row>
    <row r="461">
      <c r="C461" s="102"/>
      <c r="AG461" s="55"/>
    </row>
    <row r="462">
      <c r="C462" s="102"/>
      <c r="AG462" s="55"/>
    </row>
    <row r="463">
      <c r="C463" s="102"/>
      <c r="AG463" s="55"/>
    </row>
    <row r="464">
      <c r="C464" s="102"/>
      <c r="AG464" s="55"/>
    </row>
    <row r="465">
      <c r="C465" s="102"/>
      <c r="AG465" s="55"/>
    </row>
    <row r="466">
      <c r="C466" s="102"/>
      <c r="AG466" s="55"/>
    </row>
    <row r="467">
      <c r="C467" s="102"/>
      <c r="AG467" s="55"/>
    </row>
    <row r="468">
      <c r="C468" s="102"/>
      <c r="AG468" s="55"/>
    </row>
    <row r="469">
      <c r="C469" s="102"/>
      <c r="AG469" s="55"/>
    </row>
    <row r="470">
      <c r="C470" s="102"/>
      <c r="AG470" s="55"/>
    </row>
    <row r="471">
      <c r="C471" s="102"/>
      <c r="AG471" s="55"/>
    </row>
    <row r="472">
      <c r="C472" s="102"/>
      <c r="AG472" s="55"/>
    </row>
    <row r="473">
      <c r="C473" s="102"/>
      <c r="AG473" s="55"/>
    </row>
    <row r="474">
      <c r="C474" s="102"/>
      <c r="AG474" s="55"/>
    </row>
    <row r="475">
      <c r="C475" s="102"/>
      <c r="AG475" s="55"/>
    </row>
    <row r="476">
      <c r="C476" s="102"/>
      <c r="AG476" s="55"/>
    </row>
    <row r="477">
      <c r="C477" s="102"/>
      <c r="AG477" s="55"/>
    </row>
    <row r="478">
      <c r="C478" s="102"/>
      <c r="AG478" s="55"/>
    </row>
    <row r="479">
      <c r="C479" s="102"/>
      <c r="AG479" s="55"/>
    </row>
    <row r="480">
      <c r="C480" s="102"/>
      <c r="AG480" s="55"/>
    </row>
    <row r="481">
      <c r="C481" s="102"/>
      <c r="AG481" s="55"/>
    </row>
    <row r="482">
      <c r="C482" s="102"/>
      <c r="AG482" s="55"/>
    </row>
    <row r="483">
      <c r="C483" s="102"/>
      <c r="AG483" s="55"/>
    </row>
    <row r="484">
      <c r="C484" s="102"/>
      <c r="AG484" s="55"/>
    </row>
    <row r="485">
      <c r="C485" s="102"/>
      <c r="AG485" s="55"/>
    </row>
    <row r="486">
      <c r="C486" s="102"/>
      <c r="AG486" s="55"/>
    </row>
    <row r="487">
      <c r="C487" s="102"/>
      <c r="AG487" s="55"/>
    </row>
    <row r="488">
      <c r="C488" s="102"/>
      <c r="AG488" s="55"/>
    </row>
    <row r="489">
      <c r="C489" s="102"/>
      <c r="AG489" s="55"/>
    </row>
    <row r="490">
      <c r="C490" s="102"/>
      <c r="AG490" s="55"/>
    </row>
    <row r="491">
      <c r="C491" s="102"/>
      <c r="AG491" s="55"/>
    </row>
    <row r="492">
      <c r="C492" s="102"/>
      <c r="AG492" s="55"/>
    </row>
    <row r="493">
      <c r="C493" s="102"/>
      <c r="AG493" s="55"/>
    </row>
    <row r="494">
      <c r="C494" s="102"/>
      <c r="AG494" s="55"/>
    </row>
    <row r="495">
      <c r="C495" s="102"/>
      <c r="AG495" s="55"/>
    </row>
    <row r="496">
      <c r="C496" s="102"/>
      <c r="AG496" s="55"/>
    </row>
    <row r="497">
      <c r="C497" s="102"/>
      <c r="AG497" s="55"/>
    </row>
    <row r="498">
      <c r="C498" s="102"/>
      <c r="AG498" s="55"/>
    </row>
    <row r="499">
      <c r="C499" s="102"/>
      <c r="AG499" s="55"/>
    </row>
    <row r="500">
      <c r="C500" s="102"/>
      <c r="AG500" s="55"/>
    </row>
    <row r="501">
      <c r="C501" s="102"/>
      <c r="AG501" s="55"/>
    </row>
    <row r="502">
      <c r="C502" s="102"/>
      <c r="AG502" s="55"/>
    </row>
    <row r="503">
      <c r="C503" s="102"/>
      <c r="AG503" s="55"/>
    </row>
    <row r="504">
      <c r="C504" s="102"/>
      <c r="AG504" s="55"/>
    </row>
    <row r="505">
      <c r="C505" s="102"/>
      <c r="AG505" s="55"/>
    </row>
    <row r="506">
      <c r="C506" s="102"/>
      <c r="AG506" s="55"/>
    </row>
    <row r="507">
      <c r="C507" s="102"/>
      <c r="AG507" s="55"/>
    </row>
    <row r="508">
      <c r="C508" s="102"/>
      <c r="AG508" s="55"/>
    </row>
    <row r="509">
      <c r="C509" s="102"/>
      <c r="AG509" s="55"/>
    </row>
    <row r="510">
      <c r="C510" s="102"/>
      <c r="AG510" s="55"/>
    </row>
    <row r="511">
      <c r="C511" s="102"/>
      <c r="AG511" s="55"/>
    </row>
    <row r="512">
      <c r="C512" s="102"/>
      <c r="AG512" s="55"/>
    </row>
    <row r="513">
      <c r="C513" s="102"/>
      <c r="AG513" s="55"/>
    </row>
    <row r="514">
      <c r="C514" s="102"/>
      <c r="AG514" s="55"/>
    </row>
    <row r="515">
      <c r="C515" s="102"/>
      <c r="AG515" s="55"/>
    </row>
    <row r="516">
      <c r="C516" s="102"/>
      <c r="AG516" s="55"/>
    </row>
    <row r="517">
      <c r="C517" s="102"/>
      <c r="AG517" s="55"/>
    </row>
    <row r="518">
      <c r="C518" s="102"/>
      <c r="AG518" s="55"/>
    </row>
    <row r="519">
      <c r="C519" s="102"/>
      <c r="AG519" s="55"/>
    </row>
    <row r="520">
      <c r="C520" s="102"/>
      <c r="AG520" s="55"/>
    </row>
    <row r="521">
      <c r="C521" s="102"/>
      <c r="AG521" s="55"/>
    </row>
    <row r="522">
      <c r="C522" s="102"/>
      <c r="AG522" s="55"/>
    </row>
    <row r="523">
      <c r="C523" s="102"/>
      <c r="AG523" s="55"/>
    </row>
    <row r="524">
      <c r="C524" s="102"/>
      <c r="AG524" s="55"/>
    </row>
    <row r="525">
      <c r="C525" s="102"/>
      <c r="AG525" s="55"/>
    </row>
    <row r="526">
      <c r="C526" s="102"/>
      <c r="AG526" s="55"/>
    </row>
    <row r="527">
      <c r="C527" s="102"/>
      <c r="AG527" s="55"/>
    </row>
    <row r="528">
      <c r="C528" s="102"/>
      <c r="AG528" s="55"/>
    </row>
    <row r="529">
      <c r="C529" s="102"/>
      <c r="AG529" s="55"/>
    </row>
    <row r="530">
      <c r="C530" s="102"/>
      <c r="AG530" s="55"/>
    </row>
    <row r="531">
      <c r="C531" s="102"/>
      <c r="AG531" s="55"/>
    </row>
    <row r="532">
      <c r="C532" s="102"/>
      <c r="AG532" s="55"/>
    </row>
    <row r="533">
      <c r="C533" s="102"/>
      <c r="AG533" s="55"/>
    </row>
    <row r="534">
      <c r="C534" s="102"/>
      <c r="AG534" s="55"/>
    </row>
    <row r="535">
      <c r="C535" s="102"/>
      <c r="AG535" s="55"/>
    </row>
    <row r="536">
      <c r="C536" s="102"/>
      <c r="AG536" s="55"/>
    </row>
    <row r="537">
      <c r="C537" s="102"/>
      <c r="AG537" s="55"/>
    </row>
    <row r="538">
      <c r="C538" s="102"/>
      <c r="AG538" s="55"/>
    </row>
    <row r="539">
      <c r="C539" s="102"/>
      <c r="AG539" s="55"/>
    </row>
    <row r="540">
      <c r="C540" s="102"/>
      <c r="AG540" s="55"/>
    </row>
    <row r="541">
      <c r="C541" s="102"/>
      <c r="AG541" s="55"/>
    </row>
    <row r="542">
      <c r="C542" s="102"/>
      <c r="AG542" s="55"/>
    </row>
    <row r="543">
      <c r="C543" s="102"/>
      <c r="AG543" s="55"/>
    </row>
    <row r="544">
      <c r="C544" s="102"/>
      <c r="AG544" s="55"/>
    </row>
    <row r="545">
      <c r="C545" s="102"/>
      <c r="AG545" s="55"/>
    </row>
    <row r="546">
      <c r="C546" s="102"/>
      <c r="AG546" s="55"/>
    </row>
    <row r="547">
      <c r="C547" s="102"/>
      <c r="AG547" s="55"/>
    </row>
    <row r="548">
      <c r="C548" s="102"/>
      <c r="AG548" s="55"/>
    </row>
    <row r="549">
      <c r="C549" s="102"/>
      <c r="AG549" s="55"/>
    </row>
    <row r="550">
      <c r="C550" s="102"/>
      <c r="AG550" s="55"/>
    </row>
    <row r="551">
      <c r="C551" s="102"/>
      <c r="AG551" s="55"/>
    </row>
    <row r="552">
      <c r="C552" s="102"/>
      <c r="AG552" s="55"/>
    </row>
    <row r="553">
      <c r="C553" s="102"/>
      <c r="AG553" s="55"/>
    </row>
    <row r="554">
      <c r="C554" s="102"/>
      <c r="AG554" s="55"/>
    </row>
    <row r="555">
      <c r="C555" s="102"/>
      <c r="AG555" s="55"/>
    </row>
    <row r="556">
      <c r="C556" s="102"/>
      <c r="AG556" s="55"/>
    </row>
    <row r="557">
      <c r="C557" s="102"/>
      <c r="AG557" s="55"/>
    </row>
    <row r="558">
      <c r="C558" s="102"/>
      <c r="AG558" s="55"/>
    </row>
    <row r="559">
      <c r="C559" s="102"/>
      <c r="AG559" s="55"/>
    </row>
    <row r="560">
      <c r="C560" s="102"/>
      <c r="AG560" s="55"/>
    </row>
    <row r="561">
      <c r="C561" s="102"/>
      <c r="AG561" s="55"/>
    </row>
    <row r="562">
      <c r="C562" s="102"/>
      <c r="AG562" s="55"/>
    </row>
    <row r="563">
      <c r="C563" s="102"/>
      <c r="AG563" s="55"/>
    </row>
    <row r="564">
      <c r="C564" s="102"/>
      <c r="AG564" s="55"/>
    </row>
    <row r="565">
      <c r="C565" s="102"/>
      <c r="AG565" s="55"/>
    </row>
    <row r="566">
      <c r="C566" s="102"/>
      <c r="AG566" s="55"/>
    </row>
    <row r="567">
      <c r="C567" s="102"/>
      <c r="AG567" s="55"/>
    </row>
    <row r="568">
      <c r="C568" s="102"/>
      <c r="AG568" s="55"/>
    </row>
    <row r="569">
      <c r="C569" s="102"/>
      <c r="AG569" s="55"/>
    </row>
    <row r="570">
      <c r="C570" s="102"/>
      <c r="AG570" s="55"/>
    </row>
    <row r="571">
      <c r="C571" s="102"/>
      <c r="AG571" s="55"/>
    </row>
    <row r="572">
      <c r="C572" s="102"/>
      <c r="AG572" s="55"/>
    </row>
    <row r="573">
      <c r="C573" s="102"/>
      <c r="AG573" s="55"/>
    </row>
    <row r="574">
      <c r="C574" s="102"/>
      <c r="AG574" s="55"/>
    </row>
    <row r="575">
      <c r="C575" s="102"/>
      <c r="AG575" s="55"/>
    </row>
    <row r="576">
      <c r="C576" s="102"/>
      <c r="AG576" s="55"/>
    </row>
    <row r="577">
      <c r="C577" s="102"/>
      <c r="AG577" s="55"/>
    </row>
    <row r="578">
      <c r="C578" s="102"/>
      <c r="AG578" s="55"/>
    </row>
    <row r="579">
      <c r="C579" s="102"/>
      <c r="AG579" s="55"/>
    </row>
    <row r="580">
      <c r="C580" s="102"/>
      <c r="AG580" s="55"/>
    </row>
    <row r="581">
      <c r="C581" s="102"/>
      <c r="AG581" s="55"/>
    </row>
    <row r="582">
      <c r="C582" s="102"/>
      <c r="AG582" s="55"/>
    </row>
    <row r="583">
      <c r="C583" s="102"/>
      <c r="AG583" s="55"/>
    </row>
    <row r="584">
      <c r="C584" s="102"/>
      <c r="AG584" s="55"/>
    </row>
    <row r="585">
      <c r="C585" s="102"/>
      <c r="AG585" s="55"/>
    </row>
    <row r="586">
      <c r="C586" s="102"/>
      <c r="AG586" s="55"/>
    </row>
    <row r="587">
      <c r="C587" s="102"/>
      <c r="AG587" s="55"/>
    </row>
    <row r="588">
      <c r="C588" s="102"/>
      <c r="AG588" s="55"/>
    </row>
    <row r="589">
      <c r="C589" s="102"/>
      <c r="AG589" s="55"/>
    </row>
    <row r="590">
      <c r="C590" s="102"/>
      <c r="AG590" s="55"/>
    </row>
    <row r="591">
      <c r="C591" s="102"/>
      <c r="AG591" s="55"/>
    </row>
    <row r="592">
      <c r="C592" s="102"/>
      <c r="AG592" s="55"/>
    </row>
    <row r="593">
      <c r="C593" s="102"/>
      <c r="AG593" s="55"/>
    </row>
    <row r="594">
      <c r="C594" s="102"/>
      <c r="AG594" s="55"/>
    </row>
    <row r="595">
      <c r="C595" s="102"/>
      <c r="AG595" s="55"/>
    </row>
    <row r="596">
      <c r="C596" s="102"/>
      <c r="AG596" s="55"/>
    </row>
    <row r="597">
      <c r="C597" s="102"/>
      <c r="AG597" s="55"/>
    </row>
    <row r="598">
      <c r="C598" s="102"/>
      <c r="AG598" s="55"/>
    </row>
    <row r="599">
      <c r="C599" s="102"/>
      <c r="AG599" s="55"/>
    </row>
    <row r="600">
      <c r="C600" s="102"/>
      <c r="AG600" s="55"/>
    </row>
    <row r="601">
      <c r="C601" s="102"/>
      <c r="AG601" s="55"/>
    </row>
    <row r="602">
      <c r="C602" s="102"/>
      <c r="AG602" s="55"/>
    </row>
    <row r="603">
      <c r="C603" s="102"/>
      <c r="AG603" s="55"/>
    </row>
    <row r="604">
      <c r="C604" s="102"/>
      <c r="AG604" s="55"/>
    </row>
    <row r="605">
      <c r="C605" s="102"/>
      <c r="AG605" s="55"/>
    </row>
    <row r="606">
      <c r="C606" s="102"/>
      <c r="AG606" s="55"/>
    </row>
    <row r="607">
      <c r="C607" s="102"/>
      <c r="AG607" s="55"/>
    </row>
    <row r="608">
      <c r="C608" s="102"/>
      <c r="AG608" s="55"/>
    </row>
    <row r="609">
      <c r="C609" s="102"/>
      <c r="AG609" s="55"/>
    </row>
    <row r="610">
      <c r="C610" s="102"/>
      <c r="AG610" s="55"/>
    </row>
    <row r="611">
      <c r="C611" s="102"/>
      <c r="AG611" s="55"/>
    </row>
    <row r="612">
      <c r="C612" s="102"/>
      <c r="AG612" s="55"/>
    </row>
    <row r="613">
      <c r="C613" s="102"/>
      <c r="AG613" s="55"/>
    </row>
    <row r="614">
      <c r="C614" s="102"/>
      <c r="AG614" s="55"/>
    </row>
    <row r="615">
      <c r="C615" s="102"/>
      <c r="AG615" s="55"/>
    </row>
    <row r="616">
      <c r="C616" s="102"/>
      <c r="AG616" s="55"/>
    </row>
    <row r="617">
      <c r="C617" s="102"/>
      <c r="AG617" s="55"/>
    </row>
    <row r="618">
      <c r="C618" s="102"/>
      <c r="AG618" s="55"/>
    </row>
    <row r="619">
      <c r="C619" s="102"/>
      <c r="AG619" s="55"/>
    </row>
    <row r="620">
      <c r="C620" s="102"/>
      <c r="AG620" s="55"/>
    </row>
    <row r="621">
      <c r="C621" s="102"/>
      <c r="AG621" s="55"/>
    </row>
    <row r="622">
      <c r="C622" s="102"/>
      <c r="AG622" s="55"/>
    </row>
    <row r="623">
      <c r="C623" s="102"/>
      <c r="AG623" s="55"/>
    </row>
    <row r="624">
      <c r="C624" s="102"/>
      <c r="AG624" s="55"/>
    </row>
    <row r="625">
      <c r="C625" s="102"/>
      <c r="AG625" s="55"/>
    </row>
    <row r="626">
      <c r="C626" s="102"/>
      <c r="AG626" s="55"/>
    </row>
    <row r="627">
      <c r="C627" s="102"/>
      <c r="AG627" s="55"/>
    </row>
    <row r="628">
      <c r="C628" s="102"/>
      <c r="AG628" s="55"/>
    </row>
    <row r="629">
      <c r="C629" s="102"/>
      <c r="AG629" s="55"/>
    </row>
    <row r="630">
      <c r="C630" s="102"/>
      <c r="AG630" s="55"/>
    </row>
    <row r="631">
      <c r="C631" s="102"/>
      <c r="AG631" s="55"/>
    </row>
    <row r="632">
      <c r="C632" s="102"/>
      <c r="AG632" s="55"/>
    </row>
    <row r="633">
      <c r="C633" s="102"/>
      <c r="AG633" s="55"/>
    </row>
    <row r="634">
      <c r="C634" s="102"/>
      <c r="AG634" s="55"/>
    </row>
    <row r="635">
      <c r="C635" s="102"/>
      <c r="AG635" s="55"/>
    </row>
    <row r="636">
      <c r="C636" s="102"/>
      <c r="AG636" s="55"/>
    </row>
    <row r="637">
      <c r="C637" s="102"/>
      <c r="AG637" s="55"/>
    </row>
    <row r="638">
      <c r="C638" s="102"/>
      <c r="AG638" s="55"/>
    </row>
    <row r="639">
      <c r="C639" s="102"/>
      <c r="AG639" s="55"/>
    </row>
    <row r="640">
      <c r="C640" s="102"/>
      <c r="AG640" s="55"/>
    </row>
    <row r="641">
      <c r="C641" s="102"/>
      <c r="AG641" s="55"/>
    </row>
    <row r="642">
      <c r="C642" s="102"/>
      <c r="AG642" s="55"/>
    </row>
    <row r="643">
      <c r="C643" s="102"/>
      <c r="AG643" s="55"/>
    </row>
    <row r="644">
      <c r="C644" s="102"/>
      <c r="AG644" s="55"/>
    </row>
    <row r="645">
      <c r="C645" s="102"/>
      <c r="AG645" s="55"/>
    </row>
    <row r="646">
      <c r="C646" s="102"/>
      <c r="AG646" s="55"/>
    </row>
    <row r="647">
      <c r="C647" s="102"/>
      <c r="AG647" s="55"/>
    </row>
    <row r="648">
      <c r="C648" s="102"/>
      <c r="AG648" s="55"/>
    </row>
    <row r="649">
      <c r="C649" s="102"/>
      <c r="AG649" s="55"/>
    </row>
    <row r="650">
      <c r="C650" s="102"/>
      <c r="AG650" s="55"/>
    </row>
    <row r="651">
      <c r="C651" s="102"/>
      <c r="AG651" s="55"/>
    </row>
    <row r="652">
      <c r="C652" s="102"/>
      <c r="AG652" s="55"/>
    </row>
    <row r="653">
      <c r="C653" s="102"/>
      <c r="AG653" s="55"/>
    </row>
    <row r="654">
      <c r="C654" s="102"/>
      <c r="AG654" s="55"/>
    </row>
    <row r="655">
      <c r="C655" s="102"/>
      <c r="AG655" s="55"/>
    </row>
    <row r="656">
      <c r="C656" s="102"/>
      <c r="AG656" s="55"/>
    </row>
    <row r="657">
      <c r="C657" s="102"/>
      <c r="AG657" s="55"/>
    </row>
    <row r="658">
      <c r="C658" s="102"/>
      <c r="AG658" s="55"/>
    </row>
    <row r="659">
      <c r="C659" s="102"/>
      <c r="AG659" s="55"/>
    </row>
    <row r="660">
      <c r="C660" s="102"/>
      <c r="AG660" s="55"/>
    </row>
    <row r="661">
      <c r="C661" s="102"/>
      <c r="AG661" s="55"/>
    </row>
    <row r="662">
      <c r="C662" s="102"/>
      <c r="AG662" s="55"/>
    </row>
    <row r="663">
      <c r="C663" s="102"/>
      <c r="AG663" s="55"/>
    </row>
    <row r="664">
      <c r="C664" s="102"/>
      <c r="AG664" s="55"/>
    </row>
    <row r="665">
      <c r="C665" s="102"/>
      <c r="AG665" s="55"/>
    </row>
    <row r="666">
      <c r="C666" s="102"/>
      <c r="AG666" s="55"/>
    </row>
    <row r="667">
      <c r="C667" s="102"/>
      <c r="AG667" s="55"/>
    </row>
    <row r="668">
      <c r="C668" s="102"/>
      <c r="AG668" s="55"/>
    </row>
    <row r="669">
      <c r="C669" s="102"/>
      <c r="AG669" s="55"/>
    </row>
    <row r="670">
      <c r="C670" s="102"/>
      <c r="AG670" s="55"/>
    </row>
    <row r="671">
      <c r="C671" s="102"/>
      <c r="AG671" s="55"/>
    </row>
    <row r="672">
      <c r="C672" s="102"/>
      <c r="AG672" s="55"/>
    </row>
    <row r="673">
      <c r="C673" s="102"/>
      <c r="AG673" s="55"/>
    </row>
    <row r="674">
      <c r="C674" s="102"/>
      <c r="AG674" s="55"/>
    </row>
    <row r="675">
      <c r="C675" s="102"/>
      <c r="AG675" s="55"/>
    </row>
    <row r="676">
      <c r="C676" s="102"/>
      <c r="AG676" s="55"/>
    </row>
    <row r="677">
      <c r="C677" s="102"/>
      <c r="AG677" s="55"/>
    </row>
    <row r="678">
      <c r="C678" s="102"/>
      <c r="AG678" s="55"/>
    </row>
    <row r="679">
      <c r="C679" s="102"/>
      <c r="AG679" s="55"/>
    </row>
    <row r="680">
      <c r="C680" s="102"/>
      <c r="AG680" s="55"/>
    </row>
    <row r="681">
      <c r="C681" s="102"/>
      <c r="AG681" s="55"/>
    </row>
    <row r="682">
      <c r="C682" s="102"/>
      <c r="AG682" s="55"/>
    </row>
    <row r="683">
      <c r="C683" s="102"/>
      <c r="AG683" s="55"/>
    </row>
    <row r="684">
      <c r="C684" s="102"/>
      <c r="AG684" s="55"/>
    </row>
    <row r="685">
      <c r="C685" s="102"/>
      <c r="AG685" s="55"/>
    </row>
    <row r="686">
      <c r="C686" s="102"/>
      <c r="AG686" s="55"/>
    </row>
    <row r="687">
      <c r="C687" s="102"/>
      <c r="AG687" s="55"/>
    </row>
    <row r="688">
      <c r="C688" s="102"/>
      <c r="AG688" s="55"/>
    </row>
    <row r="689">
      <c r="C689" s="102"/>
      <c r="AG689" s="55"/>
    </row>
    <row r="690">
      <c r="C690" s="102"/>
      <c r="AG690" s="55"/>
    </row>
    <row r="691">
      <c r="C691" s="102"/>
      <c r="AG691" s="55"/>
    </row>
    <row r="692">
      <c r="C692" s="102"/>
      <c r="AG692" s="55"/>
    </row>
    <row r="693">
      <c r="C693" s="102"/>
      <c r="AG693" s="55"/>
    </row>
    <row r="694">
      <c r="C694" s="102"/>
      <c r="AG694" s="55"/>
    </row>
    <row r="695">
      <c r="C695" s="102"/>
      <c r="AG695" s="55"/>
    </row>
    <row r="696">
      <c r="C696" s="102"/>
      <c r="AG696" s="55"/>
    </row>
    <row r="697">
      <c r="C697" s="102"/>
      <c r="AG697" s="55"/>
    </row>
    <row r="698">
      <c r="C698" s="102"/>
      <c r="AG698" s="55"/>
    </row>
    <row r="699">
      <c r="C699" s="102"/>
      <c r="AG699" s="55"/>
    </row>
    <row r="700">
      <c r="C700" s="102"/>
      <c r="AG700" s="55"/>
    </row>
    <row r="701">
      <c r="C701" s="102"/>
      <c r="AG701" s="55"/>
    </row>
    <row r="702">
      <c r="C702" s="102"/>
      <c r="AG702" s="55"/>
    </row>
    <row r="703">
      <c r="C703" s="102"/>
      <c r="AG703" s="55"/>
    </row>
    <row r="704">
      <c r="C704" s="102"/>
      <c r="AG704" s="55"/>
    </row>
    <row r="705">
      <c r="C705" s="102"/>
      <c r="AG705" s="55"/>
    </row>
    <row r="706">
      <c r="C706" s="102"/>
      <c r="AG706" s="55"/>
    </row>
    <row r="707">
      <c r="C707" s="102"/>
      <c r="AG707" s="55"/>
    </row>
    <row r="708">
      <c r="C708" s="102"/>
      <c r="AG708" s="55"/>
    </row>
    <row r="709">
      <c r="C709" s="102"/>
      <c r="AG709" s="55"/>
    </row>
    <row r="710">
      <c r="C710" s="102"/>
      <c r="AG710" s="55"/>
    </row>
    <row r="711">
      <c r="C711" s="102"/>
      <c r="AG711" s="55"/>
    </row>
    <row r="712">
      <c r="C712" s="102"/>
      <c r="AG712" s="55"/>
    </row>
    <row r="713">
      <c r="C713" s="102"/>
      <c r="AG713" s="55"/>
    </row>
    <row r="714">
      <c r="C714" s="102"/>
      <c r="AG714" s="55"/>
    </row>
    <row r="715">
      <c r="C715" s="102"/>
      <c r="AG715" s="55"/>
    </row>
    <row r="716">
      <c r="C716" s="102"/>
      <c r="AG716" s="55"/>
    </row>
    <row r="717">
      <c r="C717" s="102"/>
      <c r="AG717" s="55"/>
    </row>
    <row r="718">
      <c r="C718" s="102"/>
      <c r="AG718" s="55"/>
    </row>
    <row r="719">
      <c r="C719" s="102"/>
      <c r="AG719" s="55"/>
    </row>
    <row r="720">
      <c r="C720" s="102"/>
      <c r="AG720" s="55"/>
    </row>
    <row r="721">
      <c r="C721" s="102"/>
      <c r="AG721" s="55"/>
    </row>
    <row r="722">
      <c r="C722" s="102"/>
      <c r="AG722" s="55"/>
    </row>
    <row r="723">
      <c r="C723" s="102"/>
      <c r="AG723" s="55"/>
    </row>
    <row r="724">
      <c r="C724" s="102"/>
      <c r="AG724" s="55"/>
    </row>
    <row r="725">
      <c r="C725" s="102"/>
      <c r="AG725" s="55"/>
    </row>
    <row r="726">
      <c r="C726" s="102"/>
      <c r="AG726" s="55"/>
    </row>
    <row r="727">
      <c r="C727" s="102"/>
      <c r="AG727" s="55"/>
    </row>
    <row r="728">
      <c r="C728" s="102"/>
      <c r="AG728" s="55"/>
    </row>
    <row r="729">
      <c r="C729" s="102"/>
      <c r="AG729" s="55"/>
    </row>
    <row r="730">
      <c r="C730" s="102"/>
      <c r="AG730" s="55"/>
    </row>
    <row r="731">
      <c r="C731" s="102"/>
      <c r="AG731" s="55"/>
    </row>
    <row r="732">
      <c r="C732" s="102"/>
      <c r="AG732" s="55"/>
    </row>
    <row r="733">
      <c r="C733" s="102"/>
      <c r="AG733" s="55"/>
    </row>
    <row r="734">
      <c r="C734" s="102"/>
      <c r="AG734" s="55"/>
    </row>
    <row r="735">
      <c r="C735" s="102"/>
      <c r="AG735" s="55"/>
    </row>
    <row r="736">
      <c r="C736" s="102"/>
      <c r="AG736" s="55"/>
    </row>
    <row r="737">
      <c r="C737" s="102"/>
      <c r="AG737" s="55"/>
    </row>
    <row r="738">
      <c r="C738" s="102"/>
      <c r="AG738" s="55"/>
    </row>
    <row r="739">
      <c r="C739" s="102"/>
      <c r="AG739" s="55"/>
    </row>
    <row r="740">
      <c r="C740" s="102"/>
      <c r="AG740" s="55"/>
    </row>
    <row r="741">
      <c r="C741" s="102"/>
      <c r="AG741" s="55"/>
    </row>
    <row r="742">
      <c r="C742" s="102"/>
      <c r="AG742" s="55"/>
    </row>
    <row r="743">
      <c r="C743" s="102"/>
      <c r="AG743" s="55"/>
    </row>
    <row r="744">
      <c r="C744" s="102"/>
      <c r="AG744" s="55"/>
    </row>
    <row r="745">
      <c r="C745" s="102"/>
      <c r="AG745" s="55"/>
    </row>
    <row r="746">
      <c r="C746" s="102"/>
      <c r="AG746" s="55"/>
    </row>
    <row r="747">
      <c r="C747" s="102"/>
      <c r="AG747" s="55"/>
    </row>
    <row r="748">
      <c r="C748" s="102"/>
      <c r="AG748" s="55"/>
    </row>
    <row r="749">
      <c r="C749" s="102"/>
      <c r="AG749" s="55"/>
    </row>
    <row r="750">
      <c r="C750" s="102"/>
      <c r="AG750" s="55"/>
    </row>
    <row r="751">
      <c r="C751" s="102"/>
      <c r="AG751" s="55"/>
    </row>
    <row r="752">
      <c r="C752" s="102"/>
      <c r="AG752" s="55"/>
    </row>
    <row r="753">
      <c r="C753" s="102"/>
      <c r="AG753" s="55"/>
    </row>
    <row r="754">
      <c r="C754" s="102"/>
      <c r="AG754" s="55"/>
    </row>
    <row r="755">
      <c r="C755" s="102"/>
      <c r="AG755" s="55"/>
    </row>
    <row r="756">
      <c r="C756" s="102"/>
      <c r="AG756" s="55"/>
    </row>
    <row r="757">
      <c r="C757" s="102"/>
      <c r="AG757" s="55"/>
    </row>
    <row r="758">
      <c r="C758" s="102"/>
      <c r="AG758" s="55"/>
    </row>
    <row r="759">
      <c r="C759" s="102"/>
      <c r="AG759" s="55"/>
    </row>
    <row r="760">
      <c r="C760" s="102"/>
      <c r="AG760" s="55"/>
    </row>
    <row r="761">
      <c r="C761" s="102"/>
      <c r="AG761" s="55"/>
    </row>
    <row r="762">
      <c r="C762" s="102"/>
      <c r="AG762" s="55"/>
    </row>
    <row r="763">
      <c r="C763" s="102"/>
      <c r="AG763" s="55"/>
    </row>
    <row r="764">
      <c r="C764" s="102"/>
      <c r="AG764" s="55"/>
    </row>
    <row r="765">
      <c r="C765" s="102"/>
      <c r="AG765" s="55"/>
    </row>
    <row r="766">
      <c r="C766" s="102"/>
      <c r="AG766" s="55"/>
    </row>
    <row r="767">
      <c r="C767" s="102"/>
      <c r="AG767" s="55"/>
    </row>
    <row r="768">
      <c r="C768" s="102"/>
      <c r="AG768" s="55"/>
    </row>
    <row r="769">
      <c r="C769" s="102"/>
      <c r="AG769" s="55"/>
    </row>
    <row r="770">
      <c r="C770" s="102"/>
      <c r="AG770" s="55"/>
    </row>
    <row r="771">
      <c r="C771" s="102"/>
      <c r="AG771" s="55"/>
    </row>
    <row r="772">
      <c r="C772" s="102"/>
      <c r="AG772" s="55"/>
    </row>
    <row r="773">
      <c r="C773" s="102"/>
      <c r="AG773" s="55"/>
    </row>
    <row r="774">
      <c r="C774" s="102"/>
      <c r="AG774" s="55"/>
    </row>
    <row r="775">
      <c r="C775" s="102"/>
      <c r="AG775" s="55"/>
    </row>
    <row r="776">
      <c r="C776" s="102"/>
      <c r="AG776" s="55"/>
    </row>
    <row r="777">
      <c r="C777" s="102"/>
      <c r="AG777" s="55"/>
    </row>
    <row r="778">
      <c r="C778" s="102"/>
      <c r="AG778" s="55"/>
    </row>
    <row r="779">
      <c r="C779" s="102"/>
      <c r="AG779" s="55"/>
    </row>
    <row r="780">
      <c r="C780" s="102"/>
      <c r="AG780" s="55"/>
    </row>
    <row r="781">
      <c r="C781" s="102"/>
      <c r="AG781" s="55"/>
    </row>
    <row r="782">
      <c r="C782" s="102"/>
      <c r="AG782" s="55"/>
    </row>
    <row r="783">
      <c r="C783" s="102"/>
      <c r="AG783" s="55"/>
    </row>
    <row r="784">
      <c r="C784" s="102"/>
      <c r="AG784" s="55"/>
    </row>
    <row r="785">
      <c r="C785" s="102"/>
      <c r="AG785" s="55"/>
    </row>
    <row r="786">
      <c r="C786" s="102"/>
      <c r="AG786" s="55"/>
    </row>
    <row r="787">
      <c r="C787" s="102"/>
      <c r="AG787" s="55"/>
    </row>
    <row r="788">
      <c r="C788" s="102"/>
      <c r="AG788" s="55"/>
    </row>
    <row r="789">
      <c r="C789" s="102"/>
      <c r="AG789" s="55"/>
    </row>
    <row r="790">
      <c r="C790" s="102"/>
      <c r="AG790" s="55"/>
    </row>
    <row r="791">
      <c r="C791" s="102"/>
      <c r="AG791" s="55"/>
    </row>
    <row r="792">
      <c r="C792" s="102"/>
      <c r="AG792" s="55"/>
    </row>
    <row r="793">
      <c r="C793" s="102"/>
      <c r="AG793" s="55"/>
    </row>
    <row r="794">
      <c r="C794" s="102"/>
      <c r="AG794" s="55"/>
    </row>
    <row r="795">
      <c r="C795" s="102"/>
      <c r="AG795" s="55"/>
    </row>
    <row r="796">
      <c r="C796" s="102"/>
      <c r="AG796" s="55"/>
    </row>
    <row r="797">
      <c r="C797" s="102"/>
      <c r="AG797" s="55"/>
    </row>
    <row r="798">
      <c r="C798" s="102"/>
      <c r="AG798" s="55"/>
    </row>
    <row r="799">
      <c r="C799" s="102"/>
      <c r="AG799" s="55"/>
    </row>
    <row r="800">
      <c r="C800" s="102"/>
      <c r="AG800" s="55"/>
    </row>
    <row r="801">
      <c r="C801" s="102"/>
      <c r="AG801" s="55"/>
    </row>
    <row r="802">
      <c r="C802" s="102"/>
      <c r="AG802" s="55"/>
    </row>
    <row r="803">
      <c r="C803" s="102"/>
      <c r="AG803" s="55"/>
    </row>
    <row r="804">
      <c r="C804" s="102"/>
      <c r="AG804" s="55"/>
    </row>
    <row r="805">
      <c r="C805" s="102"/>
      <c r="AG805" s="55"/>
    </row>
    <row r="806">
      <c r="C806" s="102"/>
      <c r="AG806" s="55"/>
    </row>
    <row r="807">
      <c r="C807" s="102"/>
      <c r="AG807" s="55"/>
    </row>
    <row r="808">
      <c r="C808" s="102"/>
      <c r="AG808" s="55"/>
    </row>
    <row r="809">
      <c r="C809" s="102"/>
      <c r="AG809" s="55"/>
    </row>
    <row r="810">
      <c r="C810" s="102"/>
      <c r="AG810" s="55"/>
    </row>
    <row r="811">
      <c r="C811" s="102"/>
      <c r="AG811" s="55"/>
    </row>
    <row r="812">
      <c r="C812" s="102"/>
      <c r="AG812" s="55"/>
    </row>
    <row r="813">
      <c r="C813" s="102"/>
      <c r="AG813" s="55"/>
    </row>
    <row r="814">
      <c r="C814" s="102"/>
      <c r="AG814" s="55"/>
    </row>
    <row r="815">
      <c r="C815" s="102"/>
      <c r="AG815" s="55"/>
    </row>
    <row r="816">
      <c r="C816" s="102"/>
      <c r="AG816" s="55"/>
    </row>
    <row r="817">
      <c r="C817" s="102"/>
      <c r="AG817" s="55"/>
    </row>
    <row r="818">
      <c r="C818" s="102"/>
      <c r="AG818" s="55"/>
    </row>
    <row r="819">
      <c r="C819" s="102"/>
      <c r="AG819" s="55"/>
    </row>
    <row r="820">
      <c r="C820" s="102"/>
      <c r="AG820" s="55"/>
    </row>
    <row r="821">
      <c r="C821" s="102"/>
      <c r="AG821" s="55"/>
    </row>
    <row r="822">
      <c r="C822" s="102"/>
      <c r="AG822" s="55"/>
    </row>
    <row r="823">
      <c r="C823" s="102"/>
      <c r="AG823" s="55"/>
    </row>
    <row r="824">
      <c r="C824" s="102"/>
      <c r="AG824" s="55"/>
    </row>
    <row r="825">
      <c r="C825" s="102"/>
      <c r="AG825" s="55"/>
    </row>
    <row r="826">
      <c r="C826" s="102"/>
      <c r="AG826" s="55"/>
    </row>
    <row r="827">
      <c r="C827" s="102"/>
      <c r="AG827" s="55"/>
    </row>
    <row r="828">
      <c r="C828" s="102"/>
      <c r="AG828" s="55"/>
    </row>
    <row r="829">
      <c r="C829" s="102"/>
      <c r="AG829" s="55"/>
    </row>
    <row r="830">
      <c r="C830" s="102"/>
      <c r="AG830" s="55"/>
    </row>
    <row r="831">
      <c r="C831" s="102"/>
      <c r="AG831" s="55"/>
    </row>
    <row r="832">
      <c r="C832" s="102"/>
      <c r="AG832" s="55"/>
    </row>
    <row r="833">
      <c r="C833" s="102"/>
      <c r="AG833" s="55"/>
    </row>
    <row r="834">
      <c r="C834" s="102"/>
      <c r="AG834" s="55"/>
    </row>
    <row r="835">
      <c r="C835" s="102"/>
      <c r="AG835" s="55"/>
    </row>
    <row r="836">
      <c r="C836" s="102"/>
      <c r="AG836" s="55"/>
    </row>
    <row r="837">
      <c r="C837" s="102"/>
      <c r="AG837" s="55"/>
    </row>
    <row r="838">
      <c r="C838" s="102"/>
      <c r="AG838" s="55"/>
    </row>
    <row r="839">
      <c r="C839" s="102"/>
      <c r="AG839" s="55"/>
    </row>
    <row r="840">
      <c r="C840" s="102"/>
      <c r="AG840" s="55"/>
    </row>
    <row r="841">
      <c r="C841" s="102"/>
      <c r="AG841" s="55"/>
    </row>
    <row r="842">
      <c r="C842" s="102"/>
      <c r="AG842" s="55"/>
    </row>
    <row r="843">
      <c r="C843" s="102"/>
      <c r="AG843" s="55"/>
    </row>
    <row r="844">
      <c r="C844" s="102"/>
      <c r="AG844" s="55"/>
    </row>
    <row r="845">
      <c r="C845" s="102"/>
      <c r="AG845" s="55"/>
    </row>
    <row r="846">
      <c r="C846" s="102"/>
      <c r="AG846" s="55"/>
    </row>
    <row r="847">
      <c r="C847" s="102"/>
      <c r="AG847" s="55"/>
    </row>
    <row r="848">
      <c r="C848" s="102"/>
      <c r="AG848" s="55"/>
    </row>
    <row r="849">
      <c r="C849" s="102"/>
      <c r="AG849" s="55"/>
    </row>
    <row r="850">
      <c r="C850" s="102"/>
      <c r="AG850" s="55"/>
    </row>
    <row r="851">
      <c r="C851" s="102"/>
      <c r="AG851" s="55"/>
    </row>
    <row r="852">
      <c r="C852" s="102"/>
      <c r="AG852" s="55"/>
    </row>
    <row r="853">
      <c r="C853" s="102"/>
      <c r="AG853" s="55"/>
    </row>
    <row r="854">
      <c r="C854" s="102"/>
      <c r="AG854" s="55"/>
    </row>
    <row r="855">
      <c r="C855" s="102"/>
      <c r="AG855" s="55"/>
    </row>
    <row r="856">
      <c r="C856" s="102"/>
      <c r="AG856" s="55"/>
    </row>
    <row r="857">
      <c r="C857" s="102"/>
      <c r="AG857" s="55"/>
    </row>
    <row r="858">
      <c r="C858" s="102"/>
      <c r="AG858" s="55"/>
    </row>
    <row r="859">
      <c r="C859" s="102"/>
      <c r="AG859" s="55"/>
    </row>
    <row r="860">
      <c r="C860" s="102"/>
      <c r="AG860" s="55"/>
    </row>
    <row r="861">
      <c r="C861" s="102"/>
      <c r="AG861" s="55"/>
    </row>
    <row r="862">
      <c r="C862" s="102"/>
      <c r="AG862" s="55"/>
    </row>
    <row r="863">
      <c r="C863" s="102"/>
      <c r="AG863" s="55"/>
    </row>
    <row r="864">
      <c r="C864" s="102"/>
      <c r="AG864" s="55"/>
    </row>
    <row r="865">
      <c r="C865" s="102"/>
      <c r="AG865" s="55"/>
    </row>
    <row r="866">
      <c r="C866" s="102"/>
      <c r="AG866" s="55"/>
    </row>
    <row r="867">
      <c r="C867" s="102"/>
      <c r="AG867" s="55"/>
    </row>
    <row r="868">
      <c r="C868" s="102"/>
      <c r="AG868" s="55"/>
    </row>
    <row r="869">
      <c r="C869" s="102"/>
      <c r="AG869" s="55"/>
    </row>
    <row r="870">
      <c r="C870" s="102"/>
      <c r="AG870" s="55"/>
    </row>
    <row r="871">
      <c r="C871" s="102"/>
      <c r="AG871" s="55"/>
    </row>
    <row r="872">
      <c r="C872" s="102"/>
      <c r="AG872" s="55"/>
    </row>
    <row r="873">
      <c r="C873" s="102"/>
      <c r="AG873" s="55"/>
    </row>
    <row r="874">
      <c r="C874" s="102"/>
      <c r="AG874" s="55"/>
    </row>
    <row r="875">
      <c r="C875" s="102"/>
      <c r="AG875" s="55"/>
    </row>
    <row r="876">
      <c r="C876" s="102"/>
      <c r="AG876" s="55"/>
    </row>
    <row r="877">
      <c r="C877" s="102"/>
      <c r="AG877" s="55"/>
    </row>
    <row r="878">
      <c r="C878" s="102"/>
      <c r="AG878" s="55"/>
    </row>
    <row r="879">
      <c r="C879" s="102"/>
      <c r="AG879" s="55"/>
    </row>
    <row r="880">
      <c r="C880" s="102"/>
      <c r="AG880" s="55"/>
    </row>
    <row r="881">
      <c r="C881" s="102"/>
      <c r="AG881" s="55"/>
    </row>
    <row r="882">
      <c r="C882" s="102"/>
      <c r="AG882" s="55"/>
    </row>
    <row r="883">
      <c r="C883" s="102"/>
      <c r="AG883" s="55"/>
    </row>
    <row r="884">
      <c r="C884" s="102"/>
      <c r="AG884" s="55"/>
    </row>
    <row r="885">
      <c r="C885" s="102"/>
      <c r="AG885" s="55"/>
    </row>
    <row r="886">
      <c r="C886" s="102"/>
      <c r="AG886" s="55"/>
    </row>
    <row r="887">
      <c r="C887" s="102"/>
      <c r="AG887" s="55"/>
    </row>
    <row r="888">
      <c r="C888" s="102"/>
      <c r="AG888" s="55"/>
    </row>
    <row r="889">
      <c r="C889" s="102"/>
      <c r="AG889" s="55"/>
    </row>
    <row r="890">
      <c r="C890" s="102"/>
      <c r="AG890" s="55"/>
    </row>
    <row r="891">
      <c r="C891" s="102"/>
      <c r="AG891" s="55"/>
    </row>
    <row r="892">
      <c r="C892" s="102"/>
      <c r="AG892" s="55"/>
    </row>
    <row r="893">
      <c r="C893" s="102"/>
      <c r="AG893" s="55"/>
    </row>
    <row r="894">
      <c r="C894" s="102"/>
      <c r="AG894" s="55"/>
    </row>
    <row r="895">
      <c r="C895" s="102"/>
      <c r="AG895" s="55"/>
    </row>
    <row r="896">
      <c r="C896" s="102"/>
      <c r="AG896" s="55"/>
    </row>
    <row r="897">
      <c r="C897" s="102"/>
      <c r="AG897" s="55"/>
    </row>
    <row r="898">
      <c r="C898" s="102"/>
      <c r="AG898" s="55"/>
    </row>
    <row r="899">
      <c r="C899" s="102"/>
      <c r="AG899" s="55"/>
    </row>
    <row r="900">
      <c r="C900" s="102"/>
      <c r="AG900" s="55"/>
    </row>
    <row r="901">
      <c r="C901" s="102"/>
      <c r="AG901" s="55"/>
    </row>
    <row r="902">
      <c r="C902" s="102"/>
      <c r="AG902" s="55"/>
    </row>
    <row r="903">
      <c r="C903" s="102"/>
      <c r="AG903" s="55"/>
    </row>
    <row r="904">
      <c r="C904" s="102"/>
      <c r="AG904" s="55"/>
    </row>
    <row r="905">
      <c r="C905" s="102"/>
      <c r="AG905" s="55"/>
    </row>
    <row r="906">
      <c r="C906" s="102"/>
      <c r="AG906" s="55"/>
    </row>
    <row r="907">
      <c r="C907" s="102"/>
      <c r="AG907" s="55"/>
    </row>
    <row r="908">
      <c r="C908" s="102"/>
      <c r="AG908" s="55"/>
    </row>
    <row r="909">
      <c r="C909" s="102"/>
      <c r="AG909" s="55"/>
    </row>
    <row r="910">
      <c r="C910" s="102"/>
      <c r="AG910" s="55"/>
    </row>
    <row r="911">
      <c r="C911" s="102"/>
      <c r="AG911" s="55"/>
    </row>
    <row r="912">
      <c r="C912" s="102"/>
      <c r="AG912" s="55"/>
    </row>
    <row r="913">
      <c r="C913" s="102"/>
      <c r="AG913" s="55"/>
    </row>
    <row r="914">
      <c r="C914" s="102"/>
      <c r="AG914" s="55"/>
    </row>
    <row r="915">
      <c r="C915" s="102"/>
      <c r="AG915" s="55"/>
    </row>
    <row r="916">
      <c r="C916" s="102"/>
      <c r="AG916" s="55"/>
    </row>
    <row r="917">
      <c r="C917" s="102"/>
      <c r="AG917" s="55"/>
    </row>
    <row r="918">
      <c r="C918" s="102"/>
      <c r="AG918" s="55"/>
    </row>
    <row r="919">
      <c r="C919" s="102"/>
      <c r="AG919" s="55"/>
    </row>
    <row r="920">
      <c r="C920" s="102"/>
      <c r="AG920" s="55"/>
    </row>
    <row r="921">
      <c r="C921" s="102"/>
      <c r="AG921" s="55"/>
    </row>
    <row r="922">
      <c r="C922" s="102"/>
      <c r="AG922" s="55"/>
    </row>
    <row r="923">
      <c r="C923" s="102"/>
      <c r="AG923" s="55"/>
    </row>
    <row r="924">
      <c r="C924" s="102"/>
      <c r="AG924" s="55"/>
    </row>
    <row r="925">
      <c r="C925" s="102"/>
      <c r="AG925" s="55"/>
    </row>
    <row r="926">
      <c r="C926" s="102"/>
      <c r="AG926" s="55"/>
    </row>
    <row r="927">
      <c r="C927" s="102"/>
      <c r="AG927" s="55"/>
    </row>
    <row r="928">
      <c r="C928" s="102"/>
      <c r="AG928" s="55"/>
    </row>
    <row r="929">
      <c r="C929" s="102"/>
      <c r="AG929" s="55"/>
    </row>
    <row r="930">
      <c r="C930" s="102"/>
      <c r="AG930" s="55"/>
    </row>
    <row r="931">
      <c r="C931" s="102"/>
      <c r="AG931" s="55"/>
    </row>
    <row r="932">
      <c r="C932" s="102"/>
      <c r="AG932" s="55"/>
    </row>
    <row r="933">
      <c r="C933" s="102"/>
      <c r="AG933" s="55"/>
    </row>
    <row r="934">
      <c r="C934" s="102"/>
      <c r="AG934" s="55"/>
    </row>
    <row r="935">
      <c r="C935" s="102"/>
      <c r="AG935" s="55"/>
    </row>
    <row r="936">
      <c r="C936" s="102"/>
      <c r="AG936" s="55"/>
    </row>
    <row r="937">
      <c r="C937" s="102"/>
      <c r="AG937" s="55"/>
    </row>
    <row r="938">
      <c r="C938" s="102"/>
      <c r="AG938" s="55"/>
    </row>
    <row r="939">
      <c r="C939" s="102"/>
      <c r="AG939" s="55"/>
    </row>
    <row r="940">
      <c r="C940" s="102"/>
      <c r="AG940" s="55"/>
    </row>
    <row r="941">
      <c r="C941" s="102"/>
      <c r="AG941" s="55"/>
    </row>
    <row r="942">
      <c r="C942" s="102"/>
      <c r="AG942" s="55"/>
    </row>
    <row r="943">
      <c r="C943" s="102"/>
      <c r="AG943" s="55"/>
    </row>
    <row r="944">
      <c r="C944" s="102"/>
      <c r="AG944" s="55"/>
    </row>
    <row r="945">
      <c r="C945" s="102"/>
      <c r="AG945" s="55"/>
    </row>
    <row r="946">
      <c r="C946" s="102"/>
      <c r="AG946" s="55"/>
    </row>
    <row r="947">
      <c r="C947" s="102"/>
      <c r="AG947" s="55"/>
    </row>
    <row r="948">
      <c r="C948" s="102"/>
      <c r="AG948" s="55"/>
    </row>
    <row r="949">
      <c r="C949" s="102"/>
      <c r="AG949" s="55"/>
    </row>
    <row r="950">
      <c r="C950" s="102"/>
      <c r="AG950" s="55"/>
    </row>
    <row r="951">
      <c r="C951" s="102"/>
      <c r="AG951" s="55"/>
    </row>
    <row r="952">
      <c r="C952" s="102"/>
      <c r="AG952" s="55"/>
    </row>
    <row r="953">
      <c r="C953" s="102"/>
      <c r="AG953" s="55"/>
    </row>
    <row r="954">
      <c r="C954" s="102"/>
      <c r="AG954" s="55"/>
    </row>
    <row r="955">
      <c r="C955" s="102"/>
      <c r="AG955" s="55"/>
    </row>
    <row r="956">
      <c r="C956" s="102"/>
      <c r="AG956" s="55"/>
    </row>
    <row r="957">
      <c r="C957" s="102"/>
      <c r="AG957" s="55"/>
    </row>
    <row r="958">
      <c r="C958" s="102"/>
      <c r="AG958" s="55"/>
    </row>
    <row r="959">
      <c r="C959" s="102"/>
      <c r="AG959" s="55"/>
    </row>
    <row r="960">
      <c r="C960" s="102"/>
      <c r="AG960" s="55"/>
    </row>
    <row r="961">
      <c r="C961" s="102"/>
      <c r="AG961" s="55"/>
    </row>
    <row r="962">
      <c r="C962" s="102"/>
      <c r="AG962" s="55"/>
    </row>
    <row r="963">
      <c r="C963" s="102"/>
      <c r="AG963" s="55"/>
    </row>
    <row r="964">
      <c r="C964" s="102"/>
      <c r="AG964" s="55"/>
    </row>
    <row r="965">
      <c r="C965" s="102"/>
      <c r="AG965" s="55"/>
    </row>
    <row r="966">
      <c r="C966" s="102"/>
      <c r="AG966" s="55"/>
    </row>
    <row r="967">
      <c r="C967" s="102"/>
      <c r="AG967" s="55"/>
    </row>
    <row r="968">
      <c r="C968" s="102"/>
      <c r="AG968" s="55"/>
    </row>
    <row r="969">
      <c r="C969" s="102"/>
      <c r="AG969" s="55"/>
    </row>
    <row r="970">
      <c r="C970" s="102"/>
      <c r="AG970" s="55"/>
    </row>
    <row r="971">
      <c r="C971" s="102"/>
      <c r="AG971" s="55"/>
    </row>
    <row r="972">
      <c r="C972" s="102"/>
      <c r="AG972" s="55"/>
    </row>
    <row r="973">
      <c r="C973" s="102"/>
      <c r="AG973" s="55"/>
    </row>
    <row r="974">
      <c r="C974" s="102"/>
      <c r="AG974" s="55"/>
    </row>
    <row r="975">
      <c r="C975" s="102"/>
      <c r="AG975" s="55"/>
    </row>
    <row r="976">
      <c r="C976" s="102"/>
      <c r="AG976" s="55"/>
    </row>
    <row r="977">
      <c r="C977" s="102"/>
      <c r="AG977" s="55"/>
    </row>
    <row r="978">
      <c r="C978" s="102"/>
      <c r="AG978" s="55"/>
    </row>
    <row r="979">
      <c r="C979" s="102"/>
      <c r="AG979" s="55"/>
    </row>
    <row r="980">
      <c r="C980" s="102"/>
      <c r="AG980" s="55"/>
    </row>
    <row r="981">
      <c r="C981" s="102"/>
      <c r="AG981" s="55"/>
    </row>
    <row r="982">
      <c r="C982" s="102"/>
      <c r="AG982" s="55"/>
    </row>
    <row r="983">
      <c r="C983" s="102"/>
      <c r="AG983" s="55"/>
    </row>
    <row r="984">
      <c r="C984" s="102"/>
      <c r="AG984" s="55"/>
    </row>
    <row r="985">
      <c r="C985" s="102"/>
      <c r="AG985" s="55"/>
    </row>
    <row r="986">
      <c r="C986" s="102"/>
      <c r="AG986" s="55"/>
    </row>
    <row r="987">
      <c r="C987" s="102"/>
      <c r="AG987" s="55"/>
    </row>
    <row r="988">
      <c r="C988" s="102"/>
      <c r="AG988" s="55"/>
    </row>
    <row r="989">
      <c r="C989" s="102"/>
      <c r="AG989" s="55"/>
    </row>
    <row r="990">
      <c r="C990" s="102"/>
      <c r="AG990" s="55"/>
    </row>
    <row r="991">
      <c r="C991" s="102"/>
      <c r="AG991" s="55"/>
    </row>
    <row r="992">
      <c r="C992" s="102"/>
      <c r="AG992" s="55"/>
    </row>
    <row r="993">
      <c r="C993" s="102"/>
      <c r="AG993" s="55"/>
    </row>
    <row r="994">
      <c r="C994" s="102"/>
      <c r="AG994" s="55"/>
    </row>
    <row r="995">
      <c r="C995" s="102"/>
      <c r="AG995" s="55"/>
    </row>
    <row r="996">
      <c r="C996" s="102"/>
      <c r="AG996" s="55"/>
    </row>
    <row r="997">
      <c r="C997" s="102"/>
      <c r="AG997" s="55"/>
    </row>
    <row r="998">
      <c r="C998" s="102"/>
      <c r="AG998" s="55"/>
    </row>
    <row r="999">
      <c r="C999" s="102"/>
      <c r="AG999" s="55"/>
    </row>
    <row r="1000">
      <c r="C1000" s="42"/>
      <c r="AG1000" s="55"/>
    </row>
  </sheetData>
  <dataValidations>
    <dataValidation type="list" allowBlank="1" showErrorMessage="1" sqref="C2:C31">
      <formula1>"1,2,3,4,5,6,N"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0CA3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.0"/>
    <col customWidth="1" min="2" max="2" width="23.63"/>
    <col customWidth="1" min="3" max="3" width="4.75"/>
    <col customWidth="1" min="4" max="18" width="3.13"/>
  </cols>
  <sheetData>
    <row r="1" ht="115.5" customHeight="1">
      <c r="A1" s="103" t="s">
        <v>365</v>
      </c>
      <c r="B1" s="103" t="s">
        <v>416</v>
      </c>
      <c r="C1" s="104" t="s">
        <v>367</v>
      </c>
      <c r="D1" s="105" t="s">
        <v>381</v>
      </c>
      <c r="E1" s="105" t="s">
        <v>394</v>
      </c>
      <c r="F1" s="105" t="s">
        <v>372</v>
      </c>
      <c r="G1" s="105" t="s">
        <v>392</v>
      </c>
      <c r="H1" s="105" t="s">
        <v>374</v>
      </c>
      <c r="I1" s="105" t="s">
        <v>375</v>
      </c>
      <c r="J1" s="105" t="s">
        <v>390</v>
      </c>
      <c r="K1" s="105" t="s">
        <v>434</v>
      </c>
      <c r="L1" s="105" t="s">
        <v>435</v>
      </c>
      <c r="M1" s="105" t="s">
        <v>391</v>
      </c>
      <c r="N1" s="105" t="s">
        <v>436</v>
      </c>
      <c r="O1" s="105" t="s">
        <v>387</v>
      </c>
      <c r="P1" s="106" t="s">
        <v>414</v>
      </c>
      <c r="Q1" s="107" t="s">
        <v>398</v>
      </c>
      <c r="R1" s="108" t="s">
        <v>399</v>
      </c>
    </row>
    <row r="2">
      <c r="A2" s="58">
        <v>1.0</v>
      </c>
      <c r="B2" s="59" t="s">
        <v>62</v>
      </c>
      <c r="C2" s="95">
        <v>2.0</v>
      </c>
      <c r="D2" s="63"/>
      <c r="E2" s="63"/>
      <c r="F2" s="63">
        <v>10.0</v>
      </c>
      <c r="G2" s="63"/>
      <c r="H2" s="63">
        <v>8.0</v>
      </c>
      <c r="I2" s="63">
        <v>12.0</v>
      </c>
      <c r="J2" s="63">
        <v>12.0</v>
      </c>
      <c r="K2" s="63">
        <v>8.0</v>
      </c>
      <c r="L2" s="63"/>
      <c r="M2" s="63"/>
      <c r="N2" s="63"/>
      <c r="O2" s="63">
        <v>12.0</v>
      </c>
      <c r="P2" s="61">
        <v>6.0</v>
      </c>
      <c r="Q2" s="63">
        <f t="shared" ref="Q2:Q5" si="1">COUNT(D2:P2)</f>
        <v>7</v>
      </c>
      <c r="R2" s="62">
        <f t="shared" ref="R2:R27" si="2">SUM(D2:P2)</f>
        <v>68</v>
      </c>
    </row>
    <row r="3">
      <c r="A3" s="58">
        <v>2.0</v>
      </c>
      <c r="B3" s="59" t="s">
        <v>187</v>
      </c>
      <c r="C3" s="95">
        <v>5.0</v>
      </c>
      <c r="D3" s="63"/>
      <c r="E3" s="63"/>
      <c r="F3" s="63"/>
      <c r="G3" s="63"/>
      <c r="H3" s="63">
        <v>12.0</v>
      </c>
      <c r="I3" s="63">
        <v>1.0</v>
      </c>
      <c r="J3" s="63"/>
      <c r="K3" s="63">
        <v>7.0</v>
      </c>
      <c r="L3" s="63">
        <v>10.0</v>
      </c>
      <c r="M3" s="63">
        <v>12.0</v>
      </c>
      <c r="N3" s="63">
        <v>6.0</v>
      </c>
      <c r="O3" s="63"/>
      <c r="P3" s="61">
        <v>6.0</v>
      </c>
      <c r="Q3" s="63">
        <f t="shared" si="1"/>
        <v>7</v>
      </c>
      <c r="R3" s="62">
        <f t="shared" si="2"/>
        <v>54</v>
      </c>
    </row>
    <row r="4">
      <c r="A4" s="109">
        <v>3.0</v>
      </c>
      <c r="B4" s="110" t="s">
        <v>261</v>
      </c>
      <c r="C4" s="111">
        <v>3.0</v>
      </c>
      <c r="D4" s="112"/>
      <c r="E4" s="112"/>
      <c r="F4" s="112">
        <v>8.0</v>
      </c>
      <c r="G4" s="112"/>
      <c r="H4" s="112">
        <v>7.0</v>
      </c>
      <c r="I4" s="112"/>
      <c r="J4" s="112">
        <v>5.0</v>
      </c>
      <c r="K4" s="112"/>
      <c r="L4" s="112">
        <v>12.0</v>
      </c>
      <c r="M4" s="112"/>
      <c r="N4" s="112">
        <v>12.0</v>
      </c>
      <c r="O4" s="112"/>
      <c r="P4" s="113">
        <v>6.0</v>
      </c>
      <c r="Q4" s="112">
        <f t="shared" si="1"/>
        <v>6</v>
      </c>
      <c r="R4" s="114">
        <f t="shared" si="2"/>
        <v>50</v>
      </c>
    </row>
    <row r="5">
      <c r="A5" s="58">
        <v>4.0</v>
      </c>
      <c r="B5" s="59" t="s">
        <v>72</v>
      </c>
      <c r="C5" s="95">
        <v>3.0</v>
      </c>
      <c r="D5" s="63">
        <v>12.0</v>
      </c>
      <c r="E5" s="63"/>
      <c r="F5" s="63">
        <v>1.0</v>
      </c>
      <c r="G5" s="63">
        <v>5.0</v>
      </c>
      <c r="H5" s="63"/>
      <c r="I5" s="63"/>
      <c r="J5" s="63">
        <v>2.0</v>
      </c>
      <c r="K5" s="63">
        <v>2.0</v>
      </c>
      <c r="L5" s="63"/>
      <c r="M5" s="63"/>
      <c r="N5" s="63">
        <v>10.0</v>
      </c>
      <c r="O5" s="63">
        <v>10.0</v>
      </c>
      <c r="P5" s="61">
        <v>6.0</v>
      </c>
      <c r="Q5" s="63">
        <f t="shared" si="1"/>
        <v>8</v>
      </c>
      <c r="R5" s="62">
        <f t="shared" si="2"/>
        <v>48</v>
      </c>
    </row>
    <row r="6">
      <c r="A6" s="58">
        <v>5.0</v>
      </c>
      <c r="B6" s="59" t="s">
        <v>117</v>
      </c>
      <c r="C6" s="95">
        <v>2.0</v>
      </c>
      <c r="D6" s="63"/>
      <c r="E6" s="63"/>
      <c r="F6" s="63">
        <v>12.0</v>
      </c>
      <c r="G6" s="63"/>
      <c r="H6" s="63"/>
      <c r="I6" s="63">
        <v>3.0</v>
      </c>
      <c r="J6" s="63">
        <v>3.0</v>
      </c>
      <c r="K6" s="63">
        <v>10.0</v>
      </c>
      <c r="L6" s="63"/>
      <c r="M6" s="63">
        <v>2.0</v>
      </c>
      <c r="N6" s="63">
        <v>7.0</v>
      </c>
      <c r="O6" s="63">
        <v>5.0</v>
      </c>
      <c r="P6" s="61"/>
      <c r="Q6" s="63">
        <f>COUNT(D6:O6)</f>
        <v>7</v>
      </c>
      <c r="R6" s="62">
        <f t="shared" si="2"/>
        <v>42</v>
      </c>
    </row>
    <row r="7">
      <c r="A7" s="58">
        <v>6.0</v>
      </c>
      <c r="B7" s="59" t="s">
        <v>286</v>
      </c>
      <c r="C7" s="95">
        <v>1.0</v>
      </c>
      <c r="D7" s="63">
        <v>1.0</v>
      </c>
      <c r="E7" s="63">
        <v>12.0</v>
      </c>
      <c r="F7" s="63">
        <v>7.0</v>
      </c>
      <c r="G7" s="63">
        <v>4.0</v>
      </c>
      <c r="H7" s="63"/>
      <c r="I7" s="63"/>
      <c r="J7" s="63"/>
      <c r="K7" s="63">
        <v>1.0</v>
      </c>
      <c r="L7" s="63"/>
      <c r="M7" s="63">
        <v>5.0</v>
      </c>
      <c r="N7" s="63"/>
      <c r="O7" s="63">
        <v>6.0</v>
      </c>
      <c r="P7" s="61">
        <v>6.0</v>
      </c>
      <c r="Q7" s="63">
        <f t="shared" ref="Q7:Q9" si="3">COUNT(D7:P7)</f>
        <v>8</v>
      </c>
      <c r="R7" s="62">
        <f t="shared" si="2"/>
        <v>42</v>
      </c>
    </row>
    <row r="8">
      <c r="A8" s="58">
        <v>7.0</v>
      </c>
      <c r="B8" s="59" t="s">
        <v>37</v>
      </c>
      <c r="C8" s="95">
        <v>6.0</v>
      </c>
      <c r="D8" s="63">
        <v>6.0</v>
      </c>
      <c r="E8" s="63">
        <v>5.0</v>
      </c>
      <c r="F8" s="63"/>
      <c r="G8" s="63">
        <v>2.0</v>
      </c>
      <c r="H8" s="63">
        <v>10.0</v>
      </c>
      <c r="I8" s="63"/>
      <c r="J8" s="63"/>
      <c r="K8" s="63"/>
      <c r="L8" s="63">
        <v>2.0</v>
      </c>
      <c r="M8" s="63">
        <v>6.0</v>
      </c>
      <c r="N8" s="63">
        <v>1.0</v>
      </c>
      <c r="O8" s="63"/>
      <c r="P8" s="61">
        <v>6.0</v>
      </c>
      <c r="Q8" s="63">
        <f t="shared" si="3"/>
        <v>8</v>
      </c>
      <c r="R8" s="62">
        <f t="shared" si="2"/>
        <v>38</v>
      </c>
    </row>
    <row r="9">
      <c r="A9" s="58">
        <v>8.0</v>
      </c>
      <c r="B9" s="59" t="s">
        <v>47</v>
      </c>
      <c r="C9" s="95">
        <v>3.0</v>
      </c>
      <c r="D9" s="63"/>
      <c r="E9" s="63"/>
      <c r="F9" s="63">
        <v>5.0</v>
      </c>
      <c r="G9" s="63"/>
      <c r="H9" s="63"/>
      <c r="I9" s="63">
        <v>10.0</v>
      </c>
      <c r="J9" s="63"/>
      <c r="K9" s="63"/>
      <c r="L9" s="63"/>
      <c r="M9" s="63">
        <v>8.0</v>
      </c>
      <c r="N9" s="63">
        <v>8.0</v>
      </c>
      <c r="O9" s="63">
        <v>1.0</v>
      </c>
      <c r="P9" s="61">
        <v>6.0</v>
      </c>
      <c r="Q9" s="63">
        <f t="shared" si="3"/>
        <v>6</v>
      </c>
      <c r="R9" s="62">
        <f t="shared" si="2"/>
        <v>38</v>
      </c>
    </row>
    <row r="10">
      <c r="A10" s="58">
        <v>9.0</v>
      </c>
      <c r="B10" s="59" t="s">
        <v>58</v>
      </c>
      <c r="C10" s="95">
        <v>4.0</v>
      </c>
      <c r="D10" s="63">
        <v>5.0</v>
      </c>
      <c r="E10" s="63"/>
      <c r="F10" s="63"/>
      <c r="G10" s="63">
        <v>6.0</v>
      </c>
      <c r="H10" s="63"/>
      <c r="I10" s="63"/>
      <c r="J10" s="63"/>
      <c r="K10" s="63"/>
      <c r="L10" s="63">
        <v>6.0</v>
      </c>
      <c r="M10" s="63">
        <v>10.0</v>
      </c>
      <c r="N10" s="63"/>
      <c r="O10" s="63"/>
      <c r="P10" s="61"/>
      <c r="Q10" s="63">
        <f>COUNT(D10:O10)</f>
        <v>4</v>
      </c>
      <c r="R10" s="62">
        <f t="shared" si="2"/>
        <v>27</v>
      </c>
    </row>
    <row r="11">
      <c r="A11" s="58">
        <v>10.0</v>
      </c>
      <c r="B11" s="59" t="s">
        <v>232</v>
      </c>
      <c r="C11" s="95">
        <v>4.0</v>
      </c>
      <c r="D11" s="63">
        <v>2.0</v>
      </c>
      <c r="E11" s="63">
        <v>8.0</v>
      </c>
      <c r="F11" s="63"/>
      <c r="G11" s="63">
        <v>8.0</v>
      </c>
      <c r="H11" s="63"/>
      <c r="I11" s="63">
        <v>2.0</v>
      </c>
      <c r="J11" s="63"/>
      <c r="K11" s="63"/>
      <c r="L11" s="63"/>
      <c r="M11" s="63"/>
      <c r="N11" s="63"/>
      <c r="O11" s="63"/>
      <c r="P11" s="61">
        <v>6.0</v>
      </c>
      <c r="Q11" s="63">
        <f>COUNT(D11:P11)</f>
        <v>5</v>
      </c>
      <c r="R11" s="62">
        <f t="shared" si="2"/>
        <v>26</v>
      </c>
    </row>
    <row r="12">
      <c r="A12" s="58">
        <v>11.0</v>
      </c>
      <c r="B12" s="59" t="s">
        <v>107</v>
      </c>
      <c r="C12" s="95">
        <v>2.0</v>
      </c>
      <c r="D12" s="63"/>
      <c r="E12" s="63"/>
      <c r="F12" s="63"/>
      <c r="G12" s="63"/>
      <c r="H12" s="63"/>
      <c r="I12" s="63">
        <v>8.0</v>
      </c>
      <c r="J12" s="63">
        <v>1.0</v>
      </c>
      <c r="K12" s="63">
        <v>5.0</v>
      </c>
      <c r="L12" s="63">
        <v>3.0</v>
      </c>
      <c r="M12" s="63"/>
      <c r="N12" s="63"/>
      <c r="O12" s="63">
        <v>8.0</v>
      </c>
      <c r="P12" s="61"/>
      <c r="Q12" s="63">
        <f t="shared" ref="Q12:Q13" si="4">COUNT(D12:O12)</f>
        <v>5</v>
      </c>
      <c r="R12" s="62">
        <f t="shared" si="2"/>
        <v>25</v>
      </c>
    </row>
    <row r="13">
      <c r="A13" s="58">
        <v>12.0</v>
      </c>
      <c r="B13" s="59" t="s">
        <v>227</v>
      </c>
      <c r="C13" s="95">
        <v>4.0</v>
      </c>
      <c r="D13" s="63"/>
      <c r="E13" s="63"/>
      <c r="F13" s="63">
        <v>2.0</v>
      </c>
      <c r="G13" s="63"/>
      <c r="H13" s="63"/>
      <c r="I13" s="63">
        <v>6.0</v>
      </c>
      <c r="J13" s="63">
        <v>4.0</v>
      </c>
      <c r="K13" s="63">
        <v>4.0</v>
      </c>
      <c r="L13" s="63">
        <v>8.0</v>
      </c>
      <c r="M13" s="63"/>
      <c r="N13" s="63"/>
      <c r="O13" s="63"/>
      <c r="P13" s="61"/>
      <c r="Q13" s="63">
        <f t="shared" si="4"/>
        <v>5</v>
      </c>
      <c r="R13" s="62">
        <f t="shared" si="2"/>
        <v>24</v>
      </c>
    </row>
    <row r="14">
      <c r="A14" s="58">
        <v>13.0</v>
      </c>
      <c r="B14" s="59" t="s">
        <v>147</v>
      </c>
      <c r="C14" s="95">
        <v>6.0</v>
      </c>
      <c r="D14" s="63"/>
      <c r="E14" s="63"/>
      <c r="F14" s="63">
        <v>3.0</v>
      </c>
      <c r="G14" s="63"/>
      <c r="H14" s="63"/>
      <c r="I14" s="63"/>
      <c r="J14" s="63">
        <v>1.0</v>
      </c>
      <c r="K14" s="63">
        <v>12.0</v>
      </c>
      <c r="L14" s="63"/>
      <c r="M14" s="63"/>
      <c r="N14" s="63"/>
      <c r="O14" s="63">
        <v>2.0</v>
      </c>
      <c r="P14" s="61">
        <v>6.0</v>
      </c>
      <c r="Q14" s="63">
        <f t="shared" ref="Q14:Q15" si="5">COUNT(D14:P14)</f>
        <v>5</v>
      </c>
      <c r="R14" s="62">
        <f t="shared" si="2"/>
        <v>24</v>
      </c>
    </row>
    <row r="15">
      <c r="A15" s="58">
        <v>14.0</v>
      </c>
      <c r="B15" s="59" t="s">
        <v>202</v>
      </c>
      <c r="C15" s="95">
        <v>5.0</v>
      </c>
      <c r="D15" s="63"/>
      <c r="E15" s="63"/>
      <c r="F15" s="63"/>
      <c r="G15" s="63"/>
      <c r="H15" s="63"/>
      <c r="I15" s="63">
        <v>7.0</v>
      </c>
      <c r="J15" s="63">
        <v>8.0</v>
      </c>
      <c r="K15" s="63"/>
      <c r="L15" s="63"/>
      <c r="M15" s="63"/>
      <c r="N15" s="63"/>
      <c r="O15" s="63">
        <v>3.0</v>
      </c>
      <c r="P15" s="61">
        <v>6.0</v>
      </c>
      <c r="Q15" s="63">
        <f t="shared" si="5"/>
        <v>4</v>
      </c>
      <c r="R15" s="62">
        <f t="shared" si="2"/>
        <v>24</v>
      </c>
    </row>
    <row r="16">
      <c r="A16" s="58">
        <v>15.0</v>
      </c>
      <c r="B16" s="59" t="s">
        <v>256</v>
      </c>
      <c r="C16" s="95">
        <v>6.0</v>
      </c>
      <c r="D16" s="63"/>
      <c r="E16" s="63">
        <v>10.0</v>
      </c>
      <c r="F16" s="63"/>
      <c r="G16" s="63">
        <v>3.0</v>
      </c>
      <c r="H16" s="63"/>
      <c r="I16" s="63"/>
      <c r="J16" s="63"/>
      <c r="K16" s="63"/>
      <c r="L16" s="63">
        <v>4.0</v>
      </c>
      <c r="M16" s="63">
        <v>1.0</v>
      </c>
      <c r="N16" s="63">
        <v>5.0</v>
      </c>
      <c r="O16" s="63"/>
      <c r="P16" s="61"/>
      <c r="Q16" s="63">
        <f t="shared" ref="Q16:Q21" si="6">COUNT(D16:O16)</f>
        <v>5</v>
      </c>
      <c r="R16" s="62">
        <f t="shared" si="2"/>
        <v>23</v>
      </c>
    </row>
    <row r="17">
      <c r="A17" s="58">
        <v>16.0</v>
      </c>
      <c r="B17" s="59" t="s">
        <v>12</v>
      </c>
      <c r="C17" s="95" t="s">
        <v>53</v>
      </c>
      <c r="D17" s="63"/>
      <c r="E17" s="63"/>
      <c r="F17" s="63">
        <v>6.0</v>
      </c>
      <c r="G17" s="63"/>
      <c r="H17" s="63"/>
      <c r="I17" s="63">
        <v>5.0</v>
      </c>
      <c r="J17" s="63">
        <v>7.0</v>
      </c>
      <c r="K17" s="63"/>
      <c r="L17" s="63">
        <v>5.0</v>
      </c>
      <c r="M17" s="63"/>
      <c r="N17" s="63"/>
      <c r="O17" s="63"/>
      <c r="P17" s="61"/>
      <c r="Q17" s="63">
        <f t="shared" si="6"/>
        <v>4</v>
      </c>
      <c r="R17" s="62">
        <f t="shared" si="2"/>
        <v>23</v>
      </c>
    </row>
    <row r="18">
      <c r="A18" s="58">
        <v>17.0</v>
      </c>
      <c r="B18" s="59" t="s">
        <v>122</v>
      </c>
      <c r="C18" s="95">
        <v>4.0</v>
      </c>
      <c r="D18" s="63"/>
      <c r="E18" s="63"/>
      <c r="F18" s="63"/>
      <c r="G18" s="63"/>
      <c r="H18" s="63"/>
      <c r="I18" s="63">
        <v>4.0</v>
      </c>
      <c r="J18" s="63">
        <v>6.0</v>
      </c>
      <c r="K18" s="63">
        <v>6.0</v>
      </c>
      <c r="L18" s="63"/>
      <c r="M18" s="63">
        <v>3.0</v>
      </c>
      <c r="N18" s="63">
        <v>3.0</v>
      </c>
      <c r="O18" s="63"/>
      <c r="P18" s="61"/>
      <c r="Q18" s="63">
        <f t="shared" si="6"/>
        <v>5</v>
      </c>
      <c r="R18" s="62">
        <f t="shared" si="2"/>
        <v>22</v>
      </c>
    </row>
    <row r="19">
      <c r="A19" s="58">
        <v>18.0</v>
      </c>
      <c r="B19" s="59" t="s">
        <v>246</v>
      </c>
      <c r="C19" s="95">
        <v>2.0</v>
      </c>
      <c r="D19" s="63">
        <v>10.0</v>
      </c>
      <c r="E19" s="63"/>
      <c r="F19" s="63">
        <v>4.0</v>
      </c>
      <c r="G19" s="63"/>
      <c r="H19" s="63"/>
      <c r="I19" s="63"/>
      <c r="J19" s="63"/>
      <c r="K19" s="63"/>
      <c r="L19" s="63"/>
      <c r="M19" s="63"/>
      <c r="N19" s="63"/>
      <c r="O19" s="63">
        <v>7.0</v>
      </c>
      <c r="P19" s="61"/>
      <c r="Q19" s="63">
        <f t="shared" si="6"/>
        <v>3</v>
      </c>
      <c r="R19" s="62">
        <f t="shared" si="2"/>
        <v>21</v>
      </c>
    </row>
    <row r="20">
      <c r="A20" s="58">
        <v>19.0</v>
      </c>
      <c r="B20" s="59" t="s">
        <v>52</v>
      </c>
      <c r="C20" s="95">
        <v>3.0</v>
      </c>
      <c r="D20" s="63">
        <v>4.0</v>
      </c>
      <c r="E20" s="63">
        <v>3.0</v>
      </c>
      <c r="F20" s="63"/>
      <c r="G20" s="63">
        <v>12.0</v>
      </c>
      <c r="H20" s="63"/>
      <c r="I20" s="63"/>
      <c r="J20" s="63"/>
      <c r="K20" s="63"/>
      <c r="L20" s="63">
        <v>1.0</v>
      </c>
      <c r="M20" s="63"/>
      <c r="N20" s="63"/>
      <c r="O20" s="63"/>
      <c r="P20" s="61"/>
      <c r="Q20" s="63">
        <f t="shared" si="6"/>
        <v>4</v>
      </c>
      <c r="R20" s="62">
        <f t="shared" si="2"/>
        <v>20</v>
      </c>
    </row>
    <row r="21">
      <c r="A21" s="58">
        <v>20.0</v>
      </c>
      <c r="B21" s="59" t="s">
        <v>32</v>
      </c>
      <c r="C21" s="95">
        <v>4.0</v>
      </c>
      <c r="D21" s="63"/>
      <c r="E21" s="63">
        <v>7.0</v>
      </c>
      <c r="F21" s="63"/>
      <c r="G21" s="63">
        <v>1.0</v>
      </c>
      <c r="H21" s="63"/>
      <c r="I21" s="63"/>
      <c r="J21" s="63"/>
      <c r="K21" s="63">
        <v>3.0</v>
      </c>
      <c r="L21" s="63"/>
      <c r="M21" s="63"/>
      <c r="N21" s="63">
        <v>4.0</v>
      </c>
      <c r="O21" s="63">
        <v>4.0</v>
      </c>
      <c r="P21" s="61"/>
      <c r="Q21" s="63">
        <f t="shared" si="6"/>
        <v>5</v>
      </c>
      <c r="R21" s="62">
        <f t="shared" si="2"/>
        <v>19</v>
      </c>
    </row>
    <row r="22">
      <c r="A22" s="58">
        <v>21.0</v>
      </c>
      <c r="B22" s="59" t="s">
        <v>137</v>
      </c>
      <c r="C22" s="95">
        <v>1.0</v>
      </c>
      <c r="D22" s="63"/>
      <c r="E22" s="63">
        <v>6.0</v>
      </c>
      <c r="F22" s="63"/>
      <c r="G22" s="63">
        <v>7.0</v>
      </c>
      <c r="H22" s="63"/>
      <c r="I22" s="63"/>
      <c r="J22" s="63"/>
      <c r="K22" s="63"/>
      <c r="L22" s="63"/>
      <c r="M22" s="63"/>
      <c r="N22" s="63"/>
      <c r="O22" s="63"/>
      <c r="P22" s="61">
        <v>6.0</v>
      </c>
      <c r="Q22" s="63">
        <f>COUNT(D22:P22)</f>
        <v>3</v>
      </c>
      <c r="R22" s="62">
        <f t="shared" si="2"/>
        <v>19</v>
      </c>
    </row>
    <row r="23">
      <c r="A23" s="58">
        <v>22.0</v>
      </c>
      <c r="B23" s="59" t="s">
        <v>343</v>
      </c>
      <c r="C23" s="95">
        <v>5.0</v>
      </c>
      <c r="D23" s="63">
        <v>7.0</v>
      </c>
      <c r="E23" s="63">
        <v>1.0</v>
      </c>
      <c r="F23" s="63"/>
      <c r="G23" s="63">
        <v>10.0</v>
      </c>
      <c r="H23" s="63"/>
      <c r="I23" s="63"/>
      <c r="J23" s="63"/>
      <c r="K23" s="63"/>
      <c r="L23" s="63"/>
      <c r="M23" s="63"/>
      <c r="N23" s="63"/>
      <c r="O23" s="63"/>
      <c r="P23" s="61"/>
      <c r="Q23" s="63">
        <f t="shared" ref="Q23:Q27" si="7">COUNT(D23:O23)</f>
        <v>3</v>
      </c>
      <c r="R23" s="62">
        <f t="shared" si="2"/>
        <v>18</v>
      </c>
    </row>
    <row r="24">
      <c r="A24" s="58">
        <v>23.0</v>
      </c>
      <c r="B24" s="59" t="s">
        <v>162</v>
      </c>
      <c r="C24" s="95">
        <v>5.0</v>
      </c>
      <c r="D24" s="63"/>
      <c r="E24" s="63"/>
      <c r="F24" s="63"/>
      <c r="G24" s="63"/>
      <c r="H24" s="63"/>
      <c r="I24" s="63"/>
      <c r="J24" s="63"/>
      <c r="K24" s="63"/>
      <c r="L24" s="63">
        <v>7.0</v>
      </c>
      <c r="M24" s="63">
        <v>7.0</v>
      </c>
      <c r="N24" s="63">
        <v>2.0</v>
      </c>
      <c r="O24" s="63"/>
      <c r="P24" s="61"/>
      <c r="Q24" s="63">
        <f t="shared" si="7"/>
        <v>3</v>
      </c>
      <c r="R24" s="62">
        <f t="shared" si="2"/>
        <v>16</v>
      </c>
    </row>
    <row r="25">
      <c r="A25" s="58">
        <v>24.0</v>
      </c>
      <c r="B25" s="59" t="s">
        <v>97</v>
      </c>
      <c r="C25" s="95">
        <v>3.0</v>
      </c>
      <c r="D25" s="63">
        <v>8.0</v>
      </c>
      <c r="E25" s="63">
        <v>4.0</v>
      </c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1"/>
      <c r="Q25" s="63">
        <f t="shared" si="7"/>
        <v>2</v>
      </c>
      <c r="R25" s="62">
        <f t="shared" si="2"/>
        <v>12</v>
      </c>
    </row>
    <row r="26">
      <c r="A26" s="58">
        <v>25.0</v>
      </c>
      <c r="B26" s="59" t="s">
        <v>271</v>
      </c>
      <c r="C26" s="95" t="s">
        <v>53</v>
      </c>
      <c r="D26" s="63">
        <v>3.0</v>
      </c>
      <c r="E26" s="63">
        <v>2.0</v>
      </c>
      <c r="F26" s="63"/>
      <c r="G26" s="63"/>
      <c r="H26" s="63"/>
      <c r="I26" s="63"/>
      <c r="J26" s="63"/>
      <c r="K26" s="63"/>
      <c r="L26" s="63"/>
      <c r="M26" s="63">
        <v>4.0</v>
      </c>
      <c r="N26" s="63"/>
      <c r="O26" s="63"/>
      <c r="P26" s="61"/>
      <c r="Q26" s="63">
        <f t="shared" si="7"/>
        <v>3</v>
      </c>
      <c r="R26" s="62">
        <f t="shared" si="2"/>
        <v>9</v>
      </c>
    </row>
    <row r="27">
      <c r="A27" s="58">
        <v>26.0</v>
      </c>
      <c r="B27" s="59" t="s">
        <v>276</v>
      </c>
      <c r="C27" s="95">
        <v>3.0</v>
      </c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1"/>
      <c r="Q27" s="63">
        <f t="shared" si="7"/>
        <v>0</v>
      </c>
      <c r="R27" s="62">
        <f t="shared" si="2"/>
        <v>0</v>
      </c>
    </row>
    <row r="28">
      <c r="A28" s="59"/>
      <c r="B28" s="59"/>
      <c r="C28" s="95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2"/>
    </row>
    <row r="29">
      <c r="C29" s="42"/>
    </row>
    <row r="30">
      <c r="C30" s="42"/>
    </row>
    <row r="31">
      <c r="C31" s="42"/>
    </row>
    <row r="32">
      <c r="C32" s="42"/>
      <c r="M32" s="4"/>
    </row>
    <row r="33">
      <c r="C33" s="102"/>
      <c r="J33" s="71"/>
    </row>
    <row r="34">
      <c r="C34" s="102"/>
      <c r="J34" s="71"/>
    </row>
    <row r="35">
      <c r="C35" s="102"/>
      <c r="J35" s="71"/>
    </row>
    <row r="36">
      <c r="C36" s="102"/>
      <c r="J36" s="71"/>
    </row>
    <row r="37">
      <c r="C37" s="102"/>
      <c r="J37" s="71"/>
    </row>
    <row r="38">
      <c r="C38" s="102"/>
      <c r="J38" s="71"/>
    </row>
    <row r="39">
      <c r="C39" s="102"/>
      <c r="J39" s="71"/>
    </row>
    <row r="40">
      <c r="C40" s="102"/>
      <c r="J40" s="71"/>
    </row>
    <row r="41">
      <c r="C41" s="102"/>
      <c r="J41" s="71"/>
    </row>
    <row r="42">
      <c r="C42" s="102"/>
      <c r="J42" s="71"/>
    </row>
    <row r="43">
      <c r="C43" s="102"/>
    </row>
    <row r="44">
      <c r="C44" s="102"/>
    </row>
    <row r="45">
      <c r="C45" s="102"/>
    </row>
    <row r="46">
      <c r="C46" s="102"/>
    </row>
    <row r="47">
      <c r="C47" s="102"/>
    </row>
    <row r="48">
      <c r="C48" s="102"/>
    </row>
    <row r="49">
      <c r="C49" s="102"/>
    </row>
    <row r="50">
      <c r="C50" s="102"/>
    </row>
    <row r="51">
      <c r="C51" s="102"/>
    </row>
    <row r="52">
      <c r="C52" s="102"/>
    </row>
    <row r="53">
      <c r="C53" s="102"/>
    </row>
    <row r="54">
      <c r="C54" s="102"/>
    </row>
    <row r="55">
      <c r="C55" s="102"/>
    </row>
    <row r="56">
      <c r="C56" s="102"/>
    </row>
    <row r="57">
      <c r="C57" s="102"/>
    </row>
    <row r="58">
      <c r="C58" s="102"/>
    </row>
    <row r="59">
      <c r="C59" s="102"/>
    </row>
    <row r="60">
      <c r="C60" s="102"/>
    </row>
    <row r="61">
      <c r="C61" s="102"/>
    </row>
    <row r="62">
      <c r="C62" s="102"/>
    </row>
    <row r="63">
      <c r="C63" s="102"/>
    </row>
    <row r="64">
      <c r="C64" s="102"/>
    </row>
    <row r="65">
      <c r="C65" s="102"/>
    </row>
    <row r="66">
      <c r="C66" s="102"/>
    </row>
    <row r="67">
      <c r="C67" s="102"/>
    </row>
    <row r="68">
      <c r="C68" s="102"/>
    </row>
    <row r="69">
      <c r="C69" s="102"/>
    </row>
    <row r="70">
      <c r="C70" s="102"/>
    </row>
    <row r="71">
      <c r="C71" s="102"/>
    </row>
    <row r="72">
      <c r="C72" s="102"/>
    </row>
    <row r="73">
      <c r="C73" s="102"/>
    </row>
    <row r="74">
      <c r="C74" s="102"/>
    </row>
    <row r="75">
      <c r="C75" s="102"/>
    </row>
    <row r="76">
      <c r="C76" s="102"/>
    </row>
    <row r="77">
      <c r="C77" s="102"/>
    </row>
    <row r="78">
      <c r="C78" s="102"/>
    </row>
    <row r="79">
      <c r="C79" s="102"/>
    </row>
    <row r="80">
      <c r="C80" s="102"/>
    </row>
    <row r="81">
      <c r="C81" s="102"/>
    </row>
    <row r="82">
      <c r="C82" s="102"/>
    </row>
    <row r="83">
      <c r="C83" s="102"/>
    </row>
    <row r="84">
      <c r="C84" s="102"/>
    </row>
    <row r="85">
      <c r="C85" s="102"/>
    </row>
    <row r="86">
      <c r="C86" s="102"/>
    </row>
    <row r="87">
      <c r="C87" s="102"/>
    </row>
    <row r="88">
      <c r="C88" s="102"/>
    </row>
    <row r="89">
      <c r="C89" s="102"/>
    </row>
    <row r="90">
      <c r="C90" s="102"/>
    </row>
    <row r="91">
      <c r="C91" s="102"/>
    </row>
    <row r="92">
      <c r="C92" s="102"/>
    </row>
    <row r="93">
      <c r="C93" s="102"/>
    </row>
    <row r="94">
      <c r="C94" s="102"/>
    </row>
    <row r="95">
      <c r="C95" s="102"/>
    </row>
    <row r="96">
      <c r="C96" s="102"/>
    </row>
    <row r="97">
      <c r="C97" s="102"/>
    </row>
    <row r="98">
      <c r="C98" s="102"/>
    </row>
    <row r="99">
      <c r="C99" s="102"/>
    </row>
    <row r="100">
      <c r="C100" s="102"/>
    </row>
    <row r="101">
      <c r="C101" s="102"/>
    </row>
    <row r="102">
      <c r="C102" s="102"/>
    </row>
    <row r="103">
      <c r="C103" s="102"/>
    </row>
    <row r="104">
      <c r="C104" s="102"/>
    </row>
    <row r="105">
      <c r="C105" s="102"/>
    </row>
    <row r="106">
      <c r="C106" s="102"/>
    </row>
    <row r="107">
      <c r="C107" s="102"/>
    </row>
    <row r="108">
      <c r="C108" s="102"/>
    </row>
    <row r="109">
      <c r="C109" s="102"/>
    </row>
    <row r="110">
      <c r="C110" s="102"/>
    </row>
    <row r="111">
      <c r="C111" s="102"/>
    </row>
    <row r="112">
      <c r="C112" s="102"/>
    </row>
    <row r="113">
      <c r="C113" s="102"/>
    </row>
    <row r="114">
      <c r="C114" s="102"/>
    </row>
    <row r="115">
      <c r="C115" s="102"/>
    </row>
    <row r="116">
      <c r="C116" s="102"/>
    </row>
    <row r="117">
      <c r="C117" s="102"/>
    </row>
    <row r="118">
      <c r="C118" s="102"/>
    </row>
    <row r="119">
      <c r="C119" s="102"/>
    </row>
    <row r="120">
      <c r="C120" s="102"/>
    </row>
    <row r="121">
      <c r="C121" s="102"/>
    </row>
    <row r="122">
      <c r="C122" s="102"/>
    </row>
    <row r="123">
      <c r="C123" s="102"/>
    </row>
    <row r="124">
      <c r="C124" s="102"/>
    </row>
    <row r="125">
      <c r="C125" s="102"/>
    </row>
    <row r="126">
      <c r="C126" s="102"/>
    </row>
    <row r="127">
      <c r="C127" s="102"/>
    </row>
    <row r="128">
      <c r="C128" s="102"/>
    </row>
    <row r="129">
      <c r="C129" s="102"/>
    </row>
    <row r="130">
      <c r="C130" s="102"/>
    </row>
    <row r="131">
      <c r="C131" s="102"/>
    </row>
    <row r="132">
      <c r="C132" s="102"/>
    </row>
    <row r="133">
      <c r="C133" s="102"/>
    </row>
    <row r="134">
      <c r="C134" s="102"/>
    </row>
    <row r="135">
      <c r="C135" s="102"/>
    </row>
    <row r="136">
      <c r="C136" s="102"/>
    </row>
    <row r="137">
      <c r="C137" s="102"/>
    </row>
    <row r="138">
      <c r="C138" s="102"/>
    </row>
    <row r="139">
      <c r="C139" s="102"/>
    </row>
    <row r="140">
      <c r="C140" s="102"/>
    </row>
    <row r="141">
      <c r="C141" s="102"/>
    </row>
    <row r="142">
      <c r="C142" s="102"/>
    </row>
    <row r="143">
      <c r="C143" s="102"/>
    </row>
    <row r="144">
      <c r="C144" s="102"/>
    </row>
    <row r="145">
      <c r="C145" s="102"/>
    </row>
    <row r="146">
      <c r="C146" s="102"/>
    </row>
    <row r="147">
      <c r="C147" s="102"/>
    </row>
    <row r="148">
      <c r="C148" s="102"/>
    </row>
    <row r="149">
      <c r="C149" s="102"/>
    </row>
    <row r="150">
      <c r="C150" s="102"/>
    </row>
    <row r="151">
      <c r="C151" s="102"/>
    </row>
    <row r="152">
      <c r="C152" s="102"/>
    </row>
    <row r="153">
      <c r="C153" s="102"/>
    </row>
    <row r="154">
      <c r="C154" s="102"/>
    </row>
    <row r="155">
      <c r="C155" s="102"/>
    </row>
    <row r="156">
      <c r="C156" s="102"/>
    </row>
    <row r="157">
      <c r="C157" s="102"/>
    </row>
    <row r="158">
      <c r="C158" s="102"/>
    </row>
    <row r="159">
      <c r="C159" s="102"/>
    </row>
    <row r="160">
      <c r="C160" s="102"/>
    </row>
    <row r="161">
      <c r="C161" s="102"/>
    </row>
    <row r="162">
      <c r="C162" s="102"/>
    </row>
    <row r="163">
      <c r="C163" s="102"/>
    </row>
    <row r="164">
      <c r="C164" s="102"/>
    </row>
    <row r="165">
      <c r="C165" s="102"/>
    </row>
    <row r="166">
      <c r="C166" s="102"/>
    </row>
    <row r="167">
      <c r="C167" s="102"/>
    </row>
    <row r="168">
      <c r="C168" s="102"/>
    </row>
    <row r="169">
      <c r="C169" s="102"/>
    </row>
    <row r="170">
      <c r="C170" s="102"/>
    </row>
    <row r="171">
      <c r="C171" s="102"/>
    </row>
    <row r="172">
      <c r="C172" s="102"/>
    </row>
    <row r="173">
      <c r="C173" s="102"/>
    </row>
    <row r="174">
      <c r="C174" s="102"/>
    </row>
    <row r="175">
      <c r="C175" s="102"/>
    </row>
    <row r="176">
      <c r="C176" s="102"/>
    </row>
    <row r="177">
      <c r="C177" s="102"/>
    </row>
    <row r="178">
      <c r="C178" s="102"/>
    </row>
    <row r="179">
      <c r="C179" s="102"/>
    </row>
    <row r="180">
      <c r="C180" s="102"/>
    </row>
    <row r="181">
      <c r="C181" s="102"/>
    </row>
    <row r="182">
      <c r="C182" s="102"/>
    </row>
    <row r="183">
      <c r="C183" s="102"/>
    </row>
    <row r="184">
      <c r="C184" s="102"/>
    </row>
    <row r="185">
      <c r="C185" s="102"/>
    </row>
    <row r="186">
      <c r="C186" s="102"/>
    </row>
    <row r="187">
      <c r="C187" s="102"/>
    </row>
    <row r="188">
      <c r="C188" s="102"/>
    </row>
    <row r="189">
      <c r="C189" s="102"/>
    </row>
    <row r="190">
      <c r="C190" s="102"/>
    </row>
    <row r="191">
      <c r="C191" s="102"/>
    </row>
    <row r="192">
      <c r="C192" s="102"/>
    </row>
    <row r="193">
      <c r="C193" s="102"/>
    </row>
    <row r="194">
      <c r="C194" s="102"/>
    </row>
    <row r="195">
      <c r="C195" s="102"/>
    </row>
    <row r="196">
      <c r="C196" s="102"/>
    </row>
    <row r="197">
      <c r="C197" s="102"/>
    </row>
    <row r="198">
      <c r="C198" s="102"/>
    </row>
    <row r="199">
      <c r="C199" s="102"/>
    </row>
    <row r="200">
      <c r="C200" s="102"/>
    </row>
    <row r="201">
      <c r="C201" s="102"/>
    </row>
    <row r="202">
      <c r="C202" s="102"/>
    </row>
    <row r="203">
      <c r="C203" s="102"/>
    </row>
    <row r="204">
      <c r="C204" s="102"/>
    </row>
    <row r="205">
      <c r="C205" s="102"/>
    </row>
    <row r="206">
      <c r="C206" s="102"/>
    </row>
    <row r="207">
      <c r="C207" s="102"/>
    </row>
    <row r="208">
      <c r="C208" s="102"/>
    </row>
    <row r="209">
      <c r="C209" s="102"/>
    </row>
    <row r="210">
      <c r="C210" s="102"/>
    </row>
    <row r="211">
      <c r="C211" s="102"/>
    </row>
    <row r="212">
      <c r="C212" s="102"/>
    </row>
    <row r="213">
      <c r="C213" s="102"/>
    </row>
    <row r="214">
      <c r="C214" s="102"/>
    </row>
    <row r="215">
      <c r="C215" s="102"/>
    </row>
    <row r="216">
      <c r="C216" s="102"/>
    </row>
    <row r="217">
      <c r="C217" s="102"/>
    </row>
    <row r="218">
      <c r="C218" s="102"/>
    </row>
    <row r="219">
      <c r="C219" s="102"/>
    </row>
    <row r="220">
      <c r="C220" s="102"/>
    </row>
    <row r="221">
      <c r="C221" s="102"/>
    </row>
    <row r="222">
      <c r="C222" s="102"/>
    </row>
    <row r="223">
      <c r="C223" s="102"/>
    </row>
    <row r="224">
      <c r="C224" s="102"/>
    </row>
    <row r="225">
      <c r="C225" s="102"/>
    </row>
    <row r="226">
      <c r="C226" s="102"/>
    </row>
    <row r="227">
      <c r="C227" s="102"/>
    </row>
    <row r="228">
      <c r="C228" s="102"/>
    </row>
    <row r="229">
      <c r="C229" s="102"/>
    </row>
    <row r="230">
      <c r="C230" s="102"/>
    </row>
    <row r="231">
      <c r="C231" s="102"/>
    </row>
    <row r="232">
      <c r="C232" s="102"/>
    </row>
    <row r="233">
      <c r="C233" s="102"/>
    </row>
    <row r="234">
      <c r="C234" s="102"/>
    </row>
    <row r="235">
      <c r="C235" s="102"/>
    </row>
    <row r="236">
      <c r="C236" s="102"/>
    </row>
    <row r="237">
      <c r="C237" s="102"/>
    </row>
    <row r="238">
      <c r="C238" s="102"/>
    </row>
    <row r="239">
      <c r="C239" s="102"/>
    </row>
    <row r="240">
      <c r="C240" s="102"/>
    </row>
    <row r="241">
      <c r="C241" s="102"/>
    </row>
    <row r="242">
      <c r="C242" s="102"/>
    </row>
    <row r="243">
      <c r="C243" s="102"/>
    </row>
    <row r="244">
      <c r="C244" s="102"/>
    </row>
    <row r="245">
      <c r="C245" s="102"/>
    </row>
    <row r="246">
      <c r="C246" s="102"/>
    </row>
    <row r="247">
      <c r="C247" s="102"/>
    </row>
    <row r="248">
      <c r="C248" s="102"/>
    </row>
    <row r="249">
      <c r="C249" s="102"/>
    </row>
    <row r="250">
      <c r="C250" s="102"/>
    </row>
    <row r="251">
      <c r="C251" s="102"/>
    </row>
    <row r="252">
      <c r="C252" s="102"/>
    </row>
    <row r="253">
      <c r="C253" s="102"/>
    </row>
    <row r="254">
      <c r="C254" s="102"/>
    </row>
    <row r="255">
      <c r="C255" s="102"/>
    </row>
    <row r="256">
      <c r="C256" s="102"/>
    </row>
    <row r="257">
      <c r="C257" s="102"/>
    </row>
    <row r="258">
      <c r="C258" s="102"/>
    </row>
    <row r="259">
      <c r="C259" s="102"/>
    </row>
    <row r="260">
      <c r="C260" s="102"/>
    </row>
    <row r="261">
      <c r="C261" s="102"/>
    </row>
    <row r="262">
      <c r="C262" s="102"/>
    </row>
    <row r="263">
      <c r="C263" s="102"/>
    </row>
    <row r="264">
      <c r="C264" s="102"/>
    </row>
    <row r="265">
      <c r="C265" s="102"/>
    </row>
    <row r="266">
      <c r="C266" s="102"/>
    </row>
    <row r="267">
      <c r="C267" s="102"/>
    </row>
    <row r="268">
      <c r="C268" s="102"/>
    </row>
    <row r="269">
      <c r="C269" s="102"/>
    </row>
    <row r="270">
      <c r="C270" s="102"/>
    </row>
    <row r="271">
      <c r="C271" s="102"/>
    </row>
    <row r="272">
      <c r="C272" s="102"/>
    </row>
    <row r="273">
      <c r="C273" s="102"/>
    </row>
    <row r="274">
      <c r="C274" s="102"/>
    </row>
    <row r="275">
      <c r="C275" s="102"/>
    </row>
    <row r="276">
      <c r="C276" s="102"/>
    </row>
    <row r="277">
      <c r="C277" s="102"/>
    </row>
    <row r="278">
      <c r="C278" s="102"/>
    </row>
    <row r="279">
      <c r="C279" s="102"/>
    </row>
    <row r="280">
      <c r="C280" s="102"/>
    </row>
    <row r="281">
      <c r="C281" s="102"/>
    </row>
    <row r="282">
      <c r="C282" s="102"/>
    </row>
    <row r="283">
      <c r="C283" s="102"/>
    </row>
    <row r="284">
      <c r="C284" s="102"/>
    </row>
    <row r="285">
      <c r="C285" s="102"/>
    </row>
    <row r="286">
      <c r="C286" s="102"/>
    </row>
    <row r="287">
      <c r="C287" s="102"/>
    </row>
    <row r="288">
      <c r="C288" s="102"/>
    </row>
    <row r="289">
      <c r="C289" s="102"/>
    </row>
    <row r="290">
      <c r="C290" s="102"/>
    </row>
    <row r="291">
      <c r="C291" s="102"/>
    </row>
    <row r="292">
      <c r="C292" s="102"/>
    </row>
    <row r="293">
      <c r="C293" s="102"/>
    </row>
    <row r="294">
      <c r="C294" s="102"/>
    </row>
    <row r="295">
      <c r="C295" s="102"/>
    </row>
    <row r="296">
      <c r="C296" s="102"/>
    </row>
    <row r="297">
      <c r="C297" s="102"/>
    </row>
    <row r="298">
      <c r="C298" s="102"/>
    </row>
    <row r="299">
      <c r="C299" s="102"/>
    </row>
    <row r="300">
      <c r="C300" s="102"/>
    </row>
    <row r="301">
      <c r="C301" s="102"/>
    </row>
    <row r="302">
      <c r="C302" s="102"/>
    </row>
    <row r="303">
      <c r="C303" s="102"/>
    </row>
    <row r="304">
      <c r="C304" s="102"/>
    </row>
    <row r="305">
      <c r="C305" s="102"/>
    </row>
    <row r="306">
      <c r="C306" s="102"/>
    </row>
    <row r="307">
      <c r="C307" s="102"/>
    </row>
    <row r="308">
      <c r="C308" s="102"/>
    </row>
    <row r="309">
      <c r="C309" s="102"/>
    </row>
    <row r="310">
      <c r="C310" s="102"/>
    </row>
    <row r="311">
      <c r="C311" s="102"/>
    </row>
    <row r="312">
      <c r="C312" s="102"/>
    </row>
    <row r="313">
      <c r="C313" s="102"/>
    </row>
    <row r="314">
      <c r="C314" s="102"/>
    </row>
    <row r="315">
      <c r="C315" s="102"/>
    </row>
    <row r="316">
      <c r="C316" s="102"/>
    </row>
    <row r="317">
      <c r="C317" s="102"/>
    </row>
    <row r="318">
      <c r="C318" s="102"/>
    </row>
    <row r="319">
      <c r="C319" s="102"/>
    </row>
    <row r="320">
      <c r="C320" s="102"/>
    </row>
    <row r="321">
      <c r="C321" s="102"/>
    </row>
    <row r="322">
      <c r="C322" s="102"/>
    </row>
    <row r="323">
      <c r="C323" s="102"/>
    </row>
    <row r="324">
      <c r="C324" s="102"/>
    </row>
    <row r="325">
      <c r="C325" s="102"/>
    </row>
    <row r="326">
      <c r="C326" s="102"/>
    </row>
    <row r="327">
      <c r="C327" s="102"/>
    </row>
    <row r="328">
      <c r="C328" s="102"/>
    </row>
    <row r="329">
      <c r="C329" s="102"/>
    </row>
    <row r="330">
      <c r="C330" s="102"/>
    </row>
    <row r="331">
      <c r="C331" s="102"/>
    </row>
    <row r="332">
      <c r="C332" s="102"/>
    </row>
    <row r="333">
      <c r="C333" s="102"/>
    </row>
    <row r="334">
      <c r="C334" s="102"/>
    </row>
    <row r="335">
      <c r="C335" s="102"/>
    </row>
    <row r="336">
      <c r="C336" s="102"/>
    </row>
    <row r="337">
      <c r="C337" s="102"/>
    </row>
    <row r="338">
      <c r="C338" s="102"/>
    </row>
    <row r="339">
      <c r="C339" s="102"/>
    </row>
    <row r="340">
      <c r="C340" s="102"/>
    </row>
    <row r="341">
      <c r="C341" s="102"/>
    </row>
    <row r="342">
      <c r="C342" s="102"/>
    </row>
    <row r="343">
      <c r="C343" s="102"/>
    </row>
    <row r="344">
      <c r="C344" s="102"/>
    </row>
    <row r="345">
      <c r="C345" s="102"/>
    </row>
    <row r="346">
      <c r="C346" s="102"/>
    </row>
    <row r="347">
      <c r="C347" s="102"/>
    </row>
    <row r="348">
      <c r="C348" s="102"/>
    </row>
    <row r="349">
      <c r="C349" s="102"/>
    </row>
    <row r="350">
      <c r="C350" s="102"/>
    </row>
    <row r="351">
      <c r="C351" s="102"/>
    </row>
    <row r="352">
      <c r="C352" s="102"/>
    </row>
    <row r="353">
      <c r="C353" s="102"/>
    </row>
    <row r="354">
      <c r="C354" s="102"/>
    </row>
    <row r="355">
      <c r="C355" s="102"/>
    </row>
    <row r="356">
      <c r="C356" s="102"/>
    </row>
    <row r="357">
      <c r="C357" s="102"/>
    </row>
    <row r="358">
      <c r="C358" s="102"/>
    </row>
    <row r="359">
      <c r="C359" s="102"/>
    </row>
    <row r="360">
      <c r="C360" s="102"/>
    </row>
    <row r="361">
      <c r="C361" s="102"/>
    </row>
    <row r="362">
      <c r="C362" s="102"/>
    </row>
    <row r="363">
      <c r="C363" s="102"/>
    </row>
    <row r="364">
      <c r="C364" s="102"/>
    </row>
    <row r="365">
      <c r="C365" s="102"/>
    </row>
    <row r="366">
      <c r="C366" s="102"/>
    </row>
    <row r="367">
      <c r="C367" s="102"/>
    </row>
    <row r="368">
      <c r="C368" s="102"/>
    </row>
    <row r="369">
      <c r="C369" s="102"/>
    </row>
    <row r="370">
      <c r="C370" s="102"/>
    </row>
    <row r="371">
      <c r="C371" s="102"/>
    </row>
    <row r="372">
      <c r="C372" s="102"/>
    </row>
    <row r="373">
      <c r="C373" s="102"/>
    </row>
    <row r="374">
      <c r="C374" s="102"/>
    </row>
    <row r="375">
      <c r="C375" s="102"/>
    </row>
    <row r="376">
      <c r="C376" s="102"/>
    </row>
    <row r="377">
      <c r="C377" s="102"/>
    </row>
    <row r="378">
      <c r="C378" s="102"/>
    </row>
    <row r="379">
      <c r="C379" s="102"/>
    </row>
    <row r="380">
      <c r="C380" s="102"/>
    </row>
    <row r="381">
      <c r="C381" s="102"/>
    </row>
    <row r="382">
      <c r="C382" s="102"/>
    </row>
    <row r="383">
      <c r="C383" s="102"/>
    </row>
    <row r="384">
      <c r="C384" s="102"/>
    </row>
    <row r="385">
      <c r="C385" s="102"/>
    </row>
    <row r="386">
      <c r="C386" s="102"/>
    </row>
    <row r="387">
      <c r="C387" s="102"/>
    </row>
    <row r="388">
      <c r="C388" s="102"/>
    </row>
    <row r="389">
      <c r="C389" s="102"/>
    </row>
    <row r="390">
      <c r="C390" s="102"/>
    </row>
    <row r="391">
      <c r="C391" s="102"/>
    </row>
    <row r="392">
      <c r="C392" s="102"/>
    </row>
    <row r="393">
      <c r="C393" s="102"/>
    </row>
    <row r="394">
      <c r="C394" s="102"/>
    </row>
    <row r="395">
      <c r="C395" s="102"/>
    </row>
    <row r="396">
      <c r="C396" s="102"/>
    </row>
    <row r="397">
      <c r="C397" s="102"/>
    </row>
    <row r="398">
      <c r="C398" s="102"/>
    </row>
    <row r="399">
      <c r="C399" s="102"/>
    </row>
    <row r="400">
      <c r="C400" s="102"/>
    </row>
    <row r="401">
      <c r="C401" s="102"/>
    </row>
    <row r="402">
      <c r="C402" s="102"/>
    </row>
    <row r="403">
      <c r="C403" s="102"/>
    </row>
    <row r="404">
      <c r="C404" s="102"/>
    </row>
    <row r="405">
      <c r="C405" s="102"/>
    </row>
    <row r="406">
      <c r="C406" s="102"/>
    </row>
    <row r="407">
      <c r="C407" s="102"/>
    </row>
    <row r="408">
      <c r="C408" s="102"/>
    </row>
    <row r="409">
      <c r="C409" s="102"/>
    </row>
    <row r="410">
      <c r="C410" s="102"/>
    </row>
    <row r="411">
      <c r="C411" s="102"/>
    </row>
    <row r="412">
      <c r="C412" s="102"/>
    </row>
    <row r="413">
      <c r="C413" s="102"/>
    </row>
    <row r="414">
      <c r="C414" s="102"/>
    </row>
    <row r="415">
      <c r="C415" s="102"/>
    </row>
    <row r="416">
      <c r="C416" s="102"/>
    </row>
    <row r="417">
      <c r="C417" s="102"/>
    </row>
    <row r="418">
      <c r="C418" s="102"/>
    </row>
    <row r="419">
      <c r="C419" s="102"/>
    </row>
    <row r="420">
      <c r="C420" s="102"/>
    </row>
    <row r="421">
      <c r="C421" s="102"/>
    </row>
    <row r="422">
      <c r="C422" s="102"/>
    </row>
    <row r="423">
      <c r="C423" s="102"/>
    </row>
    <row r="424">
      <c r="C424" s="102"/>
    </row>
    <row r="425">
      <c r="C425" s="102"/>
    </row>
    <row r="426">
      <c r="C426" s="102"/>
    </row>
    <row r="427">
      <c r="C427" s="102"/>
    </row>
    <row r="428">
      <c r="C428" s="102"/>
    </row>
    <row r="429">
      <c r="C429" s="102"/>
    </row>
    <row r="430">
      <c r="C430" s="102"/>
    </row>
    <row r="431">
      <c r="C431" s="102"/>
    </row>
    <row r="432">
      <c r="C432" s="102"/>
    </row>
    <row r="433">
      <c r="C433" s="102"/>
    </row>
    <row r="434">
      <c r="C434" s="102"/>
    </row>
    <row r="435">
      <c r="C435" s="102"/>
    </row>
    <row r="436">
      <c r="C436" s="102"/>
    </row>
    <row r="437">
      <c r="C437" s="102"/>
    </row>
    <row r="438">
      <c r="C438" s="102"/>
    </row>
    <row r="439">
      <c r="C439" s="102"/>
    </row>
    <row r="440">
      <c r="C440" s="102"/>
    </row>
    <row r="441">
      <c r="C441" s="102"/>
    </row>
    <row r="442">
      <c r="C442" s="102"/>
    </row>
    <row r="443">
      <c r="C443" s="102"/>
    </row>
    <row r="444">
      <c r="C444" s="102"/>
    </row>
    <row r="445">
      <c r="C445" s="102"/>
    </row>
    <row r="446">
      <c r="C446" s="102"/>
    </row>
    <row r="447">
      <c r="C447" s="102"/>
    </row>
    <row r="448">
      <c r="C448" s="102"/>
    </row>
    <row r="449">
      <c r="C449" s="102"/>
    </row>
    <row r="450">
      <c r="C450" s="102"/>
    </row>
    <row r="451">
      <c r="C451" s="102"/>
    </row>
    <row r="452">
      <c r="C452" s="102"/>
    </row>
    <row r="453">
      <c r="C453" s="102"/>
    </row>
    <row r="454">
      <c r="C454" s="102"/>
    </row>
    <row r="455">
      <c r="C455" s="102"/>
    </row>
    <row r="456">
      <c r="C456" s="102"/>
    </row>
    <row r="457">
      <c r="C457" s="102"/>
    </row>
    <row r="458">
      <c r="C458" s="102"/>
    </row>
    <row r="459">
      <c r="C459" s="102"/>
    </row>
    <row r="460">
      <c r="C460" s="102"/>
    </row>
    <row r="461">
      <c r="C461" s="102"/>
    </row>
    <row r="462">
      <c r="C462" s="102"/>
    </row>
    <row r="463">
      <c r="C463" s="102"/>
    </row>
    <row r="464">
      <c r="C464" s="102"/>
    </row>
    <row r="465">
      <c r="C465" s="102"/>
    </row>
    <row r="466">
      <c r="C466" s="102"/>
    </row>
    <row r="467">
      <c r="C467" s="102"/>
    </row>
    <row r="468">
      <c r="C468" s="102"/>
    </row>
    <row r="469">
      <c r="C469" s="102"/>
    </row>
    <row r="470">
      <c r="C470" s="102"/>
    </row>
    <row r="471">
      <c r="C471" s="102"/>
    </row>
    <row r="472">
      <c r="C472" s="102"/>
    </row>
    <row r="473">
      <c r="C473" s="102"/>
    </row>
    <row r="474">
      <c r="C474" s="102"/>
    </row>
    <row r="475">
      <c r="C475" s="102"/>
    </row>
    <row r="476">
      <c r="C476" s="102"/>
    </row>
    <row r="477">
      <c r="C477" s="102"/>
    </row>
    <row r="478">
      <c r="C478" s="102"/>
    </row>
    <row r="479">
      <c r="C479" s="102"/>
    </row>
    <row r="480">
      <c r="C480" s="102"/>
    </row>
    <row r="481">
      <c r="C481" s="102"/>
    </row>
    <row r="482">
      <c r="C482" s="102"/>
    </row>
    <row r="483">
      <c r="C483" s="102"/>
    </row>
    <row r="484">
      <c r="C484" s="102"/>
    </row>
    <row r="485">
      <c r="C485" s="102"/>
    </row>
    <row r="486">
      <c r="C486" s="102"/>
    </row>
    <row r="487">
      <c r="C487" s="102"/>
    </row>
    <row r="488">
      <c r="C488" s="102"/>
    </row>
    <row r="489">
      <c r="C489" s="102"/>
    </row>
    <row r="490">
      <c r="C490" s="102"/>
    </row>
    <row r="491">
      <c r="C491" s="102"/>
    </row>
    <row r="492">
      <c r="C492" s="102"/>
    </row>
    <row r="493">
      <c r="C493" s="102"/>
    </row>
    <row r="494">
      <c r="C494" s="102"/>
    </row>
    <row r="495">
      <c r="C495" s="102"/>
    </row>
    <row r="496">
      <c r="C496" s="102"/>
    </row>
    <row r="497">
      <c r="C497" s="102"/>
    </row>
    <row r="498">
      <c r="C498" s="102"/>
    </row>
    <row r="499">
      <c r="C499" s="102"/>
    </row>
    <row r="500">
      <c r="C500" s="102"/>
    </row>
    <row r="501">
      <c r="C501" s="102"/>
    </row>
    <row r="502">
      <c r="C502" s="102"/>
    </row>
    <row r="503">
      <c r="C503" s="102"/>
    </row>
    <row r="504">
      <c r="C504" s="102"/>
    </row>
    <row r="505">
      <c r="C505" s="102"/>
    </row>
    <row r="506">
      <c r="C506" s="102"/>
    </row>
    <row r="507">
      <c r="C507" s="102"/>
    </row>
    <row r="508">
      <c r="C508" s="102"/>
    </row>
    <row r="509">
      <c r="C509" s="102"/>
    </row>
    <row r="510">
      <c r="C510" s="102"/>
    </row>
    <row r="511">
      <c r="C511" s="102"/>
    </row>
    <row r="512">
      <c r="C512" s="102"/>
    </row>
    <row r="513">
      <c r="C513" s="102"/>
    </row>
    <row r="514">
      <c r="C514" s="102"/>
    </row>
    <row r="515">
      <c r="C515" s="102"/>
    </row>
    <row r="516">
      <c r="C516" s="102"/>
    </row>
    <row r="517">
      <c r="C517" s="102"/>
    </row>
    <row r="518">
      <c r="C518" s="102"/>
    </row>
    <row r="519">
      <c r="C519" s="102"/>
    </row>
    <row r="520">
      <c r="C520" s="102"/>
    </row>
    <row r="521">
      <c r="C521" s="102"/>
    </row>
    <row r="522">
      <c r="C522" s="102"/>
    </row>
    <row r="523">
      <c r="C523" s="102"/>
    </row>
    <row r="524">
      <c r="C524" s="102"/>
    </row>
    <row r="525">
      <c r="C525" s="102"/>
    </row>
    <row r="526">
      <c r="C526" s="102"/>
    </row>
    <row r="527">
      <c r="C527" s="102"/>
    </row>
    <row r="528">
      <c r="C528" s="102"/>
    </row>
    <row r="529">
      <c r="C529" s="102"/>
    </row>
    <row r="530">
      <c r="C530" s="102"/>
    </row>
    <row r="531">
      <c r="C531" s="102"/>
    </row>
    <row r="532">
      <c r="C532" s="102"/>
    </row>
    <row r="533">
      <c r="C533" s="102"/>
    </row>
    <row r="534">
      <c r="C534" s="102"/>
    </row>
    <row r="535">
      <c r="C535" s="102"/>
    </row>
    <row r="536">
      <c r="C536" s="102"/>
    </row>
    <row r="537">
      <c r="C537" s="102"/>
    </row>
    <row r="538">
      <c r="C538" s="102"/>
    </row>
    <row r="539">
      <c r="C539" s="102"/>
    </row>
    <row r="540">
      <c r="C540" s="102"/>
    </row>
    <row r="541">
      <c r="C541" s="102"/>
    </row>
    <row r="542">
      <c r="C542" s="102"/>
    </row>
    <row r="543">
      <c r="C543" s="102"/>
    </row>
    <row r="544">
      <c r="C544" s="102"/>
    </row>
    <row r="545">
      <c r="C545" s="102"/>
    </row>
    <row r="546">
      <c r="C546" s="102"/>
    </row>
    <row r="547">
      <c r="C547" s="102"/>
    </row>
    <row r="548">
      <c r="C548" s="102"/>
    </row>
    <row r="549">
      <c r="C549" s="102"/>
    </row>
    <row r="550">
      <c r="C550" s="102"/>
    </row>
    <row r="551">
      <c r="C551" s="102"/>
    </row>
    <row r="552">
      <c r="C552" s="102"/>
    </row>
    <row r="553">
      <c r="C553" s="102"/>
    </row>
    <row r="554">
      <c r="C554" s="102"/>
    </row>
    <row r="555">
      <c r="C555" s="102"/>
    </row>
    <row r="556">
      <c r="C556" s="102"/>
    </row>
    <row r="557">
      <c r="C557" s="102"/>
    </row>
    <row r="558">
      <c r="C558" s="102"/>
    </row>
    <row r="559">
      <c r="C559" s="102"/>
    </row>
    <row r="560">
      <c r="C560" s="102"/>
    </row>
    <row r="561">
      <c r="C561" s="102"/>
    </row>
    <row r="562">
      <c r="C562" s="102"/>
    </row>
    <row r="563">
      <c r="C563" s="102"/>
    </row>
    <row r="564">
      <c r="C564" s="102"/>
    </row>
    <row r="565">
      <c r="C565" s="102"/>
    </row>
    <row r="566">
      <c r="C566" s="102"/>
    </row>
    <row r="567">
      <c r="C567" s="102"/>
    </row>
    <row r="568">
      <c r="C568" s="102"/>
    </row>
    <row r="569">
      <c r="C569" s="102"/>
    </row>
    <row r="570">
      <c r="C570" s="102"/>
    </row>
    <row r="571">
      <c r="C571" s="102"/>
    </row>
    <row r="572">
      <c r="C572" s="102"/>
    </row>
    <row r="573">
      <c r="C573" s="102"/>
    </row>
    <row r="574">
      <c r="C574" s="102"/>
    </row>
    <row r="575">
      <c r="C575" s="102"/>
    </row>
    <row r="576">
      <c r="C576" s="102"/>
    </row>
    <row r="577">
      <c r="C577" s="102"/>
    </row>
    <row r="578">
      <c r="C578" s="102"/>
    </row>
    <row r="579">
      <c r="C579" s="102"/>
    </row>
    <row r="580">
      <c r="C580" s="102"/>
    </row>
    <row r="581">
      <c r="C581" s="102"/>
    </row>
    <row r="582">
      <c r="C582" s="102"/>
    </row>
    <row r="583">
      <c r="C583" s="102"/>
    </row>
    <row r="584">
      <c r="C584" s="102"/>
    </row>
    <row r="585">
      <c r="C585" s="102"/>
    </row>
    <row r="586">
      <c r="C586" s="102"/>
    </row>
    <row r="587">
      <c r="C587" s="102"/>
    </row>
    <row r="588">
      <c r="C588" s="102"/>
    </row>
    <row r="589">
      <c r="C589" s="102"/>
    </row>
    <row r="590">
      <c r="C590" s="102"/>
    </row>
    <row r="591">
      <c r="C591" s="102"/>
    </row>
    <row r="592">
      <c r="C592" s="102"/>
    </row>
    <row r="593">
      <c r="C593" s="102"/>
    </row>
    <row r="594">
      <c r="C594" s="102"/>
    </row>
    <row r="595">
      <c r="C595" s="102"/>
    </row>
    <row r="596">
      <c r="C596" s="102"/>
    </row>
    <row r="597">
      <c r="C597" s="102"/>
    </row>
    <row r="598">
      <c r="C598" s="102"/>
    </row>
    <row r="599">
      <c r="C599" s="102"/>
    </row>
    <row r="600">
      <c r="C600" s="102"/>
    </row>
    <row r="601">
      <c r="C601" s="102"/>
    </row>
    <row r="602">
      <c r="C602" s="102"/>
    </row>
    <row r="603">
      <c r="C603" s="102"/>
    </row>
    <row r="604">
      <c r="C604" s="102"/>
    </row>
    <row r="605">
      <c r="C605" s="102"/>
    </row>
    <row r="606">
      <c r="C606" s="102"/>
    </row>
    <row r="607">
      <c r="C607" s="102"/>
    </row>
    <row r="608">
      <c r="C608" s="102"/>
    </row>
    <row r="609">
      <c r="C609" s="102"/>
    </row>
    <row r="610">
      <c r="C610" s="102"/>
    </row>
    <row r="611">
      <c r="C611" s="102"/>
    </row>
    <row r="612">
      <c r="C612" s="102"/>
    </row>
    <row r="613">
      <c r="C613" s="102"/>
    </row>
    <row r="614">
      <c r="C614" s="102"/>
    </row>
    <row r="615">
      <c r="C615" s="102"/>
    </row>
    <row r="616">
      <c r="C616" s="102"/>
    </row>
    <row r="617">
      <c r="C617" s="102"/>
    </row>
    <row r="618">
      <c r="C618" s="102"/>
    </row>
    <row r="619">
      <c r="C619" s="102"/>
    </row>
    <row r="620">
      <c r="C620" s="102"/>
    </row>
    <row r="621">
      <c r="C621" s="102"/>
    </row>
    <row r="622">
      <c r="C622" s="102"/>
    </row>
    <row r="623">
      <c r="C623" s="102"/>
    </row>
    <row r="624">
      <c r="C624" s="102"/>
    </row>
    <row r="625">
      <c r="C625" s="102"/>
    </row>
    <row r="626">
      <c r="C626" s="102"/>
    </row>
    <row r="627">
      <c r="C627" s="102"/>
    </row>
    <row r="628">
      <c r="C628" s="102"/>
    </row>
    <row r="629">
      <c r="C629" s="102"/>
    </row>
    <row r="630">
      <c r="C630" s="102"/>
    </row>
    <row r="631">
      <c r="C631" s="102"/>
    </row>
    <row r="632">
      <c r="C632" s="102"/>
    </row>
    <row r="633">
      <c r="C633" s="102"/>
    </row>
    <row r="634">
      <c r="C634" s="102"/>
    </row>
    <row r="635">
      <c r="C635" s="102"/>
    </row>
    <row r="636">
      <c r="C636" s="102"/>
    </row>
    <row r="637">
      <c r="C637" s="102"/>
    </row>
    <row r="638">
      <c r="C638" s="102"/>
    </row>
    <row r="639">
      <c r="C639" s="102"/>
    </row>
    <row r="640">
      <c r="C640" s="102"/>
    </row>
    <row r="641">
      <c r="C641" s="102"/>
    </row>
    <row r="642">
      <c r="C642" s="102"/>
    </row>
    <row r="643">
      <c r="C643" s="102"/>
    </row>
    <row r="644">
      <c r="C644" s="102"/>
    </row>
    <row r="645">
      <c r="C645" s="102"/>
    </row>
    <row r="646">
      <c r="C646" s="102"/>
    </row>
    <row r="647">
      <c r="C647" s="102"/>
    </row>
    <row r="648">
      <c r="C648" s="102"/>
    </row>
    <row r="649">
      <c r="C649" s="102"/>
    </row>
    <row r="650">
      <c r="C650" s="102"/>
    </row>
    <row r="651">
      <c r="C651" s="102"/>
    </row>
    <row r="652">
      <c r="C652" s="102"/>
    </row>
    <row r="653">
      <c r="C653" s="102"/>
    </row>
    <row r="654">
      <c r="C654" s="102"/>
    </row>
    <row r="655">
      <c r="C655" s="102"/>
    </row>
    <row r="656">
      <c r="C656" s="102"/>
    </row>
    <row r="657">
      <c r="C657" s="102"/>
    </row>
    <row r="658">
      <c r="C658" s="102"/>
    </row>
    <row r="659">
      <c r="C659" s="102"/>
    </row>
    <row r="660">
      <c r="C660" s="102"/>
    </row>
    <row r="661">
      <c r="C661" s="102"/>
    </row>
    <row r="662">
      <c r="C662" s="102"/>
    </row>
    <row r="663">
      <c r="C663" s="102"/>
    </row>
    <row r="664">
      <c r="C664" s="102"/>
    </row>
    <row r="665">
      <c r="C665" s="102"/>
    </row>
    <row r="666">
      <c r="C666" s="102"/>
    </row>
    <row r="667">
      <c r="C667" s="102"/>
    </row>
    <row r="668">
      <c r="C668" s="102"/>
    </row>
    <row r="669">
      <c r="C669" s="102"/>
    </row>
    <row r="670">
      <c r="C670" s="102"/>
    </row>
    <row r="671">
      <c r="C671" s="102"/>
    </row>
    <row r="672">
      <c r="C672" s="102"/>
    </row>
    <row r="673">
      <c r="C673" s="102"/>
    </row>
    <row r="674">
      <c r="C674" s="102"/>
    </row>
    <row r="675">
      <c r="C675" s="102"/>
    </row>
    <row r="676">
      <c r="C676" s="102"/>
    </row>
    <row r="677">
      <c r="C677" s="102"/>
    </row>
    <row r="678">
      <c r="C678" s="102"/>
    </row>
    <row r="679">
      <c r="C679" s="102"/>
    </row>
    <row r="680">
      <c r="C680" s="102"/>
    </row>
    <row r="681">
      <c r="C681" s="102"/>
    </row>
    <row r="682">
      <c r="C682" s="102"/>
    </row>
    <row r="683">
      <c r="C683" s="102"/>
    </row>
    <row r="684">
      <c r="C684" s="102"/>
    </row>
    <row r="685">
      <c r="C685" s="102"/>
    </row>
    <row r="686">
      <c r="C686" s="102"/>
    </row>
    <row r="687">
      <c r="C687" s="102"/>
    </row>
    <row r="688">
      <c r="C688" s="102"/>
    </row>
    <row r="689">
      <c r="C689" s="102"/>
    </row>
    <row r="690">
      <c r="C690" s="102"/>
    </row>
    <row r="691">
      <c r="C691" s="102"/>
    </row>
    <row r="692">
      <c r="C692" s="102"/>
    </row>
    <row r="693">
      <c r="C693" s="102"/>
    </row>
    <row r="694">
      <c r="C694" s="102"/>
    </row>
    <row r="695">
      <c r="C695" s="102"/>
    </row>
    <row r="696">
      <c r="C696" s="102"/>
    </row>
    <row r="697">
      <c r="C697" s="102"/>
    </row>
    <row r="698">
      <c r="C698" s="102"/>
    </row>
    <row r="699">
      <c r="C699" s="102"/>
    </row>
    <row r="700">
      <c r="C700" s="102"/>
    </row>
    <row r="701">
      <c r="C701" s="102"/>
    </row>
    <row r="702">
      <c r="C702" s="102"/>
    </row>
    <row r="703">
      <c r="C703" s="102"/>
    </row>
    <row r="704">
      <c r="C704" s="102"/>
    </row>
    <row r="705">
      <c r="C705" s="102"/>
    </row>
    <row r="706">
      <c r="C706" s="102"/>
    </row>
    <row r="707">
      <c r="C707" s="102"/>
    </row>
    <row r="708">
      <c r="C708" s="102"/>
    </row>
    <row r="709">
      <c r="C709" s="102"/>
    </row>
    <row r="710">
      <c r="C710" s="102"/>
    </row>
    <row r="711">
      <c r="C711" s="102"/>
    </row>
    <row r="712">
      <c r="C712" s="102"/>
    </row>
    <row r="713">
      <c r="C713" s="102"/>
    </row>
    <row r="714">
      <c r="C714" s="102"/>
    </row>
    <row r="715">
      <c r="C715" s="102"/>
    </row>
    <row r="716">
      <c r="C716" s="102"/>
    </row>
    <row r="717">
      <c r="C717" s="102"/>
    </row>
    <row r="718">
      <c r="C718" s="102"/>
    </row>
    <row r="719">
      <c r="C719" s="102"/>
    </row>
    <row r="720">
      <c r="C720" s="102"/>
    </row>
    <row r="721">
      <c r="C721" s="102"/>
    </row>
    <row r="722">
      <c r="C722" s="102"/>
    </row>
    <row r="723">
      <c r="C723" s="102"/>
    </row>
    <row r="724">
      <c r="C724" s="102"/>
    </row>
    <row r="725">
      <c r="C725" s="102"/>
    </row>
    <row r="726">
      <c r="C726" s="102"/>
    </row>
    <row r="727">
      <c r="C727" s="102"/>
    </row>
    <row r="728">
      <c r="C728" s="102"/>
    </row>
    <row r="729">
      <c r="C729" s="102"/>
    </row>
    <row r="730">
      <c r="C730" s="102"/>
    </row>
    <row r="731">
      <c r="C731" s="102"/>
    </row>
    <row r="732">
      <c r="C732" s="102"/>
    </row>
    <row r="733">
      <c r="C733" s="102"/>
    </row>
    <row r="734">
      <c r="C734" s="102"/>
    </row>
    <row r="735">
      <c r="C735" s="102"/>
    </row>
    <row r="736">
      <c r="C736" s="102"/>
    </row>
    <row r="737">
      <c r="C737" s="102"/>
    </row>
    <row r="738">
      <c r="C738" s="102"/>
    </row>
    <row r="739">
      <c r="C739" s="102"/>
    </row>
    <row r="740">
      <c r="C740" s="102"/>
    </row>
    <row r="741">
      <c r="C741" s="102"/>
    </row>
    <row r="742">
      <c r="C742" s="102"/>
    </row>
    <row r="743">
      <c r="C743" s="102"/>
    </row>
    <row r="744">
      <c r="C744" s="102"/>
    </row>
    <row r="745">
      <c r="C745" s="102"/>
    </row>
    <row r="746">
      <c r="C746" s="102"/>
    </row>
    <row r="747">
      <c r="C747" s="102"/>
    </row>
    <row r="748">
      <c r="C748" s="102"/>
    </row>
    <row r="749">
      <c r="C749" s="102"/>
    </row>
    <row r="750">
      <c r="C750" s="102"/>
    </row>
    <row r="751">
      <c r="C751" s="102"/>
    </row>
    <row r="752">
      <c r="C752" s="102"/>
    </row>
    <row r="753">
      <c r="C753" s="102"/>
    </row>
    <row r="754">
      <c r="C754" s="102"/>
    </row>
    <row r="755">
      <c r="C755" s="102"/>
    </row>
    <row r="756">
      <c r="C756" s="102"/>
    </row>
    <row r="757">
      <c r="C757" s="102"/>
    </row>
    <row r="758">
      <c r="C758" s="102"/>
    </row>
    <row r="759">
      <c r="C759" s="102"/>
    </row>
    <row r="760">
      <c r="C760" s="102"/>
    </row>
    <row r="761">
      <c r="C761" s="102"/>
    </row>
    <row r="762">
      <c r="C762" s="102"/>
    </row>
    <row r="763">
      <c r="C763" s="102"/>
    </row>
    <row r="764">
      <c r="C764" s="102"/>
    </row>
    <row r="765">
      <c r="C765" s="102"/>
    </row>
    <row r="766">
      <c r="C766" s="102"/>
    </row>
    <row r="767">
      <c r="C767" s="102"/>
    </row>
    <row r="768">
      <c r="C768" s="102"/>
    </row>
    <row r="769">
      <c r="C769" s="102"/>
    </row>
    <row r="770">
      <c r="C770" s="102"/>
    </row>
    <row r="771">
      <c r="C771" s="102"/>
    </row>
    <row r="772">
      <c r="C772" s="102"/>
    </row>
    <row r="773">
      <c r="C773" s="102"/>
    </row>
    <row r="774">
      <c r="C774" s="102"/>
    </row>
    <row r="775">
      <c r="C775" s="102"/>
    </row>
    <row r="776">
      <c r="C776" s="102"/>
    </row>
    <row r="777">
      <c r="C777" s="102"/>
    </row>
    <row r="778">
      <c r="C778" s="102"/>
    </row>
    <row r="779">
      <c r="C779" s="102"/>
    </row>
    <row r="780">
      <c r="C780" s="102"/>
    </row>
    <row r="781">
      <c r="C781" s="102"/>
    </row>
    <row r="782">
      <c r="C782" s="102"/>
    </row>
    <row r="783">
      <c r="C783" s="102"/>
    </row>
    <row r="784">
      <c r="C784" s="102"/>
    </row>
    <row r="785">
      <c r="C785" s="102"/>
    </row>
    <row r="786">
      <c r="C786" s="102"/>
    </row>
    <row r="787">
      <c r="C787" s="102"/>
    </row>
    <row r="788">
      <c r="C788" s="102"/>
    </row>
    <row r="789">
      <c r="C789" s="102"/>
    </row>
    <row r="790">
      <c r="C790" s="102"/>
    </row>
    <row r="791">
      <c r="C791" s="102"/>
    </row>
    <row r="792">
      <c r="C792" s="102"/>
    </row>
    <row r="793">
      <c r="C793" s="102"/>
    </row>
    <row r="794">
      <c r="C794" s="102"/>
    </row>
    <row r="795">
      <c r="C795" s="102"/>
    </row>
    <row r="796">
      <c r="C796" s="102"/>
    </row>
    <row r="797">
      <c r="C797" s="102"/>
    </row>
    <row r="798">
      <c r="C798" s="102"/>
    </row>
    <row r="799">
      <c r="C799" s="102"/>
    </row>
    <row r="800">
      <c r="C800" s="102"/>
    </row>
    <row r="801">
      <c r="C801" s="102"/>
    </row>
    <row r="802">
      <c r="C802" s="102"/>
    </row>
    <row r="803">
      <c r="C803" s="102"/>
    </row>
    <row r="804">
      <c r="C804" s="102"/>
    </row>
    <row r="805">
      <c r="C805" s="102"/>
    </row>
    <row r="806">
      <c r="C806" s="102"/>
    </row>
    <row r="807">
      <c r="C807" s="102"/>
    </row>
    <row r="808">
      <c r="C808" s="102"/>
    </row>
    <row r="809">
      <c r="C809" s="102"/>
    </row>
    <row r="810">
      <c r="C810" s="102"/>
    </row>
    <row r="811">
      <c r="C811" s="102"/>
    </row>
    <row r="812">
      <c r="C812" s="102"/>
    </row>
    <row r="813">
      <c r="C813" s="102"/>
    </row>
    <row r="814">
      <c r="C814" s="102"/>
    </row>
    <row r="815">
      <c r="C815" s="102"/>
    </row>
    <row r="816">
      <c r="C816" s="102"/>
    </row>
    <row r="817">
      <c r="C817" s="102"/>
    </row>
    <row r="818">
      <c r="C818" s="102"/>
    </row>
    <row r="819">
      <c r="C819" s="102"/>
    </row>
    <row r="820">
      <c r="C820" s="102"/>
    </row>
    <row r="821">
      <c r="C821" s="102"/>
    </row>
    <row r="822">
      <c r="C822" s="102"/>
    </row>
    <row r="823">
      <c r="C823" s="102"/>
    </row>
    <row r="824">
      <c r="C824" s="102"/>
    </row>
    <row r="825">
      <c r="C825" s="102"/>
    </row>
    <row r="826">
      <c r="C826" s="102"/>
    </row>
    <row r="827">
      <c r="C827" s="102"/>
    </row>
    <row r="828">
      <c r="C828" s="102"/>
    </row>
    <row r="829">
      <c r="C829" s="102"/>
    </row>
    <row r="830">
      <c r="C830" s="102"/>
    </row>
    <row r="831">
      <c r="C831" s="102"/>
    </row>
    <row r="832">
      <c r="C832" s="102"/>
    </row>
    <row r="833">
      <c r="C833" s="102"/>
    </row>
    <row r="834">
      <c r="C834" s="102"/>
    </row>
    <row r="835">
      <c r="C835" s="102"/>
    </row>
    <row r="836">
      <c r="C836" s="102"/>
    </row>
    <row r="837">
      <c r="C837" s="102"/>
    </row>
    <row r="838">
      <c r="C838" s="102"/>
    </row>
    <row r="839">
      <c r="C839" s="102"/>
    </row>
    <row r="840">
      <c r="C840" s="102"/>
    </row>
    <row r="841">
      <c r="C841" s="102"/>
    </row>
    <row r="842">
      <c r="C842" s="102"/>
    </row>
    <row r="843">
      <c r="C843" s="102"/>
    </row>
    <row r="844">
      <c r="C844" s="102"/>
    </row>
    <row r="845">
      <c r="C845" s="102"/>
    </row>
    <row r="846">
      <c r="C846" s="102"/>
    </row>
    <row r="847">
      <c r="C847" s="102"/>
    </row>
    <row r="848">
      <c r="C848" s="102"/>
    </row>
    <row r="849">
      <c r="C849" s="102"/>
    </row>
    <row r="850">
      <c r="C850" s="102"/>
    </row>
    <row r="851">
      <c r="C851" s="102"/>
    </row>
    <row r="852">
      <c r="C852" s="102"/>
    </row>
    <row r="853">
      <c r="C853" s="102"/>
    </row>
    <row r="854">
      <c r="C854" s="102"/>
    </row>
    <row r="855">
      <c r="C855" s="102"/>
    </row>
    <row r="856">
      <c r="C856" s="102"/>
    </row>
    <row r="857">
      <c r="C857" s="102"/>
    </row>
    <row r="858">
      <c r="C858" s="102"/>
    </row>
    <row r="859">
      <c r="C859" s="102"/>
    </row>
    <row r="860">
      <c r="C860" s="102"/>
    </row>
    <row r="861">
      <c r="C861" s="102"/>
    </row>
    <row r="862">
      <c r="C862" s="102"/>
    </row>
    <row r="863">
      <c r="C863" s="102"/>
    </row>
    <row r="864">
      <c r="C864" s="102"/>
    </row>
    <row r="865">
      <c r="C865" s="102"/>
    </row>
    <row r="866">
      <c r="C866" s="102"/>
    </row>
    <row r="867">
      <c r="C867" s="102"/>
    </row>
    <row r="868">
      <c r="C868" s="102"/>
    </row>
    <row r="869">
      <c r="C869" s="102"/>
    </row>
    <row r="870">
      <c r="C870" s="102"/>
    </row>
    <row r="871">
      <c r="C871" s="102"/>
    </row>
    <row r="872">
      <c r="C872" s="102"/>
    </row>
    <row r="873">
      <c r="C873" s="102"/>
    </row>
    <row r="874">
      <c r="C874" s="102"/>
    </row>
    <row r="875">
      <c r="C875" s="102"/>
    </row>
    <row r="876">
      <c r="C876" s="102"/>
    </row>
    <row r="877">
      <c r="C877" s="102"/>
    </row>
    <row r="878">
      <c r="C878" s="102"/>
    </row>
    <row r="879">
      <c r="C879" s="102"/>
    </row>
    <row r="880">
      <c r="C880" s="102"/>
    </row>
    <row r="881">
      <c r="C881" s="102"/>
    </row>
    <row r="882">
      <c r="C882" s="102"/>
    </row>
    <row r="883">
      <c r="C883" s="102"/>
    </row>
    <row r="884">
      <c r="C884" s="102"/>
    </row>
    <row r="885">
      <c r="C885" s="102"/>
    </row>
    <row r="886">
      <c r="C886" s="102"/>
    </row>
    <row r="887">
      <c r="C887" s="102"/>
    </row>
    <row r="888">
      <c r="C888" s="102"/>
    </row>
    <row r="889">
      <c r="C889" s="102"/>
    </row>
    <row r="890">
      <c r="C890" s="102"/>
    </row>
    <row r="891">
      <c r="C891" s="102"/>
    </row>
    <row r="892">
      <c r="C892" s="102"/>
    </row>
    <row r="893">
      <c r="C893" s="102"/>
    </row>
    <row r="894">
      <c r="C894" s="102"/>
    </row>
    <row r="895">
      <c r="C895" s="102"/>
    </row>
    <row r="896">
      <c r="C896" s="102"/>
    </row>
    <row r="897">
      <c r="C897" s="102"/>
    </row>
    <row r="898">
      <c r="C898" s="102"/>
    </row>
    <row r="899">
      <c r="C899" s="102"/>
    </row>
    <row r="900">
      <c r="C900" s="102"/>
    </row>
    <row r="901">
      <c r="C901" s="102"/>
    </row>
    <row r="902">
      <c r="C902" s="102"/>
    </row>
    <row r="903">
      <c r="C903" s="102"/>
    </row>
    <row r="904">
      <c r="C904" s="102"/>
    </row>
    <row r="905">
      <c r="C905" s="102"/>
    </row>
    <row r="906">
      <c r="C906" s="102"/>
    </row>
    <row r="907">
      <c r="C907" s="102"/>
    </row>
    <row r="908">
      <c r="C908" s="102"/>
    </row>
    <row r="909">
      <c r="C909" s="102"/>
    </row>
    <row r="910">
      <c r="C910" s="102"/>
    </row>
    <row r="911">
      <c r="C911" s="102"/>
    </row>
    <row r="912">
      <c r="C912" s="102"/>
    </row>
    <row r="913">
      <c r="C913" s="102"/>
    </row>
    <row r="914">
      <c r="C914" s="102"/>
    </row>
    <row r="915">
      <c r="C915" s="102"/>
    </row>
    <row r="916">
      <c r="C916" s="102"/>
    </row>
    <row r="917">
      <c r="C917" s="102"/>
    </row>
    <row r="918">
      <c r="C918" s="102"/>
    </row>
    <row r="919">
      <c r="C919" s="102"/>
    </row>
    <row r="920">
      <c r="C920" s="102"/>
    </row>
    <row r="921">
      <c r="C921" s="102"/>
    </row>
    <row r="922">
      <c r="C922" s="102"/>
    </row>
    <row r="923">
      <c r="C923" s="102"/>
    </row>
    <row r="924">
      <c r="C924" s="102"/>
    </row>
    <row r="925">
      <c r="C925" s="102"/>
    </row>
    <row r="926">
      <c r="C926" s="102"/>
    </row>
    <row r="927">
      <c r="C927" s="102"/>
    </row>
    <row r="928">
      <c r="C928" s="102"/>
    </row>
    <row r="929">
      <c r="C929" s="102"/>
    </row>
    <row r="930">
      <c r="C930" s="102"/>
    </row>
    <row r="931">
      <c r="C931" s="102"/>
    </row>
    <row r="932">
      <c r="C932" s="102"/>
    </row>
    <row r="933">
      <c r="C933" s="102"/>
    </row>
    <row r="934">
      <c r="C934" s="102"/>
    </row>
    <row r="935">
      <c r="C935" s="102"/>
    </row>
    <row r="936">
      <c r="C936" s="102"/>
    </row>
    <row r="937">
      <c r="C937" s="102"/>
    </row>
    <row r="938">
      <c r="C938" s="102"/>
    </row>
    <row r="939">
      <c r="C939" s="102"/>
    </row>
    <row r="940">
      <c r="C940" s="102"/>
    </row>
    <row r="941">
      <c r="C941" s="102"/>
    </row>
    <row r="942">
      <c r="C942" s="102"/>
    </row>
    <row r="943">
      <c r="C943" s="102"/>
    </row>
    <row r="944">
      <c r="C944" s="102"/>
    </row>
    <row r="945">
      <c r="C945" s="102"/>
    </row>
    <row r="946">
      <c r="C946" s="102"/>
    </row>
    <row r="947">
      <c r="C947" s="102"/>
    </row>
    <row r="948">
      <c r="C948" s="102"/>
    </row>
    <row r="949">
      <c r="C949" s="102"/>
    </row>
    <row r="950">
      <c r="C950" s="102"/>
    </row>
    <row r="951">
      <c r="C951" s="102"/>
    </row>
    <row r="952">
      <c r="C952" s="102"/>
    </row>
    <row r="953">
      <c r="C953" s="102"/>
    </row>
    <row r="954">
      <c r="C954" s="102"/>
    </row>
    <row r="955">
      <c r="C955" s="102"/>
    </row>
    <row r="956">
      <c r="C956" s="102"/>
    </row>
    <row r="957">
      <c r="C957" s="102"/>
    </row>
    <row r="958">
      <c r="C958" s="102"/>
    </row>
    <row r="959">
      <c r="C959" s="102"/>
    </row>
    <row r="960">
      <c r="C960" s="102"/>
    </row>
    <row r="961">
      <c r="C961" s="102"/>
    </row>
    <row r="962">
      <c r="C962" s="102"/>
    </row>
    <row r="963">
      <c r="C963" s="102"/>
    </row>
    <row r="964">
      <c r="C964" s="102"/>
    </row>
    <row r="965">
      <c r="C965" s="102"/>
    </row>
    <row r="966">
      <c r="C966" s="102"/>
    </row>
    <row r="967">
      <c r="C967" s="102"/>
    </row>
    <row r="968">
      <c r="C968" s="102"/>
    </row>
    <row r="969">
      <c r="C969" s="102"/>
    </row>
    <row r="970">
      <c r="C970" s="102"/>
    </row>
    <row r="971">
      <c r="C971" s="102"/>
    </row>
    <row r="972">
      <c r="C972" s="102"/>
    </row>
    <row r="973">
      <c r="C973" s="102"/>
    </row>
    <row r="974">
      <c r="C974" s="102"/>
    </row>
    <row r="975">
      <c r="C975" s="102"/>
    </row>
    <row r="976">
      <c r="C976" s="102"/>
    </row>
    <row r="977">
      <c r="C977" s="102"/>
    </row>
    <row r="978">
      <c r="C978" s="102"/>
    </row>
    <row r="979">
      <c r="C979" s="102"/>
    </row>
    <row r="980">
      <c r="C980" s="102"/>
    </row>
    <row r="981">
      <c r="C981" s="102"/>
    </row>
    <row r="982">
      <c r="C982" s="102"/>
    </row>
    <row r="983">
      <c r="C983" s="102"/>
    </row>
    <row r="984">
      <c r="C984" s="102"/>
    </row>
    <row r="985">
      <c r="C985" s="102"/>
    </row>
    <row r="986">
      <c r="C986" s="102"/>
    </row>
    <row r="987">
      <c r="C987" s="102"/>
    </row>
    <row r="988">
      <c r="C988" s="102"/>
    </row>
    <row r="989">
      <c r="C989" s="102"/>
    </row>
    <row r="990">
      <c r="C990" s="102"/>
    </row>
    <row r="991">
      <c r="C991" s="102"/>
    </row>
    <row r="992">
      <c r="C992" s="102"/>
    </row>
    <row r="993">
      <c r="C993" s="102"/>
    </row>
    <row r="994">
      <c r="C994" s="102"/>
    </row>
    <row r="995">
      <c r="C995" s="102"/>
    </row>
    <row r="996">
      <c r="C996" s="102"/>
    </row>
    <row r="997">
      <c r="C997" s="102"/>
    </row>
    <row r="998">
      <c r="C998" s="102"/>
    </row>
    <row r="999">
      <c r="C999" s="102"/>
    </row>
    <row r="1000">
      <c r="C1000" s="42"/>
    </row>
  </sheetData>
  <dataValidations>
    <dataValidation type="list" allowBlank="1" showErrorMessage="1" sqref="C2:C31">
      <formula1>"1,2,3,4,5,6,N"</formula1>
    </dataValidation>
  </dataValidation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765A4"/>
    <outlinePr summaryBelow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.0"/>
    <col customWidth="1" min="2" max="2" width="25.63"/>
    <col customWidth="1" min="3" max="62" width="3.0"/>
    <col customWidth="1" min="63" max="63" width="3.75"/>
    <col customWidth="1" min="64" max="64" width="3.13"/>
  </cols>
  <sheetData>
    <row r="1" ht="144.0" customHeight="1">
      <c r="B1" s="115"/>
      <c r="C1" s="116" t="s">
        <v>12</v>
      </c>
      <c r="D1" s="117" t="s">
        <v>17</v>
      </c>
      <c r="E1" s="116" t="s">
        <v>22</v>
      </c>
      <c r="F1" s="116" t="s">
        <v>27</v>
      </c>
      <c r="G1" s="116" t="s">
        <v>32</v>
      </c>
      <c r="H1" s="116" t="s">
        <v>37</v>
      </c>
      <c r="I1" s="116" t="s">
        <v>42</v>
      </c>
      <c r="J1" s="116" t="s">
        <v>47</v>
      </c>
      <c r="K1" s="116" t="s">
        <v>52</v>
      </c>
      <c r="L1" s="116" t="s">
        <v>58</v>
      </c>
      <c r="M1" s="116" t="s">
        <v>62</v>
      </c>
      <c r="N1" s="116" t="s">
        <v>67</v>
      </c>
      <c r="O1" s="116" t="s">
        <v>72</v>
      </c>
      <c r="P1" s="116" t="s">
        <v>77</v>
      </c>
      <c r="Q1" s="116" t="s">
        <v>82</v>
      </c>
      <c r="R1" s="116" t="s">
        <v>87</v>
      </c>
      <c r="S1" s="116" t="s">
        <v>92</v>
      </c>
      <c r="T1" s="116" t="s">
        <v>97</v>
      </c>
      <c r="U1" s="116" t="s">
        <v>102</v>
      </c>
      <c r="V1" s="116" t="s">
        <v>107</v>
      </c>
      <c r="W1" s="116" t="s">
        <v>112</v>
      </c>
      <c r="X1" s="116" t="s">
        <v>117</v>
      </c>
      <c r="Y1" s="116" t="s">
        <v>122</v>
      </c>
      <c r="Z1" s="116" t="s">
        <v>127</v>
      </c>
      <c r="AA1" s="116" t="s">
        <v>132</v>
      </c>
      <c r="AB1" s="116" t="s">
        <v>137</v>
      </c>
      <c r="AC1" s="116" t="s">
        <v>142</v>
      </c>
      <c r="AD1" s="116" t="s">
        <v>147</v>
      </c>
      <c r="AE1" s="116" t="s">
        <v>152</v>
      </c>
      <c r="AF1" s="116" t="s">
        <v>157</v>
      </c>
      <c r="AG1" s="116" t="s">
        <v>162</v>
      </c>
      <c r="AH1" s="116" t="s">
        <v>167</v>
      </c>
      <c r="AI1" s="116" t="s">
        <v>172</v>
      </c>
      <c r="AJ1" s="116" t="s">
        <v>177</v>
      </c>
      <c r="AK1" s="116" t="s">
        <v>182</v>
      </c>
      <c r="AL1" s="116" t="s">
        <v>187</v>
      </c>
      <c r="AM1" s="116" t="s">
        <v>192</v>
      </c>
      <c r="AN1" s="116" t="s">
        <v>197</v>
      </c>
      <c r="AO1" s="116" t="s">
        <v>202</v>
      </c>
      <c r="AP1" s="116" t="s">
        <v>207</v>
      </c>
      <c r="AQ1" s="116" t="s">
        <v>212</v>
      </c>
      <c r="AR1" s="116" t="s">
        <v>217</v>
      </c>
      <c r="AS1" s="116" t="s">
        <v>222</v>
      </c>
      <c r="AT1" s="116" t="s">
        <v>227</v>
      </c>
      <c r="AU1" s="116" t="s">
        <v>232</v>
      </c>
      <c r="AV1" s="116" t="s">
        <v>237</v>
      </c>
      <c r="AW1" s="116" t="s">
        <v>241</v>
      </c>
      <c r="AX1" s="116" t="s">
        <v>246</v>
      </c>
      <c r="AY1" s="116" t="s">
        <v>251</v>
      </c>
      <c r="AZ1" s="116" t="s">
        <v>256</v>
      </c>
      <c r="BA1" s="116" t="s">
        <v>261</v>
      </c>
      <c r="BB1" s="116" t="s">
        <v>266</v>
      </c>
      <c r="BC1" s="116" t="s">
        <v>271</v>
      </c>
      <c r="BD1" s="116" t="s">
        <v>276</v>
      </c>
      <c r="BE1" s="116" t="s">
        <v>281</v>
      </c>
      <c r="BF1" s="116" t="s">
        <v>286</v>
      </c>
      <c r="BG1" s="116" t="s">
        <v>291</v>
      </c>
      <c r="BH1" s="116" t="s">
        <v>296</v>
      </c>
      <c r="BI1" s="116" t="s">
        <v>301</v>
      </c>
      <c r="BJ1" s="116" t="s">
        <v>437</v>
      </c>
      <c r="BK1" s="118" t="s">
        <v>438</v>
      </c>
      <c r="BL1" s="118" t="s">
        <v>439</v>
      </c>
    </row>
    <row r="2">
      <c r="A2" s="119">
        <v>1.0</v>
      </c>
      <c r="B2" s="120" t="s">
        <v>286</v>
      </c>
      <c r="C2" s="42">
        <v>7.0</v>
      </c>
      <c r="D2" s="121"/>
      <c r="E2" s="42">
        <v>1.0</v>
      </c>
      <c r="F2" s="42">
        <v>7.0</v>
      </c>
      <c r="G2" s="42">
        <v>1.0</v>
      </c>
      <c r="H2" s="42">
        <v>7.0</v>
      </c>
      <c r="I2" s="42"/>
      <c r="J2" s="42"/>
      <c r="K2" s="42">
        <v>3.0</v>
      </c>
      <c r="L2" s="42"/>
      <c r="M2" s="42"/>
      <c r="N2" s="42">
        <v>6.0</v>
      </c>
      <c r="O2" s="42">
        <v>12.0</v>
      </c>
      <c r="P2" s="42"/>
      <c r="Q2" s="42">
        <v>12.0</v>
      </c>
      <c r="R2" s="42"/>
      <c r="S2" s="42">
        <v>5.0</v>
      </c>
      <c r="T2" s="42">
        <v>7.0</v>
      </c>
      <c r="U2" s="42">
        <v>12.0</v>
      </c>
      <c r="V2" s="42"/>
      <c r="W2" s="42"/>
      <c r="X2" s="42"/>
      <c r="Y2" s="42">
        <v>2.0</v>
      </c>
      <c r="Z2" s="42"/>
      <c r="AA2" s="42">
        <v>12.0</v>
      </c>
      <c r="AB2" s="42"/>
      <c r="AC2" s="42">
        <v>3.0</v>
      </c>
      <c r="AD2" s="42"/>
      <c r="AF2" s="42"/>
      <c r="AG2" s="42">
        <v>7.0</v>
      </c>
      <c r="AH2" s="42">
        <v>4.0</v>
      </c>
      <c r="AI2" s="42">
        <v>8.0</v>
      </c>
      <c r="AJ2" s="42"/>
      <c r="AK2" s="42"/>
      <c r="AL2" s="42">
        <v>10.0</v>
      </c>
      <c r="AM2" s="42">
        <v>12.0</v>
      </c>
      <c r="AN2" s="42">
        <v>4.0</v>
      </c>
      <c r="AO2" s="42"/>
      <c r="AP2" s="42">
        <v>5.0</v>
      </c>
      <c r="AQ2" s="42"/>
      <c r="AR2" s="42">
        <v>10.0</v>
      </c>
      <c r="AS2" s="42"/>
      <c r="AT2" s="42"/>
      <c r="AU2" s="42"/>
      <c r="AV2" s="42">
        <v>5.0</v>
      </c>
      <c r="AW2" s="42">
        <v>1.0</v>
      </c>
      <c r="AX2" s="42">
        <v>10.0</v>
      </c>
      <c r="AY2" s="42">
        <v>12.0</v>
      </c>
      <c r="AZ2" s="42"/>
      <c r="BA2" s="42"/>
      <c r="BB2" s="42"/>
      <c r="BC2" s="42">
        <v>12.0</v>
      </c>
      <c r="BD2" s="42">
        <v>6.0</v>
      </c>
      <c r="BE2" s="42"/>
      <c r="BF2" s="42"/>
      <c r="BG2" s="42"/>
      <c r="BH2" s="42"/>
      <c r="BI2" s="42"/>
      <c r="BJ2" s="42">
        <v>2.0</v>
      </c>
      <c r="BK2" s="43">
        <f t="shared" ref="BK2:BK29" si="1">SUM(C2:BJ2)</f>
        <v>205</v>
      </c>
      <c r="BL2" s="43">
        <f t="shared" ref="BL2:BL29" si="2">COUNT(C2:BJ2)</f>
        <v>30</v>
      </c>
    </row>
    <row r="3">
      <c r="A3" s="119">
        <v>2.0</v>
      </c>
      <c r="B3" s="120" t="s">
        <v>72</v>
      </c>
      <c r="C3" s="42"/>
      <c r="D3" s="121"/>
      <c r="E3" s="42"/>
      <c r="F3" s="42">
        <v>6.0</v>
      </c>
      <c r="G3" s="42">
        <v>5.0</v>
      </c>
      <c r="H3" s="42">
        <v>5.0</v>
      </c>
      <c r="I3" s="42">
        <v>8.0</v>
      </c>
      <c r="J3" s="42"/>
      <c r="K3" s="42"/>
      <c r="L3" s="42"/>
      <c r="M3" s="42">
        <v>10.0</v>
      </c>
      <c r="N3" s="42"/>
      <c r="O3" s="42"/>
      <c r="P3" s="42">
        <v>6.0</v>
      </c>
      <c r="Q3" s="42"/>
      <c r="R3" s="42">
        <v>6.0</v>
      </c>
      <c r="S3" s="42"/>
      <c r="T3" s="42"/>
      <c r="U3" s="42"/>
      <c r="V3" s="42"/>
      <c r="W3" s="42"/>
      <c r="X3" s="42">
        <v>10.0</v>
      </c>
      <c r="Y3" s="42"/>
      <c r="Z3" s="42"/>
      <c r="AA3" s="42"/>
      <c r="AB3" s="42">
        <v>2.0</v>
      </c>
      <c r="AC3" s="42"/>
      <c r="AD3" s="42"/>
      <c r="AF3" s="42">
        <v>2.0</v>
      </c>
      <c r="AG3" s="42">
        <v>12.0</v>
      </c>
      <c r="AH3" s="42"/>
      <c r="AI3" s="42">
        <v>4.0</v>
      </c>
      <c r="AJ3" s="42"/>
      <c r="AK3" s="42">
        <v>10.0</v>
      </c>
      <c r="AL3" s="42">
        <v>2.0</v>
      </c>
      <c r="AM3" s="42"/>
      <c r="AN3" s="42">
        <v>6.0</v>
      </c>
      <c r="AO3" s="42"/>
      <c r="AP3" s="42">
        <v>12.0</v>
      </c>
      <c r="AQ3" s="42"/>
      <c r="AR3" s="42"/>
      <c r="AS3" s="42"/>
      <c r="AT3" s="42">
        <v>3.0</v>
      </c>
      <c r="AU3" s="42">
        <v>12.0</v>
      </c>
      <c r="AV3" s="42">
        <v>7.0</v>
      </c>
      <c r="AW3" s="42">
        <v>7.0</v>
      </c>
      <c r="AX3" s="42"/>
      <c r="AY3" s="42"/>
      <c r="AZ3" s="42">
        <v>6.0</v>
      </c>
      <c r="BA3" s="42"/>
      <c r="BB3" s="42">
        <v>2.0</v>
      </c>
      <c r="BC3" s="42">
        <v>3.0</v>
      </c>
      <c r="BD3" s="42">
        <v>10.0</v>
      </c>
      <c r="BE3" s="42"/>
      <c r="BF3" s="42">
        <v>4.0</v>
      </c>
      <c r="BG3" s="42"/>
      <c r="BH3" s="42">
        <v>8.0</v>
      </c>
      <c r="BI3" s="42"/>
      <c r="BJ3" s="42"/>
      <c r="BK3" s="43">
        <f t="shared" si="1"/>
        <v>168</v>
      </c>
      <c r="BL3" s="43">
        <f t="shared" si="2"/>
        <v>26</v>
      </c>
    </row>
    <row r="4">
      <c r="A4" s="119">
        <v>3.0</v>
      </c>
      <c r="B4" s="120" t="s">
        <v>167</v>
      </c>
      <c r="C4" s="42">
        <v>1.0</v>
      </c>
      <c r="D4" s="121"/>
      <c r="E4" s="42"/>
      <c r="F4" s="42">
        <v>3.0</v>
      </c>
      <c r="G4" s="42"/>
      <c r="H4" s="42">
        <v>8.0</v>
      </c>
      <c r="I4" s="42"/>
      <c r="J4" s="42">
        <v>6.0</v>
      </c>
      <c r="K4" s="42"/>
      <c r="L4" s="42">
        <v>6.0</v>
      </c>
      <c r="M4" s="42"/>
      <c r="N4" s="42">
        <v>1.0</v>
      </c>
      <c r="O4" s="42">
        <v>2.0</v>
      </c>
      <c r="P4" s="42">
        <v>5.0</v>
      </c>
      <c r="Q4" s="42">
        <v>2.0</v>
      </c>
      <c r="R4" s="42"/>
      <c r="S4" s="42"/>
      <c r="T4" s="42">
        <v>8.0</v>
      </c>
      <c r="U4" s="42">
        <v>10.0</v>
      </c>
      <c r="V4" s="42">
        <v>4.0</v>
      </c>
      <c r="W4" s="42"/>
      <c r="X4" s="42"/>
      <c r="Y4" s="42">
        <v>7.0</v>
      </c>
      <c r="Z4" s="42">
        <v>7.0</v>
      </c>
      <c r="AA4" s="42">
        <v>4.0</v>
      </c>
      <c r="AB4" s="42"/>
      <c r="AC4" s="42">
        <v>2.0</v>
      </c>
      <c r="AD4" s="42"/>
      <c r="AE4" s="43">
        <v>1.0</v>
      </c>
      <c r="AF4" s="42"/>
      <c r="AG4" s="42"/>
      <c r="AH4" s="42"/>
      <c r="AI4" s="42">
        <v>7.0</v>
      </c>
      <c r="AJ4" s="42"/>
      <c r="AK4" s="42">
        <v>7.0</v>
      </c>
      <c r="AL4" s="42">
        <v>12.0</v>
      </c>
      <c r="AM4" s="42"/>
      <c r="AN4" s="42"/>
      <c r="AO4" s="42"/>
      <c r="AP4" s="42"/>
      <c r="AQ4" s="42">
        <v>10.0</v>
      </c>
      <c r="AR4" s="42"/>
      <c r="AS4" s="42"/>
      <c r="AT4" s="42">
        <v>6.0</v>
      </c>
      <c r="AU4" s="42">
        <v>5.0</v>
      </c>
      <c r="AV4" s="42"/>
      <c r="AW4" s="42"/>
      <c r="AX4" s="42">
        <v>5.0</v>
      </c>
      <c r="AY4" s="42">
        <v>8.0</v>
      </c>
      <c r="AZ4" s="42">
        <v>7.0</v>
      </c>
      <c r="BA4" s="42">
        <v>3.0</v>
      </c>
      <c r="BB4" s="42"/>
      <c r="BC4" s="42"/>
      <c r="BD4" s="42"/>
      <c r="BE4" s="42">
        <v>1.0</v>
      </c>
      <c r="BF4" s="42"/>
      <c r="BG4" s="42">
        <v>10.0</v>
      </c>
      <c r="BH4" s="42"/>
      <c r="BI4" s="42">
        <v>8.0</v>
      </c>
      <c r="BJ4" s="42"/>
      <c r="BK4" s="43">
        <f t="shared" si="1"/>
        <v>166</v>
      </c>
      <c r="BL4" s="43">
        <f t="shared" si="2"/>
        <v>30</v>
      </c>
    </row>
    <row r="5">
      <c r="A5" s="119">
        <v>4.0</v>
      </c>
      <c r="B5" s="120" t="s">
        <v>187</v>
      </c>
      <c r="C5" s="42"/>
      <c r="D5" s="121"/>
      <c r="E5" s="42"/>
      <c r="F5" s="42"/>
      <c r="G5" s="42"/>
      <c r="H5" s="42">
        <v>10.0</v>
      </c>
      <c r="I5" s="42"/>
      <c r="J5" s="42">
        <v>2.0</v>
      </c>
      <c r="K5" s="42">
        <v>8.0</v>
      </c>
      <c r="L5" s="42">
        <v>5.0</v>
      </c>
      <c r="M5" s="42">
        <v>1.0</v>
      </c>
      <c r="N5" s="42" t="s">
        <v>440</v>
      </c>
      <c r="O5" s="42">
        <v>10.0</v>
      </c>
      <c r="P5" s="42">
        <v>3.0</v>
      </c>
      <c r="Q5" s="42"/>
      <c r="R5" s="42">
        <v>3.0</v>
      </c>
      <c r="S5" s="42"/>
      <c r="T5" s="42">
        <v>6.0</v>
      </c>
      <c r="U5" s="42">
        <v>4.0</v>
      </c>
      <c r="V5" s="42"/>
      <c r="W5" s="42"/>
      <c r="X5" s="42"/>
      <c r="Y5" s="42"/>
      <c r="Z5" s="42"/>
      <c r="AA5" s="42">
        <v>10.0</v>
      </c>
      <c r="AB5" s="42"/>
      <c r="AC5" s="42"/>
      <c r="AD5" s="42"/>
      <c r="AE5" s="43">
        <v>6.0</v>
      </c>
      <c r="AF5" s="42"/>
      <c r="AG5" s="42"/>
      <c r="AH5" s="42">
        <v>12.0</v>
      </c>
      <c r="AI5" s="42"/>
      <c r="AJ5" s="42"/>
      <c r="AK5" s="42">
        <v>5.0</v>
      </c>
      <c r="AL5" s="42"/>
      <c r="AM5" s="42"/>
      <c r="AN5" s="42">
        <v>8.0</v>
      </c>
      <c r="AO5" s="42"/>
      <c r="AP5" s="42"/>
      <c r="AQ5" s="42">
        <v>2.0</v>
      </c>
      <c r="AR5" s="42"/>
      <c r="AS5" s="42"/>
      <c r="AT5" s="42"/>
      <c r="AU5" s="42"/>
      <c r="AV5" s="42"/>
      <c r="AW5" s="42">
        <v>3.0</v>
      </c>
      <c r="AX5" s="42">
        <v>1.0</v>
      </c>
      <c r="AY5" s="42">
        <v>10.0</v>
      </c>
      <c r="AZ5" s="42"/>
      <c r="BA5" s="42">
        <v>2.0</v>
      </c>
      <c r="BB5" s="42">
        <v>4.0</v>
      </c>
      <c r="BC5" s="42">
        <v>10.0</v>
      </c>
      <c r="BD5" s="42">
        <v>4.0</v>
      </c>
      <c r="BE5" s="42">
        <v>8.0</v>
      </c>
      <c r="BF5" s="42"/>
      <c r="BG5" s="42">
        <v>12.0</v>
      </c>
      <c r="BH5" s="42"/>
      <c r="BI5" s="42">
        <v>10.0</v>
      </c>
      <c r="BJ5" s="42">
        <v>3.0</v>
      </c>
      <c r="BK5" s="43">
        <f t="shared" si="1"/>
        <v>162</v>
      </c>
      <c r="BL5" s="43">
        <f t="shared" si="2"/>
        <v>27</v>
      </c>
    </row>
    <row r="6">
      <c r="A6" s="119">
        <v>5.0</v>
      </c>
      <c r="B6" s="120" t="s">
        <v>227</v>
      </c>
      <c r="C6" s="42">
        <v>8.0</v>
      </c>
      <c r="D6" s="121"/>
      <c r="E6" s="42">
        <v>5.0</v>
      </c>
      <c r="F6" s="42"/>
      <c r="G6" s="42">
        <v>12.0</v>
      </c>
      <c r="H6" s="42"/>
      <c r="I6" s="42">
        <v>7.0</v>
      </c>
      <c r="J6" s="42"/>
      <c r="K6" s="42">
        <v>6.0</v>
      </c>
      <c r="L6" s="42">
        <v>2.0</v>
      </c>
      <c r="M6" s="42"/>
      <c r="N6" s="42"/>
      <c r="O6" s="42"/>
      <c r="P6" s="42"/>
      <c r="Q6" s="42">
        <v>1.0</v>
      </c>
      <c r="R6" s="42"/>
      <c r="S6" s="42">
        <v>10.0</v>
      </c>
      <c r="T6" s="42">
        <v>3.0</v>
      </c>
      <c r="U6" s="42"/>
      <c r="V6" s="42">
        <v>6.0</v>
      </c>
      <c r="W6" s="42">
        <v>4.0</v>
      </c>
      <c r="X6" s="42"/>
      <c r="Y6" s="42">
        <v>12.0</v>
      </c>
      <c r="Z6" s="42">
        <v>2.0</v>
      </c>
      <c r="AA6" s="42"/>
      <c r="AB6" s="42"/>
      <c r="AC6" s="42">
        <v>1.0</v>
      </c>
      <c r="AD6" s="42"/>
      <c r="AF6" s="42"/>
      <c r="AG6" s="42"/>
      <c r="AH6" s="42"/>
      <c r="AI6" s="42"/>
      <c r="AJ6" s="42"/>
      <c r="AK6" s="42">
        <v>8.0</v>
      </c>
      <c r="AL6" s="42"/>
      <c r="AM6" s="42"/>
      <c r="AN6" s="42"/>
      <c r="AO6" s="42"/>
      <c r="AP6" s="42"/>
      <c r="AQ6" s="42">
        <v>8.0</v>
      </c>
      <c r="AR6" s="42">
        <v>6.0</v>
      </c>
      <c r="AS6" s="42">
        <v>10.0</v>
      </c>
      <c r="AT6" s="42"/>
      <c r="AU6" s="42"/>
      <c r="AV6" s="42"/>
      <c r="AW6" s="42">
        <v>2.0</v>
      </c>
      <c r="AX6" s="42"/>
      <c r="AY6" s="42"/>
      <c r="AZ6" s="42">
        <v>2.0</v>
      </c>
      <c r="BA6" s="42">
        <v>7.0</v>
      </c>
      <c r="BB6" s="42">
        <v>3.0</v>
      </c>
      <c r="BC6" s="42">
        <v>8.0</v>
      </c>
      <c r="BD6" s="42"/>
      <c r="BE6" s="42">
        <v>6.0</v>
      </c>
      <c r="BF6" s="42"/>
      <c r="BG6" s="42"/>
      <c r="BH6" s="42"/>
      <c r="BI6" s="42"/>
      <c r="BJ6" s="42">
        <v>8.0</v>
      </c>
      <c r="BK6" s="43">
        <f t="shared" si="1"/>
        <v>147</v>
      </c>
      <c r="BL6" s="43">
        <f t="shared" si="2"/>
        <v>25</v>
      </c>
    </row>
    <row r="7">
      <c r="A7" s="119">
        <v>6.0</v>
      </c>
      <c r="B7" s="120" t="s">
        <v>251</v>
      </c>
      <c r="C7" s="42">
        <v>6.0</v>
      </c>
      <c r="D7" s="121"/>
      <c r="E7" s="42">
        <v>10.0</v>
      </c>
      <c r="F7" s="42">
        <v>1.0</v>
      </c>
      <c r="G7" s="42"/>
      <c r="H7" s="42">
        <v>12.0</v>
      </c>
      <c r="I7" s="42">
        <v>2.0</v>
      </c>
      <c r="J7" s="42"/>
      <c r="K7" s="42">
        <v>5.0</v>
      </c>
      <c r="L7" s="42"/>
      <c r="M7" s="42">
        <v>6.0</v>
      </c>
      <c r="N7" s="42">
        <v>5.0</v>
      </c>
      <c r="O7" s="42">
        <v>7.0</v>
      </c>
      <c r="P7" s="42"/>
      <c r="Q7" s="42"/>
      <c r="R7" s="42">
        <v>7.0</v>
      </c>
      <c r="S7" s="42"/>
      <c r="T7" s="42"/>
      <c r="U7" s="42"/>
      <c r="V7" s="42">
        <v>3.0</v>
      </c>
      <c r="W7" s="42">
        <v>5.0</v>
      </c>
      <c r="X7" s="42"/>
      <c r="Y7" s="42"/>
      <c r="Z7" s="42">
        <v>4.0</v>
      </c>
      <c r="AA7" s="42">
        <v>8.0</v>
      </c>
      <c r="AB7" s="42"/>
      <c r="AC7" s="42">
        <v>4.0</v>
      </c>
      <c r="AD7" s="42">
        <v>4.0</v>
      </c>
      <c r="AE7" s="43">
        <v>10.0</v>
      </c>
      <c r="AF7" s="42"/>
      <c r="AG7" s="42">
        <v>5.0</v>
      </c>
      <c r="AH7" s="42"/>
      <c r="AI7" s="42"/>
      <c r="AJ7" s="42"/>
      <c r="AK7" s="42"/>
      <c r="AL7" s="42">
        <v>8.0</v>
      </c>
      <c r="AM7" s="42">
        <v>3.0</v>
      </c>
      <c r="AN7" s="42"/>
      <c r="AO7" s="42"/>
      <c r="AP7" s="42"/>
      <c r="AQ7" s="42"/>
      <c r="AR7" s="42"/>
      <c r="AS7" s="42"/>
      <c r="AT7" s="42">
        <v>2.0</v>
      </c>
      <c r="AU7" s="42"/>
      <c r="AV7" s="42">
        <v>6.0</v>
      </c>
      <c r="AW7" s="42"/>
      <c r="AX7" s="42">
        <v>8.0</v>
      </c>
      <c r="AY7" s="42"/>
      <c r="AZ7" s="42"/>
      <c r="BA7" s="42"/>
      <c r="BB7" s="42"/>
      <c r="BC7" s="42"/>
      <c r="BD7" s="42"/>
      <c r="BE7" s="42">
        <v>2.0</v>
      </c>
      <c r="BF7" s="42"/>
      <c r="BG7" s="42">
        <v>3.0</v>
      </c>
      <c r="BH7" s="42"/>
      <c r="BI7" s="42">
        <v>3.0</v>
      </c>
      <c r="BJ7" s="42"/>
      <c r="BK7" s="43">
        <f t="shared" si="1"/>
        <v>139</v>
      </c>
      <c r="BL7" s="43">
        <f t="shared" si="2"/>
        <v>26</v>
      </c>
    </row>
    <row r="8">
      <c r="A8" s="119">
        <v>7.0</v>
      </c>
      <c r="B8" s="120" t="s">
        <v>281</v>
      </c>
      <c r="C8" s="42"/>
      <c r="D8" s="121"/>
      <c r="E8" s="42">
        <v>12.0</v>
      </c>
      <c r="F8" s="42"/>
      <c r="G8" s="42"/>
      <c r="H8" s="42"/>
      <c r="I8" s="42"/>
      <c r="J8" s="42"/>
      <c r="K8" s="42"/>
      <c r="L8" s="42"/>
      <c r="M8" s="42"/>
      <c r="N8" s="42">
        <v>8.0</v>
      </c>
      <c r="O8" s="42"/>
      <c r="P8" s="42"/>
      <c r="Q8" s="42"/>
      <c r="R8" s="42"/>
      <c r="S8" s="42">
        <v>12.0</v>
      </c>
      <c r="T8" s="42"/>
      <c r="U8" s="42">
        <v>3.0</v>
      </c>
      <c r="V8" s="42"/>
      <c r="W8" s="42"/>
      <c r="X8" s="42">
        <v>1.0</v>
      </c>
      <c r="Y8" s="42"/>
      <c r="Z8" s="42">
        <v>10.0</v>
      </c>
      <c r="AA8" s="42">
        <v>6.0</v>
      </c>
      <c r="AB8" s="42">
        <v>6.0</v>
      </c>
      <c r="AC8" s="42">
        <v>12.0</v>
      </c>
      <c r="AD8" s="42"/>
      <c r="AF8" s="42"/>
      <c r="AG8" s="42">
        <v>3.0</v>
      </c>
      <c r="AH8" s="42">
        <v>3.0</v>
      </c>
      <c r="AI8" s="42"/>
      <c r="AJ8" s="42">
        <v>10.0</v>
      </c>
      <c r="AK8" s="42">
        <v>12.0</v>
      </c>
      <c r="AL8" s="42"/>
      <c r="AM8" s="42">
        <v>4.0</v>
      </c>
      <c r="AN8" s="42"/>
      <c r="AO8" s="42">
        <v>2.0</v>
      </c>
      <c r="AP8" s="42"/>
      <c r="AQ8" s="42"/>
      <c r="AR8" s="42">
        <v>4.0</v>
      </c>
      <c r="AS8" s="42"/>
      <c r="AT8" s="42"/>
      <c r="AU8" s="42"/>
      <c r="AV8" s="42"/>
      <c r="AW8" s="42"/>
      <c r="AX8" s="42"/>
      <c r="AY8" s="42"/>
      <c r="AZ8" s="42">
        <v>1.0</v>
      </c>
      <c r="BA8" s="42">
        <v>12.0</v>
      </c>
      <c r="BB8" s="42"/>
      <c r="BC8" s="42"/>
      <c r="BD8" s="42"/>
      <c r="BE8" s="42"/>
      <c r="BF8" s="42">
        <v>3.0</v>
      </c>
      <c r="BG8" s="42"/>
      <c r="BH8" s="42">
        <v>10.0</v>
      </c>
      <c r="BI8" s="42">
        <v>5.0</v>
      </c>
      <c r="BJ8" s="42"/>
      <c r="BK8" s="43">
        <f t="shared" si="1"/>
        <v>139</v>
      </c>
      <c r="BL8" s="43">
        <f t="shared" si="2"/>
        <v>21</v>
      </c>
    </row>
    <row r="9">
      <c r="A9" s="119">
        <v>8.0</v>
      </c>
      <c r="B9" s="120" t="s">
        <v>62</v>
      </c>
      <c r="C9" s="42">
        <v>4.0</v>
      </c>
      <c r="D9" s="121"/>
      <c r="E9" s="42"/>
      <c r="F9" s="42"/>
      <c r="G9" s="42">
        <v>2.0</v>
      </c>
      <c r="H9" s="42"/>
      <c r="I9" s="42">
        <v>4.0</v>
      </c>
      <c r="J9" s="42">
        <v>4.0</v>
      </c>
      <c r="K9" s="42"/>
      <c r="L9" s="42"/>
      <c r="M9" s="42"/>
      <c r="N9" s="42">
        <v>10.0</v>
      </c>
      <c r="O9" s="42"/>
      <c r="P9" s="42"/>
      <c r="Q9" s="42"/>
      <c r="R9" s="42"/>
      <c r="S9" s="42"/>
      <c r="T9" s="42">
        <v>4.0</v>
      </c>
      <c r="U9" s="42"/>
      <c r="V9" s="42"/>
      <c r="W9" s="42"/>
      <c r="X9" s="42">
        <v>7.0</v>
      </c>
      <c r="Y9" s="42"/>
      <c r="Z9" s="42">
        <v>1.0</v>
      </c>
      <c r="AA9" s="42"/>
      <c r="AB9" s="42">
        <v>5.0</v>
      </c>
      <c r="AC9" s="42">
        <v>7.0</v>
      </c>
      <c r="AD9" s="42"/>
      <c r="AF9" s="42">
        <v>3.0</v>
      </c>
      <c r="AG9" s="42"/>
      <c r="AH9" s="42"/>
      <c r="AI9" s="42"/>
      <c r="AJ9" s="42">
        <v>12.0</v>
      </c>
      <c r="AK9" s="42">
        <v>4.0</v>
      </c>
      <c r="AL9" s="42"/>
      <c r="AM9" s="42"/>
      <c r="AN9" s="42"/>
      <c r="AO9" s="42">
        <v>12.0</v>
      </c>
      <c r="AP9" s="42"/>
      <c r="AQ9" s="42">
        <v>12.0</v>
      </c>
      <c r="AR9" s="42">
        <v>3.0</v>
      </c>
      <c r="AS9" s="42">
        <v>6.0</v>
      </c>
      <c r="AT9" s="42">
        <v>8.0</v>
      </c>
      <c r="AU9" s="42">
        <v>4.0</v>
      </c>
      <c r="AV9" s="42"/>
      <c r="AW9" s="42"/>
      <c r="AX9" s="42"/>
      <c r="AY9" s="42"/>
      <c r="AZ9" s="42">
        <v>4.0</v>
      </c>
      <c r="BA9" s="42"/>
      <c r="BB9" s="42">
        <v>7.0</v>
      </c>
      <c r="BC9" s="42"/>
      <c r="BD9" s="42"/>
      <c r="BE9" s="42"/>
      <c r="BF9" s="42">
        <v>12.0</v>
      </c>
      <c r="BG9" s="42"/>
      <c r="BH9" s="42">
        <v>3.0</v>
      </c>
      <c r="BI9" s="42"/>
      <c r="BJ9" s="42"/>
      <c r="BK9" s="43">
        <f t="shared" si="1"/>
        <v>138</v>
      </c>
      <c r="BL9" s="43">
        <f t="shared" si="2"/>
        <v>23</v>
      </c>
    </row>
    <row r="10">
      <c r="A10" s="119">
        <v>9.0</v>
      </c>
      <c r="B10" s="120" t="s">
        <v>212</v>
      </c>
      <c r="C10" s="42"/>
      <c r="D10" s="121"/>
      <c r="E10" s="42"/>
      <c r="F10" s="42">
        <v>2.0</v>
      </c>
      <c r="G10" s="42">
        <v>10.0</v>
      </c>
      <c r="H10" s="42"/>
      <c r="I10" s="42">
        <v>5.0</v>
      </c>
      <c r="J10" s="42">
        <v>8.0</v>
      </c>
      <c r="K10" s="42"/>
      <c r="L10" s="42"/>
      <c r="M10" s="42">
        <v>5.0</v>
      </c>
      <c r="N10" s="42"/>
      <c r="O10" s="42"/>
      <c r="P10" s="42">
        <v>4.0</v>
      </c>
      <c r="Q10" s="42"/>
      <c r="R10" s="42"/>
      <c r="S10" s="42"/>
      <c r="T10" s="42"/>
      <c r="U10" s="42"/>
      <c r="V10" s="42"/>
      <c r="W10" s="42"/>
      <c r="X10" s="42">
        <v>5.0</v>
      </c>
      <c r="Y10" s="42">
        <v>1.0</v>
      </c>
      <c r="Z10" s="42">
        <v>3.0</v>
      </c>
      <c r="AA10" s="42"/>
      <c r="AB10" s="42">
        <v>7.0</v>
      </c>
      <c r="AC10" s="42"/>
      <c r="AD10" s="42"/>
      <c r="AF10" s="42"/>
      <c r="AG10" s="42">
        <v>4.0</v>
      </c>
      <c r="AH10" s="42">
        <v>10.0</v>
      </c>
      <c r="AI10" s="42">
        <v>6.0</v>
      </c>
      <c r="AJ10" s="42">
        <v>6.0</v>
      </c>
      <c r="AK10" s="42"/>
      <c r="AL10" s="42">
        <v>6.0</v>
      </c>
      <c r="AM10" s="42"/>
      <c r="AN10" s="42">
        <v>10.0</v>
      </c>
      <c r="AO10" s="42">
        <v>8.0</v>
      </c>
      <c r="AP10" s="42"/>
      <c r="AQ10" s="42"/>
      <c r="AR10" s="42"/>
      <c r="AS10" s="42"/>
      <c r="AT10" s="42">
        <v>12.0</v>
      </c>
      <c r="AU10" s="42"/>
      <c r="AV10" s="42"/>
      <c r="AW10" s="42"/>
      <c r="AX10" s="42">
        <v>2.0</v>
      </c>
      <c r="AY10" s="42">
        <v>7.0</v>
      </c>
      <c r="AZ10" s="42">
        <v>3.0</v>
      </c>
      <c r="BA10" s="42"/>
      <c r="BB10" s="42"/>
      <c r="BC10" s="42"/>
      <c r="BD10" s="42"/>
      <c r="BE10" s="42"/>
      <c r="BF10" s="42"/>
      <c r="BG10" s="42">
        <v>8.0</v>
      </c>
      <c r="BH10" s="42">
        <v>6.0</v>
      </c>
      <c r="BI10" s="42"/>
      <c r="BJ10" s="42"/>
      <c r="BK10" s="43">
        <f t="shared" si="1"/>
        <v>138</v>
      </c>
      <c r="BL10" s="43">
        <f t="shared" si="2"/>
        <v>23</v>
      </c>
    </row>
    <row r="11">
      <c r="A11" s="119">
        <v>10.0</v>
      </c>
      <c r="B11" s="120" t="s">
        <v>112</v>
      </c>
      <c r="C11" s="42"/>
      <c r="D11" s="121"/>
      <c r="E11" s="42"/>
      <c r="F11" s="42"/>
      <c r="G11" s="42"/>
      <c r="H11" s="42"/>
      <c r="I11" s="42">
        <v>3.0</v>
      </c>
      <c r="J11" s="42">
        <v>10.0</v>
      </c>
      <c r="K11" s="42"/>
      <c r="L11" s="42">
        <v>4.0</v>
      </c>
      <c r="M11" s="42">
        <v>8.0</v>
      </c>
      <c r="N11" s="42">
        <v>3.0</v>
      </c>
      <c r="O11" s="42"/>
      <c r="P11" s="42">
        <v>2.0</v>
      </c>
      <c r="Q11" s="42"/>
      <c r="R11" s="42">
        <v>12.0</v>
      </c>
      <c r="S11" s="42">
        <v>1.0</v>
      </c>
      <c r="T11" s="42">
        <v>5.0</v>
      </c>
      <c r="U11" s="42">
        <v>8.0</v>
      </c>
      <c r="V11" s="42"/>
      <c r="W11" s="42"/>
      <c r="X11" s="42"/>
      <c r="Y11" s="42">
        <v>8.0</v>
      </c>
      <c r="Z11" s="42"/>
      <c r="AA11" s="42"/>
      <c r="AB11" s="42"/>
      <c r="AC11" s="42">
        <v>5.0</v>
      </c>
      <c r="AD11" s="42">
        <v>12.0</v>
      </c>
      <c r="AF11" s="42">
        <v>7.0</v>
      </c>
      <c r="AG11" s="42"/>
      <c r="AH11" s="42">
        <v>8.0</v>
      </c>
      <c r="AI11" s="42"/>
      <c r="AJ11" s="42"/>
      <c r="AK11" s="42">
        <v>3.0</v>
      </c>
      <c r="AL11" s="42">
        <v>5.0</v>
      </c>
      <c r="AM11" s="42"/>
      <c r="AN11" s="42"/>
      <c r="AO11" s="42">
        <v>4.0</v>
      </c>
      <c r="AP11" s="42">
        <v>1.0</v>
      </c>
      <c r="AQ11" s="42"/>
      <c r="AR11" s="42"/>
      <c r="AS11" s="42">
        <v>4.0</v>
      </c>
      <c r="AT11" s="42">
        <v>1.0</v>
      </c>
      <c r="AU11" s="42"/>
      <c r="AV11" s="42">
        <v>8.0</v>
      </c>
      <c r="AW11" s="42">
        <v>5.0</v>
      </c>
      <c r="AX11" s="42"/>
      <c r="AY11" s="42"/>
      <c r="AZ11" s="42"/>
      <c r="BA11" s="42">
        <v>1.0</v>
      </c>
      <c r="BB11" s="42"/>
      <c r="BC11" s="42"/>
      <c r="BD11" s="42">
        <v>3.0</v>
      </c>
      <c r="BE11" s="42"/>
      <c r="BF11" s="42"/>
      <c r="BG11" s="42">
        <v>6.0</v>
      </c>
      <c r="BH11" s="42"/>
      <c r="BI11" s="42"/>
      <c r="BJ11" s="42"/>
      <c r="BK11" s="43">
        <f t="shared" si="1"/>
        <v>137</v>
      </c>
      <c r="BL11" s="43">
        <f t="shared" si="2"/>
        <v>26</v>
      </c>
    </row>
    <row r="12">
      <c r="A12" s="119">
        <v>11.0</v>
      </c>
      <c r="B12" s="120" t="s">
        <v>192</v>
      </c>
      <c r="C12" s="42">
        <v>3.0</v>
      </c>
      <c r="D12" s="121"/>
      <c r="E12" s="42">
        <v>7.0</v>
      </c>
      <c r="F12" s="42"/>
      <c r="G12" s="42"/>
      <c r="H12" s="42">
        <v>2.0</v>
      </c>
      <c r="I12" s="42"/>
      <c r="J12" s="42"/>
      <c r="K12" s="42"/>
      <c r="L12" s="42"/>
      <c r="M12" s="42"/>
      <c r="N12" s="42"/>
      <c r="O12" s="42">
        <v>8.0</v>
      </c>
      <c r="P12" s="42"/>
      <c r="Q12" s="42">
        <v>6.0</v>
      </c>
      <c r="R12" s="42"/>
      <c r="S12" s="42">
        <v>4.0</v>
      </c>
      <c r="T12" s="42"/>
      <c r="U12" s="42"/>
      <c r="V12" s="42">
        <v>1.0</v>
      </c>
      <c r="W12" s="42">
        <v>8.0</v>
      </c>
      <c r="X12" s="42"/>
      <c r="Y12" s="42">
        <v>4.0</v>
      </c>
      <c r="Z12" s="42"/>
      <c r="AA12" s="42"/>
      <c r="AB12" s="42"/>
      <c r="AC12" s="42">
        <v>10.0</v>
      </c>
      <c r="AD12" s="42">
        <v>8.0</v>
      </c>
      <c r="AF12" s="42">
        <v>12.0</v>
      </c>
      <c r="AG12" s="42"/>
      <c r="AH12" s="42"/>
      <c r="AI12" s="42"/>
      <c r="AJ12" s="42"/>
      <c r="AK12" s="42">
        <v>2.0</v>
      </c>
      <c r="AL12" s="42"/>
      <c r="AM12" s="42"/>
      <c r="AN12" s="42"/>
      <c r="AO12" s="42"/>
      <c r="AP12" s="42">
        <v>3.0</v>
      </c>
      <c r="AQ12" s="42"/>
      <c r="AR12" s="42">
        <v>8.0</v>
      </c>
      <c r="AS12" s="42">
        <v>12.0</v>
      </c>
      <c r="AT12" s="42"/>
      <c r="AU12" s="42"/>
      <c r="AV12" s="42">
        <v>10.0</v>
      </c>
      <c r="AW12" s="42"/>
      <c r="AX12" s="42"/>
      <c r="AY12" s="42">
        <v>1.0</v>
      </c>
      <c r="AZ12" s="42"/>
      <c r="BA12" s="42">
        <v>10.0</v>
      </c>
      <c r="BB12" s="42"/>
      <c r="BC12" s="42">
        <v>5.0</v>
      </c>
      <c r="BD12" s="42"/>
      <c r="BE12" s="42">
        <v>7.0</v>
      </c>
      <c r="BF12" s="42"/>
      <c r="BG12" s="42">
        <v>5.0</v>
      </c>
      <c r="BH12" s="42"/>
      <c r="BI12" s="42"/>
      <c r="BJ12" s="42"/>
      <c r="BK12" s="43">
        <f t="shared" si="1"/>
        <v>136</v>
      </c>
      <c r="BL12" s="43">
        <f t="shared" si="2"/>
        <v>22</v>
      </c>
    </row>
    <row r="13">
      <c r="A13" s="119">
        <v>12.0</v>
      </c>
      <c r="B13" s="120" t="s">
        <v>152</v>
      </c>
      <c r="C13" s="42">
        <v>5.0</v>
      </c>
      <c r="D13" s="121"/>
      <c r="E13" s="42">
        <v>3.0</v>
      </c>
      <c r="F13" s="42">
        <v>12.0</v>
      </c>
      <c r="G13" s="42">
        <v>8.0</v>
      </c>
      <c r="H13" s="42">
        <v>3.0</v>
      </c>
      <c r="I13" s="42">
        <v>10.0</v>
      </c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>
        <v>2.0</v>
      </c>
      <c r="W13" s="42"/>
      <c r="X13" s="42"/>
      <c r="Y13" s="42"/>
      <c r="Z13" s="42">
        <v>8.0</v>
      </c>
      <c r="AA13" s="42">
        <v>2.0</v>
      </c>
      <c r="AB13" s="42"/>
      <c r="AC13" s="42"/>
      <c r="AD13" s="42"/>
      <c r="AF13" s="42"/>
      <c r="AG13" s="42">
        <v>10.0</v>
      </c>
      <c r="AH13" s="42"/>
      <c r="AI13" s="42"/>
      <c r="AJ13" s="42"/>
      <c r="AK13" s="42"/>
      <c r="AL13" s="42"/>
      <c r="AM13" s="42">
        <v>2.0</v>
      </c>
      <c r="AN13" s="42">
        <v>7.0</v>
      </c>
      <c r="AO13" s="42"/>
      <c r="AP13" s="42">
        <v>8.0</v>
      </c>
      <c r="AQ13" s="42"/>
      <c r="AR13" s="42">
        <v>5.0</v>
      </c>
      <c r="AS13" s="42"/>
      <c r="AT13" s="42"/>
      <c r="AU13" s="42">
        <v>8.0</v>
      </c>
      <c r="AV13" s="42"/>
      <c r="AW13" s="42"/>
      <c r="AX13" s="42"/>
      <c r="AY13" s="42">
        <v>5.0</v>
      </c>
      <c r="AZ13" s="42">
        <v>10.0</v>
      </c>
      <c r="BA13" s="42"/>
      <c r="BB13" s="42">
        <v>10.0</v>
      </c>
      <c r="BC13" s="42"/>
      <c r="BD13" s="42"/>
      <c r="BE13" s="42"/>
      <c r="BF13" s="42">
        <v>6.0</v>
      </c>
      <c r="BG13" s="42"/>
      <c r="BH13" s="42">
        <v>7.0</v>
      </c>
      <c r="BI13" s="42"/>
      <c r="BJ13" s="42"/>
      <c r="BK13" s="43">
        <f t="shared" si="1"/>
        <v>131</v>
      </c>
      <c r="BL13" s="43">
        <f t="shared" si="2"/>
        <v>20</v>
      </c>
    </row>
    <row r="14">
      <c r="A14" s="119">
        <v>13.0</v>
      </c>
      <c r="B14" s="120" t="s">
        <v>117</v>
      </c>
      <c r="C14" s="42"/>
      <c r="D14" s="121"/>
      <c r="E14" s="42"/>
      <c r="F14" s="42"/>
      <c r="G14" s="42"/>
      <c r="H14" s="42"/>
      <c r="I14" s="42">
        <v>6.0</v>
      </c>
      <c r="J14" s="42">
        <v>3.0</v>
      </c>
      <c r="K14" s="42"/>
      <c r="L14" s="42"/>
      <c r="M14" s="42"/>
      <c r="N14" s="42">
        <v>12.0</v>
      </c>
      <c r="O14" s="42"/>
      <c r="P14" s="42">
        <v>10.0</v>
      </c>
      <c r="Q14" s="42"/>
      <c r="R14" s="42">
        <v>1.0</v>
      </c>
      <c r="S14" s="42"/>
      <c r="T14" s="42"/>
      <c r="U14" s="42">
        <v>1.0</v>
      </c>
      <c r="V14" s="42">
        <v>5.0</v>
      </c>
      <c r="W14" s="42"/>
      <c r="X14" s="42"/>
      <c r="Y14" s="42"/>
      <c r="Z14" s="42"/>
      <c r="AA14" s="42"/>
      <c r="AB14" s="42"/>
      <c r="AC14" s="42"/>
      <c r="AD14" s="42"/>
      <c r="AE14" s="43">
        <v>8.0</v>
      </c>
      <c r="AF14" s="42"/>
      <c r="AG14" s="42"/>
      <c r="AH14" s="42">
        <v>2.0</v>
      </c>
      <c r="AI14" s="42"/>
      <c r="AJ14" s="42">
        <v>2.0</v>
      </c>
      <c r="AK14" s="42"/>
      <c r="AL14" s="42"/>
      <c r="AM14" s="42"/>
      <c r="AN14" s="42"/>
      <c r="AO14" s="42">
        <v>7.0</v>
      </c>
      <c r="AP14" s="42"/>
      <c r="AQ14" s="42">
        <v>5.0</v>
      </c>
      <c r="AR14" s="42"/>
      <c r="AS14" s="42"/>
      <c r="AT14" s="42"/>
      <c r="AU14" s="42">
        <v>10.0</v>
      </c>
      <c r="AV14" s="42"/>
      <c r="AW14" s="42"/>
      <c r="AX14" s="42">
        <v>7.0</v>
      </c>
      <c r="AY14" s="42">
        <v>3.0</v>
      </c>
      <c r="AZ14" s="42">
        <v>8.0</v>
      </c>
      <c r="BA14" s="42"/>
      <c r="BB14" s="42">
        <v>12.0</v>
      </c>
      <c r="BC14" s="42"/>
      <c r="BD14" s="42"/>
      <c r="BE14" s="42"/>
      <c r="BF14" s="42">
        <v>8.0</v>
      </c>
      <c r="BG14" s="42"/>
      <c r="BH14" s="42">
        <v>4.0</v>
      </c>
      <c r="BI14" s="42">
        <v>12.0</v>
      </c>
      <c r="BJ14" s="42"/>
      <c r="BK14" s="43">
        <f t="shared" si="1"/>
        <v>126</v>
      </c>
      <c r="BL14" s="43">
        <f t="shared" si="2"/>
        <v>20</v>
      </c>
    </row>
    <row r="15">
      <c r="A15" s="119">
        <v>14.0</v>
      </c>
      <c r="B15" s="120" t="s">
        <v>42</v>
      </c>
      <c r="C15" s="42"/>
      <c r="D15" s="121"/>
      <c r="E15" s="42"/>
      <c r="F15" s="42">
        <v>4.0</v>
      </c>
      <c r="G15" s="42">
        <v>4.0</v>
      </c>
      <c r="H15" s="42"/>
      <c r="I15" s="42"/>
      <c r="J15" s="42"/>
      <c r="K15" s="42"/>
      <c r="L15" s="42"/>
      <c r="M15" s="42"/>
      <c r="N15" s="42"/>
      <c r="O15" s="42"/>
      <c r="P15" s="42">
        <v>8.0</v>
      </c>
      <c r="Q15" s="42"/>
      <c r="R15" s="42"/>
      <c r="S15" s="42">
        <v>8.0</v>
      </c>
      <c r="T15" s="42"/>
      <c r="U15" s="42"/>
      <c r="V15" s="42">
        <v>10.0</v>
      </c>
      <c r="W15" s="42">
        <v>3.0</v>
      </c>
      <c r="X15" s="42">
        <v>4.0</v>
      </c>
      <c r="Y15" s="42">
        <v>5.0</v>
      </c>
      <c r="Z15" s="42"/>
      <c r="AA15" s="42"/>
      <c r="AB15" s="42"/>
      <c r="AC15" s="42"/>
      <c r="AD15" s="42"/>
      <c r="AE15" s="43">
        <v>12.0</v>
      </c>
      <c r="AF15" s="42"/>
      <c r="AG15" s="42"/>
      <c r="AH15" s="42">
        <v>6.0</v>
      </c>
      <c r="AI15" s="42">
        <v>10.0</v>
      </c>
      <c r="AJ15" s="42">
        <v>4.0</v>
      </c>
      <c r="AK15" s="42">
        <v>1.0</v>
      </c>
      <c r="AL15" s="42">
        <v>7.0</v>
      </c>
      <c r="AM15" s="42"/>
      <c r="AN15" s="42">
        <v>2.0</v>
      </c>
      <c r="AO15" s="42"/>
      <c r="AP15" s="42"/>
      <c r="AQ15" s="42">
        <v>4.0</v>
      </c>
      <c r="AR15" s="42">
        <v>2.0</v>
      </c>
      <c r="AS15" s="42"/>
      <c r="AT15" s="42">
        <v>7.0</v>
      </c>
      <c r="AU15" s="42"/>
      <c r="AV15" s="42"/>
      <c r="AW15" s="42"/>
      <c r="AX15" s="42"/>
      <c r="AY15" s="42">
        <v>2.0</v>
      </c>
      <c r="AZ15" s="42">
        <v>12.0</v>
      </c>
      <c r="BA15" s="42"/>
      <c r="BB15" s="42"/>
      <c r="BC15" s="42"/>
      <c r="BD15" s="42"/>
      <c r="BE15" s="42"/>
      <c r="BF15" s="42"/>
      <c r="BG15" s="42">
        <v>4.0</v>
      </c>
      <c r="BH15" s="42"/>
      <c r="BI15" s="42"/>
      <c r="BJ15" s="42"/>
      <c r="BK15" s="43">
        <f t="shared" si="1"/>
        <v>119</v>
      </c>
      <c r="BL15" s="43">
        <f t="shared" si="2"/>
        <v>21</v>
      </c>
    </row>
    <row r="16">
      <c r="A16" s="119">
        <v>15.0</v>
      </c>
      <c r="B16" s="120" t="s">
        <v>261</v>
      </c>
      <c r="C16" s="42"/>
      <c r="D16" s="121"/>
      <c r="E16" s="42">
        <v>4.0</v>
      </c>
      <c r="F16" s="42"/>
      <c r="G16" s="42"/>
      <c r="H16" s="42"/>
      <c r="I16" s="42"/>
      <c r="J16" s="42"/>
      <c r="K16" s="42">
        <v>7.0</v>
      </c>
      <c r="L16" s="42"/>
      <c r="M16" s="42"/>
      <c r="N16" s="42">
        <v>7.0</v>
      </c>
      <c r="O16" s="42"/>
      <c r="P16" s="42">
        <v>12.0</v>
      </c>
      <c r="Q16" s="42"/>
      <c r="R16" s="42"/>
      <c r="S16" s="42">
        <v>7.0</v>
      </c>
      <c r="T16" s="42"/>
      <c r="U16" s="42"/>
      <c r="V16" s="42"/>
      <c r="W16" s="42"/>
      <c r="X16" s="42"/>
      <c r="Y16" s="42"/>
      <c r="Z16" s="42">
        <v>6.0</v>
      </c>
      <c r="AA16" s="42">
        <v>7.0</v>
      </c>
      <c r="AB16" s="42">
        <v>10.0</v>
      </c>
      <c r="AC16" s="42">
        <v>8.0</v>
      </c>
      <c r="AD16" s="42"/>
      <c r="AF16" s="42">
        <v>5.0</v>
      </c>
      <c r="AG16" s="42"/>
      <c r="AH16" s="42"/>
      <c r="AI16" s="42">
        <v>2.0</v>
      </c>
      <c r="AJ16" s="42">
        <v>5.0</v>
      </c>
      <c r="AK16" s="42"/>
      <c r="AL16" s="42"/>
      <c r="AM16" s="42">
        <v>8.0</v>
      </c>
      <c r="AN16" s="42"/>
      <c r="AO16" s="42"/>
      <c r="AP16" s="42"/>
      <c r="AQ16" s="42"/>
      <c r="AR16" s="42">
        <v>7.0</v>
      </c>
      <c r="AS16" s="42"/>
      <c r="AT16" s="42"/>
      <c r="AU16" s="42"/>
      <c r="AV16" s="42">
        <v>1.0</v>
      </c>
      <c r="AW16" s="42"/>
      <c r="AX16" s="42"/>
      <c r="AY16" s="42"/>
      <c r="AZ16" s="42"/>
      <c r="BA16" s="42"/>
      <c r="BB16" s="42"/>
      <c r="BC16" s="42">
        <v>1.0</v>
      </c>
      <c r="BD16" s="42">
        <v>1.0</v>
      </c>
      <c r="BE16" s="42">
        <v>12.0</v>
      </c>
      <c r="BF16" s="42"/>
      <c r="BG16" s="42"/>
      <c r="BH16" s="42">
        <v>2.0</v>
      </c>
      <c r="BI16" s="42">
        <v>6.0</v>
      </c>
      <c r="BJ16" s="42"/>
      <c r="BK16" s="43">
        <f t="shared" si="1"/>
        <v>118</v>
      </c>
      <c r="BL16" s="43">
        <f t="shared" si="2"/>
        <v>20</v>
      </c>
    </row>
    <row r="17">
      <c r="A17" s="119">
        <v>16.0</v>
      </c>
      <c r="B17" s="120" t="s">
        <v>271</v>
      </c>
      <c r="C17" s="42"/>
      <c r="D17" s="121"/>
      <c r="E17" s="42"/>
      <c r="F17" s="42"/>
      <c r="G17" s="42">
        <v>6.0</v>
      </c>
      <c r="H17" s="42">
        <v>6.0</v>
      </c>
      <c r="I17" s="42"/>
      <c r="J17" s="42"/>
      <c r="K17" s="42">
        <v>10.0</v>
      </c>
      <c r="L17" s="42">
        <v>3.0</v>
      </c>
      <c r="M17" s="42"/>
      <c r="N17" s="42"/>
      <c r="O17" s="42">
        <v>4.0</v>
      </c>
      <c r="P17" s="42"/>
      <c r="Q17" s="42">
        <v>7.0</v>
      </c>
      <c r="R17" s="42"/>
      <c r="S17" s="42"/>
      <c r="T17" s="42">
        <v>12.0</v>
      </c>
      <c r="U17" s="42">
        <v>6.0</v>
      </c>
      <c r="V17" s="42"/>
      <c r="W17" s="42"/>
      <c r="X17" s="42"/>
      <c r="Y17" s="42"/>
      <c r="Z17" s="42"/>
      <c r="AA17" s="42"/>
      <c r="AB17" s="42">
        <v>12.0</v>
      </c>
      <c r="AC17" s="42"/>
      <c r="AD17" s="42"/>
      <c r="AF17" s="42">
        <v>8.0</v>
      </c>
      <c r="AG17" s="42">
        <v>6.0</v>
      </c>
      <c r="AH17" s="42"/>
      <c r="AI17" s="42"/>
      <c r="AJ17" s="42"/>
      <c r="AK17" s="42"/>
      <c r="AL17" s="42">
        <v>1.0</v>
      </c>
      <c r="AM17" s="42"/>
      <c r="AN17" s="42"/>
      <c r="AO17" s="42"/>
      <c r="AP17" s="42">
        <v>7.0</v>
      </c>
      <c r="AQ17" s="42"/>
      <c r="AR17" s="42"/>
      <c r="AS17" s="42"/>
      <c r="AT17" s="42"/>
      <c r="AU17" s="42"/>
      <c r="AV17" s="42"/>
      <c r="AW17" s="42">
        <v>10.0</v>
      </c>
      <c r="AX17" s="42"/>
      <c r="AY17" s="42"/>
      <c r="AZ17" s="42"/>
      <c r="BA17" s="42"/>
      <c r="BB17" s="42"/>
      <c r="BC17" s="42"/>
      <c r="BD17" s="42">
        <v>5.0</v>
      </c>
      <c r="BE17" s="42"/>
      <c r="BF17" s="42"/>
      <c r="BG17" s="42">
        <v>2.0</v>
      </c>
      <c r="BH17" s="42"/>
      <c r="BI17" s="42">
        <v>4.0</v>
      </c>
      <c r="BJ17" s="42">
        <v>7.0</v>
      </c>
      <c r="BK17" s="43">
        <f t="shared" si="1"/>
        <v>116</v>
      </c>
      <c r="BL17" s="43">
        <f t="shared" si="2"/>
        <v>18</v>
      </c>
    </row>
    <row r="18">
      <c r="A18" s="119">
        <v>17.0</v>
      </c>
      <c r="B18" s="120" t="s">
        <v>67</v>
      </c>
      <c r="C18" s="42"/>
      <c r="D18" s="121"/>
      <c r="E18" s="42"/>
      <c r="F18" s="42">
        <v>5.0</v>
      </c>
      <c r="G18" s="42"/>
      <c r="H18" s="42">
        <v>4.0</v>
      </c>
      <c r="I18" s="42"/>
      <c r="J18" s="42">
        <v>7.0</v>
      </c>
      <c r="K18" s="42"/>
      <c r="L18" s="42"/>
      <c r="M18" s="42">
        <v>7.0</v>
      </c>
      <c r="N18" s="42"/>
      <c r="O18" s="42"/>
      <c r="P18" s="42"/>
      <c r="Q18" s="42"/>
      <c r="R18" s="42"/>
      <c r="S18" s="42"/>
      <c r="T18" s="42"/>
      <c r="U18" s="42"/>
      <c r="V18" s="42">
        <v>8.0</v>
      </c>
      <c r="W18" s="42">
        <v>7.0</v>
      </c>
      <c r="X18" s="42">
        <v>3.0</v>
      </c>
      <c r="Y18" s="42"/>
      <c r="Z18" s="42">
        <v>12.0</v>
      </c>
      <c r="AA18" s="42">
        <v>3.0</v>
      </c>
      <c r="AB18" s="42"/>
      <c r="AC18" s="42"/>
      <c r="AD18" s="42"/>
      <c r="AF18" s="42"/>
      <c r="AG18" s="42"/>
      <c r="AH18" s="42"/>
      <c r="AI18" s="42"/>
      <c r="AJ18" s="42">
        <v>1.0</v>
      </c>
      <c r="AK18" s="42">
        <v>6.0</v>
      </c>
      <c r="AL18" s="42"/>
      <c r="AM18" s="42">
        <v>1.0</v>
      </c>
      <c r="AN18" s="42">
        <v>3.0</v>
      </c>
      <c r="AO18" s="42"/>
      <c r="AP18" s="42">
        <v>4.0</v>
      </c>
      <c r="AQ18" s="42"/>
      <c r="AR18" s="42">
        <v>1.0</v>
      </c>
      <c r="AS18" s="42"/>
      <c r="AT18" s="42"/>
      <c r="AU18" s="42">
        <v>6.0</v>
      </c>
      <c r="AV18" s="42">
        <v>4.0</v>
      </c>
      <c r="AW18" s="42"/>
      <c r="AX18" s="42">
        <v>3.0</v>
      </c>
      <c r="AY18" s="42">
        <v>4.0</v>
      </c>
      <c r="AZ18" s="42">
        <v>5.0</v>
      </c>
      <c r="BA18" s="42"/>
      <c r="BB18" s="42">
        <v>8.0</v>
      </c>
      <c r="BC18" s="42"/>
      <c r="BD18" s="42"/>
      <c r="BE18" s="42"/>
      <c r="BF18" s="42">
        <v>5.0</v>
      </c>
      <c r="BG18" s="42"/>
      <c r="BH18" s="42">
        <v>5.0</v>
      </c>
      <c r="BI18" s="42"/>
      <c r="BJ18" s="42"/>
      <c r="BK18" s="43">
        <f t="shared" si="1"/>
        <v>112</v>
      </c>
      <c r="BL18" s="43">
        <f t="shared" si="2"/>
        <v>23</v>
      </c>
    </row>
    <row r="19">
      <c r="A19" s="119">
        <v>18.0</v>
      </c>
      <c r="B19" s="120" t="s">
        <v>132</v>
      </c>
      <c r="C19" s="42"/>
      <c r="D19" s="121"/>
      <c r="E19" s="42">
        <v>2.0</v>
      </c>
      <c r="F19" s="42"/>
      <c r="G19" s="42"/>
      <c r="H19" s="42"/>
      <c r="I19" s="42"/>
      <c r="J19" s="42"/>
      <c r="K19" s="42"/>
      <c r="L19" s="42"/>
      <c r="M19" s="42"/>
      <c r="N19" s="42">
        <v>2.0</v>
      </c>
      <c r="O19" s="42"/>
      <c r="P19" s="42"/>
      <c r="Q19" s="42">
        <v>3.0</v>
      </c>
      <c r="R19" s="42">
        <v>8.0</v>
      </c>
      <c r="S19" s="42"/>
      <c r="T19" s="42">
        <v>1.0</v>
      </c>
      <c r="U19" s="42"/>
      <c r="V19" s="42"/>
      <c r="W19" s="42">
        <v>2.0</v>
      </c>
      <c r="X19" s="42"/>
      <c r="Y19" s="42"/>
      <c r="Z19" s="42"/>
      <c r="AA19" s="42"/>
      <c r="AB19" s="42"/>
      <c r="AC19" s="42"/>
      <c r="AD19" s="42">
        <v>6.0</v>
      </c>
      <c r="AF19" s="42">
        <v>4.0</v>
      </c>
      <c r="AG19" s="42"/>
      <c r="AH19" s="42"/>
      <c r="AI19" s="42">
        <v>12.0</v>
      </c>
      <c r="AJ19" s="42">
        <v>3.0</v>
      </c>
      <c r="AK19" s="42"/>
      <c r="AL19" s="42"/>
      <c r="AM19" s="42">
        <v>6.0</v>
      </c>
      <c r="AN19" s="42">
        <v>12.0</v>
      </c>
      <c r="AO19" s="42">
        <v>10.0</v>
      </c>
      <c r="AP19" s="42">
        <v>2.0</v>
      </c>
      <c r="AQ19" s="42">
        <v>3.0</v>
      </c>
      <c r="AR19" s="42"/>
      <c r="AS19" s="42">
        <v>2.0</v>
      </c>
      <c r="AT19" s="42"/>
      <c r="AU19" s="42"/>
      <c r="AV19" s="42"/>
      <c r="AW19" s="42">
        <v>4.0</v>
      </c>
      <c r="AX19" s="42"/>
      <c r="AY19" s="42"/>
      <c r="AZ19" s="42"/>
      <c r="BA19" s="42"/>
      <c r="BB19" s="42">
        <v>5.0</v>
      </c>
      <c r="BC19" s="42"/>
      <c r="BD19" s="42"/>
      <c r="BE19" s="42">
        <v>5.0</v>
      </c>
      <c r="BF19" s="42">
        <v>7.0</v>
      </c>
      <c r="BG19" s="42"/>
      <c r="BH19" s="42">
        <v>12.0</v>
      </c>
      <c r="BI19" s="42"/>
      <c r="BJ19" s="42"/>
      <c r="BK19" s="43">
        <f t="shared" si="1"/>
        <v>111</v>
      </c>
      <c r="BL19" s="43">
        <f t="shared" si="2"/>
        <v>21</v>
      </c>
    </row>
    <row r="20">
      <c r="A20" s="119">
        <v>19.0</v>
      </c>
      <c r="B20" s="120" t="s">
        <v>291</v>
      </c>
      <c r="C20" s="42"/>
      <c r="D20" s="121"/>
      <c r="E20" s="42"/>
      <c r="F20" s="42">
        <v>10.0</v>
      </c>
      <c r="G20" s="42">
        <v>3.0</v>
      </c>
      <c r="H20" s="42"/>
      <c r="I20" s="42">
        <v>12.0</v>
      </c>
      <c r="J20" s="42"/>
      <c r="K20" s="42"/>
      <c r="L20" s="42"/>
      <c r="M20" s="42"/>
      <c r="N20" s="42"/>
      <c r="O20" s="42">
        <v>1.0</v>
      </c>
      <c r="P20" s="42"/>
      <c r="Q20" s="42"/>
      <c r="R20" s="42">
        <v>4.0</v>
      </c>
      <c r="S20" s="42"/>
      <c r="T20" s="42"/>
      <c r="U20" s="42">
        <v>5.0</v>
      </c>
      <c r="V20" s="42"/>
      <c r="W20" s="42">
        <v>6.0</v>
      </c>
      <c r="X20" s="42"/>
      <c r="Y20" s="42"/>
      <c r="Z20" s="42"/>
      <c r="AA20" s="42">
        <v>5.0</v>
      </c>
      <c r="AB20" s="42"/>
      <c r="AC20" s="42"/>
      <c r="AD20" s="42"/>
      <c r="AE20" s="43">
        <v>2.0</v>
      </c>
      <c r="AF20" s="42"/>
      <c r="AG20" s="42">
        <v>8.0</v>
      </c>
      <c r="AH20" s="42">
        <v>7.0</v>
      </c>
      <c r="AI20" s="42">
        <v>3.0</v>
      </c>
      <c r="AJ20" s="42"/>
      <c r="AK20" s="42"/>
      <c r="AL20" s="42">
        <v>4.0</v>
      </c>
      <c r="AM20" s="42">
        <v>5.0</v>
      </c>
      <c r="AN20" s="42">
        <v>5.0</v>
      </c>
      <c r="AO20" s="42"/>
      <c r="AP20" s="42"/>
      <c r="AQ20" s="42"/>
      <c r="AR20" s="42"/>
      <c r="AS20" s="42">
        <v>1.0</v>
      </c>
      <c r="AT20" s="42">
        <v>5.0</v>
      </c>
      <c r="AU20" s="42"/>
      <c r="AV20" s="42"/>
      <c r="AW20" s="42"/>
      <c r="AX20" s="42">
        <v>12.0</v>
      </c>
      <c r="AY20" s="42"/>
      <c r="AZ20" s="42"/>
      <c r="BA20" s="42"/>
      <c r="BB20" s="42"/>
      <c r="BC20" s="42"/>
      <c r="BD20" s="42"/>
      <c r="BE20" s="42"/>
      <c r="BF20" s="42">
        <v>10.0</v>
      </c>
      <c r="BG20" s="42"/>
      <c r="BH20" s="42">
        <v>1.0</v>
      </c>
      <c r="BI20" s="42"/>
      <c r="BJ20" s="42"/>
      <c r="BK20" s="43">
        <f t="shared" si="1"/>
        <v>109</v>
      </c>
      <c r="BL20" s="43">
        <f t="shared" si="2"/>
        <v>20</v>
      </c>
    </row>
    <row r="21">
      <c r="A21" s="119">
        <v>20.0</v>
      </c>
      <c r="B21" s="120" t="s">
        <v>122</v>
      </c>
      <c r="C21" s="42">
        <v>2.0</v>
      </c>
      <c r="D21" s="121"/>
      <c r="E21" s="42"/>
      <c r="F21" s="42"/>
      <c r="G21" s="42"/>
      <c r="H21" s="42"/>
      <c r="I21" s="42"/>
      <c r="J21" s="42">
        <v>5.0</v>
      </c>
      <c r="K21" s="42">
        <v>1.0</v>
      </c>
      <c r="L21" s="42">
        <v>1.0</v>
      </c>
      <c r="M21" s="42">
        <v>12.0</v>
      </c>
      <c r="N21" s="42"/>
      <c r="O21" s="42"/>
      <c r="P21" s="42"/>
      <c r="Q21" s="42"/>
      <c r="R21" s="42"/>
      <c r="S21" s="42"/>
      <c r="T21" s="42"/>
      <c r="U21" s="42"/>
      <c r="V21" s="42">
        <v>12.0</v>
      </c>
      <c r="W21" s="42"/>
      <c r="X21" s="42">
        <v>12.0</v>
      </c>
      <c r="Y21" s="42"/>
      <c r="Z21" s="42"/>
      <c r="AA21" s="42"/>
      <c r="AB21" s="42">
        <v>1.0</v>
      </c>
      <c r="AC21" s="42"/>
      <c r="AD21" s="42">
        <v>1.0</v>
      </c>
      <c r="AE21" s="43">
        <v>5.0</v>
      </c>
      <c r="AF21" s="42"/>
      <c r="AG21" s="42"/>
      <c r="AH21" s="42">
        <v>5.0</v>
      </c>
      <c r="AI21" s="42"/>
      <c r="AJ21" s="42">
        <v>8.0</v>
      </c>
      <c r="AK21" s="42"/>
      <c r="AL21" s="42"/>
      <c r="AM21" s="42"/>
      <c r="AN21" s="42"/>
      <c r="AO21" s="42">
        <v>5.0</v>
      </c>
      <c r="AP21" s="42"/>
      <c r="AQ21" s="42">
        <v>6.0</v>
      </c>
      <c r="AR21" s="42"/>
      <c r="AS21" s="42"/>
      <c r="AT21" s="42">
        <v>10.0</v>
      </c>
      <c r="AU21" s="42"/>
      <c r="AV21" s="42"/>
      <c r="AW21" s="42"/>
      <c r="AX21" s="42">
        <v>6.0</v>
      </c>
      <c r="AY21" s="42"/>
      <c r="AZ21" s="42"/>
      <c r="BA21" s="42"/>
      <c r="BB21" s="42">
        <v>6.0</v>
      </c>
      <c r="BC21" s="42">
        <v>7.0</v>
      </c>
      <c r="BD21" s="42"/>
      <c r="BE21" s="42"/>
      <c r="BF21" s="42"/>
      <c r="BG21" s="42"/>
      <c r="BH21" s="42"/>
      <c r="BI21" s="42"/>
      <c r="BJ21" s="42">
        <v>4.0</v>
      </c>
      <c r="BK21" s="43">
        <f t="shared" si="1"/>
        <v>109</v>
      </c>
      <c r="BL21" s="43">
        <f t="shared" si="2"/>
        <v>19</v>
      </c>
    </row>
    <row r="22">
      <c r="A22" s="119">
        <v>21.0</v>
      </c>
      <c r="B22" s="120" t="s">
        <v>12</v>
      </c>
      <c r="C22" s="42"/>
      <c r="D22" s="121"/>
      <c r="E22" s="42">
        <v>6.0</v>
      </c>
      <c r="F22" s="42"/>
      <c r="G22" s="42"/>
      <c r="H22" s="42"/>
      <c r="I22" s="42"/>
      <c r="J22" s="42"/>
      <c r="K22" s="42"/>
      <c r="L22" s="42">
        <v>10.0</v>
      </c>
      <c r="M22" s="42"/>
      <c r="N22" s="42">
        <v>4.0</v>
      </c>
      <c r="O22" s="42">
        <v>3.0</v>
      </c>
      <c r="P22" s="42"/>
      <c r="Q22" s="42"/>
      <c r="R22" s="42">
        <v>10.0</v>
      </c>
      <c r="S22" s="42">
        <v>2.0</v>
      </c>
      <c r="T22" s="42"/>
      <c r="U22" s="42"/>
      <c r="V22" s="42"/>
      <c r="W22" s="42">
        <v>1.0</v>
      </c>
      <c r="X22" s="42">
        <v>8.0</v>
      </c>
      <c r="Y22" s="42">
        <v>10.0</v>
      </c>
      <c r="Z22" s="42"/>
      <c r="AA22" s="42"/>
      <c r="AB22" s="42">
        <v>3.0</v>
      </c>
      <c r="AC22" s="42"/>
      <c r="AD22" s="42">
        <v>7.0</v>
      </c>
      <c r="AF22" s="42"/>
      <c r="AG22" s="42"/>
      <c r="AH22" s="42"/>
      <c r="AI22" s="42"/>
      <c r="AJ22" s="42">
        <v>7.0</v>
      </c>
      <c r="AK22" s="42"/>
      <c r="AL22" s="42"/>
      <c r="AM22" s="42"/>
      <c r="AN22" s="42"/>
      <c r="AO22" s="42">
        <v>6.0</v>
      </c>
      <c r="AP22" s="42"/>
      <c r="AQ22" s="42">
        <v>7.0</v>
      </c>
      <c r="AR22" s="42"/>
      <c r="AS22" s="42">
        <v>3.0</v>
      </c>
      <c r="AT22" s="42">
        <v>4.0</v>
      </c>
      <c r="AU22" s="42"/>
      <c r="AV22" s="42"/>
      <c r="AW22" s="42"/>
      <c r="AX22" s="42"/>
      <c r="AY22" s="42"/>
      <c r="AZ22" s="42"/>
      <c r="BA22" s="42">
        <v>4.0</v>
      </c>
      <c r="BB22" s="42"/>
      <c r="BC22" s="42">
        <v>2.0</v>
      </c>
      <c r="BD22" s="42"/>
      <c r="BE22" s="42">
        <v>3.0</v>
      </c>
      <c r="BF22" s="42"/>
      <c r="BG22" s="42"/>
      <c r="BH22" s="42"/>
      <c r="BI22" s="42"/>
      <c r="BJ22" s="42">
        <v>6.0</v>
      </c>
      <c r="BK22" s="43">
        <f t="shared" si="1"/>
        <v>106</v>
      </c>
      <c r="BL22" s="43">
        <f t="shared" si="2"/>
        <v>20</v>
      </c>
    </row>
    <row r="23">
      <c r="A23" s="119">
        <v>22.0</v>
      </c>
      <c r="B23" s="120" t="s">
        <v>177</v>
      </c>
      <c r="C23" s="42"/>
      <c r="D23" s="121"/>
      <c r="E23" s="42">
        <v>8.0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>
        <v>3.0</v>
      </c>
      <c r="T23" s="42"/>
      <c r="U23" s="42"/>
      <c r="V23" s="42"/>
      <c r="W23" s="42"/>
      <c r="X23" s="42">
        <v>2.0</v>
      </c>
      <c r="Y23" s="42"/>
      <c r="Z23" s="42">
        <v>5.0</v>
      </c>
      <c r="AA23" s="42"/>
      <c r="AB23" s="42">
        <v>8.0</v>
      </c>
      <c r="AC23" s="42">
        <v>6.0</v>
      </c>
      <c r="AD23" s="42">
        <v>2.0</v>
      </c>
      <c r="AE23" s="43">
        <v>3.0</v>
      </c>
      <c r="AF23" s="42"/>
      <c r="AG23" s="42"/>
      <c r="AH23" s="42"/>
      <c r="AI23" s="42"/>
      <c r="AJ23" s="42"/>
      <c r="AK23" s="42"/>
      <c r="AL23" s="42"/>
      <c r="AM23" s="42">
        <v>7.0</v>
      </c>
      <c r="AN23" s="42"/>
      <c r="AO23" s="42">
        <v>3.0</v>
      </c>
      <c r="AP23" s="42"/>
      <c r="AQ23" s="42">
        <v>1.0</v>
      </c>
      <c r="AR23" s="42">
        <v>12.0</v>
      </c>
      <c r="AS23" s="42">
        <v>7.0</v>
      </c>
      <c r="AT23" s="42"/>
      <c r="AU23" s="42"/>
      <c r="AV23" s="42">
        <v>12.0</v>
      </c>
      <c r="AW23" s="42"/>
      <c r="AX23" s="42"/>
      <c r="AY23" s="42"/>
      <c r="AZ23" s="42"/>
      <c r="BA23" s="42">
        <v>8.0</v>
      </c>
      <c r="BB23" s="42"/>
      <c r="BC23" s="42"/>
      <c r="BD23" s="42"/>
      <c r="BE23" s="42">
        <v>10.0</v>
      </c>
      <c r="BF23" s="42"/>
      <c r="BG23" s="42"/>
      <c r="BH23" s="42"/>
      <c r="BI23" s="42">
        <v>7.0</v>
      </c>
      <c r="BJ23" s="42"/>
      <c r="BK23" s="43">
        <f t="shared" si="1"/>
        <v>104</v>
      </c>
      <c r="BL23" s="43">
        <f t="shared" si="2"/>
        <v>17</v>
      </c>
    </row>
    <row r="24">
      <c r="A24" s="119">
        <v>23.0</v>
      </c>
      <c r="B24" s="120" t="s">
        <v>32</v>
      </c>
      <c r="C24" s="42">
        <v>10.0</v>
      </c>
      <c r="D24" s="121"/>
      <c r="E24" s="42"/>
      <c r="F24" s="42"/>
      <c r="G24" s="42"/>
      <c r="H24" s="42"/>
      <c r="I24" s="42"/>
      <c r="J24" s="42">
        <v>1.0</v>
      </c>
      <c r="K24" s="42">
        <v>4.0</v>
      </c>
      <c r="L24" s="42"/>
      <c r="M24" s="42">
        <v>3.0</v>
      </c>
      <c r="N24" s="42"/>
      <c r="O24" s="42"/>
      <c r="P24" s="42">
        <v>7.0</v>
      </c>
      <c r="Q24" s="42">
        <v>8.0</v>
      </c>
      <c r="R24" s="42">
        <v>2.0</v>
      </c>
      <c r="S24" s="42"/>
      <c r="T24" s="42">
        <v>10.0</v>
      </c>
      <c r="U24" s="42"/>
      <c r="V24" s="42">
        <v>7.0</v>
      </c>
      <c r="W24" s="42"/>
      <c r="X24" s="42"/>
      <c r="Y24" s="42">
        <v>6.0</v>
      </c>
      <c r="Z24" s="42"/>
      <c r="AA24" s="42"/>
      <c r="AB24" s="42">
        <v>4.0</v>
      </c>
      <c r="AC24" s="42"/>
      <c r="AD24" s="42">
        <v>10.0</v>
      </c>
      <c r="AE24" s="43">
        <v>7.0</v>
      </c>
      <c r="AF24" s="42"/>
      <c r="AG24" s="42">
        <v>1.0</v>
      </c>
      <c r="AH24" s="42">
        <v>1.0</v>
      </c>
      <c r="AI24" s="42"/>
      <c r="AJ24" s="42"/>
      <c r="AK24" s="42"/>
      <c r="AL24" s="42">
        <v>3.0</v>
      </c>
      <c r="AM24" s="42"/>
      <c r="AN24" s="42"/>
      <c r="AO24" s="42"/>
      <c r="AP24" s="42"/>
      <c r="AQ24" s="42"/>
      <c r="AR24" s="42"/>
      <c r="AS24" s="42"/>
      <c r="AT24" s="42"/>
      <c r="AU24" s="42"/>
      <c r="AV24" s="42">
        <v>3.0</v>
      </c>
      <c r="AW24" s="42"/>
      <c r="AX24" s="42"/>
      <c r="AY24" s="42"/>
      <c r="AZ24" s="42"/>
      <c r="BA24" s="42"/>
      <c r="BB24" s="42">
        <v>1.0</v>
      </c>
      <c r="BC24" s="42"/>
      <c r="BD24" s="42">
        <v>2.0</v>
      </c>
      <c r="BE24" s="42"/>
      <c r="BF24" s="42">
        <v>1.0</v>
      </c>
      <c r="BG24" s="42"/>
      <c r="BH24" s="42"/>
      <c r="BI24" s="42">
        <v>1.0</v>
      </c>
      <c r="BJ24" s="42">
        <v>10.0</v>
      </c>
      <c r="BK24" s="43">
        <f t="shared" si="1"/>
        <v>102</v>
      </c>
      <c r="BL24" s="43">
        <f t="shared" si="2"/>
        <v>22</v>
      </c>
    </row>
    <row r="25">
      <c r="A25" s="119">
        <v>24.0</v>
      </c>
      <c r="B25" s="120" t="s">
        <v>241</v>
      </c>
      <c r="C25" s="42"/>
      <c r="D25" s="121"/>
      <c r="E25" s="42"/>
      <c r="F25" s="42"/>
      <c r="G25" s="42"/>
      <c r="H25" s="42"/>
      <c r="I25" s="42"/>
      <c r="J25" s="42">
        <v>12.0</v>
      </c>
      <c r="K25" s="42">
        <v>12.0</v>
      </c>
      <c r="L25" s="42"/>
      <c r="M25" s="42">
        <v>4.0</v>
      </c>
      <c r="N25" s="42"/>
      <c r="O25" s="42"/>
      <c r="P25" s="42">
        <v>1.0</v>
      </c>
      <c r="Q25" s="42"/>
      <c r="R25" s="42"/>
      <c r="S25" s="42"/>
      <c r="T25" s="42"/>
      <c r="U25" s="42">
        <v>7.0</v>
      </c>
      <c r="V25" s="42"/>
      <c r="W25" s="42">
        <v>12.0</v>
      </c>
      <c r="X25" s="42">
        <v>6.0</v>
      </c>
      <c r="Y25" s="42"/>
      <c r="Z25" s="42"/>
      <c r="AA25" s="42">
        <v>1.0</v>
      </c>
      <c r="AB25" s="42"/>
      <c r="AC25" s="42"/>
      <c r="AD25" s="42"/>
      <c r="AF25" s="42">
        <v>10.0</v>
      </c>
      <c r="AG25" s="42"/>
      <c r="AH25" s="42"/>
      <c r="AI25" s="42">
        <v>1.0</v>
      </c>
      <c r="AJ25" s="42"/>
      <c r="AK25" s="42"/>
      <c r="AL25" s="42"/>
      <c r="AM25" s="42"/>
      <c r="AN25" s="42">
        <v>1.0</v>
      </c>
      <c r="AO25" s="42"/>
      <c r="AP25" s="42"/>
      <c r="AQ25" s="42"/>
      <c r="AR25" s="42"/>
      <c r="AS25" s="42"/>
      <c r="AT25" s="42"/>
      <c r="AU25" s="42">
        <v>2.0</v>
      </c>
      <c r="AV25" s="42">
        <v>2.0</v>
      </c>
      <c r="AW25" s="42"/>
      <c r="AX25" s="42">
        <v>4.0</v>
      </c>
      <c r="AY25" s="42">
        <v>6.0</v>
      </c>
      <c r="AZ25" s="42"/>
      <c r="BA25" s="42"/>
      <c r="BB25" s="42"/>
      <c r="BC25" s="42"/>
      <c r="BD25" s="42">
        <v>8.0</v>
      </c>
      <c r="BE25" s="42"/>
      <c r="BF25" s="42"/>
      <c r="BG25" s="42"/>
      <c r="BH25" s="42"/>
      <c r="BI25" s="42"/>
      <c r="BJ25" s="42">
        <v>12.0</v>
      </c>
      <c r="BK25" s="43">
        <f t="shared" si="1"/>
        <v>101</v>
      </c>
      <c r="BL25" s="43">
        <f t="shared" si="2"/>
        <v>17</v>
      </c>
    </row>
    <row r="26">
      <c r="A26" s="119">
        <v>25.0</v>
      </c>
      <c r="B26" s="120" t="s">
        <v>157</v>
      </c>
      <c r="C26" s="42"/>
      <c r="D26" s="121"/>
      <c r="E26" s="42"/>
      <c r="F26" s="42"/>
      <c r="G26" s="42"/>
      <c r="H26" s="42"/>
      <c r="I26" s="42">
        <v>1.0</v>
      </c>
      <c r="J26" s="42"/>
      <c r="K26" s="42"/>
      <c r="L26" s="42">
        <v>12.0</v>
      </c>
      <c r="M26" s="42"/>
      <c r="N26" s="42"/>
      <c r="O26" s="42">
        <v>6.0</v>
      </c>
      <c r="P26" s="42"/>
      <c r="Q26" s="42">
        <v>5.0</v>
      </c>
      <c r="R26" s="42">
        <v>5.0</v>
      </c>
      <c r="S26" s="42"/>
      <c r="T26" s="42"/>
      <c r="U26" s="42"/>
      <c r="V26" s="42"/>
      <c r="W26" s="42">
        <v>10.0</v>
      </c>
      <c r="X26" s="42"/>
      <c r="Y26" s="42">
        <v>3.0</v>
      </c>
      <c r="Z26" s="42"/>
      <c r="AA26" s="42"/>
      <c r="AB26" s="42"/>
      <c r="AC26" s="42"/>
      <c r="AD26" s="42">
        <v>3.0</v>
      </c>
      <c r="AF26" s="42"/>
      <c r="AG26" s="42"/>
      <c r="AH26" s="42"/>
      <c r="AI26" s="42">
        <v>5.0</v>
      </c>
      <c r="AJ26" s="42"/>
      <c r="AK26" s="42"/>
      <c r="AL26" s="42"/>
      <c r="AM26" s="42"/>
      <c r="AN26" s="42"/>
      <c r="AO26" s="42"/>
      <c r="AP26" s="42">
        <v>6.0</v>
      </c>
      <c r="AQ26" s="42"/>
      <c r="AR26" s="42"/>
      <c r="AS26" s="42">
        <v>5.0</v>
      </c>
      <c r="AT26" s="42"/>
      <c r="AU26" s="42">
        <v>1.0</v>
      </c>
      <c r="AV26" s="42"/>
      <c r="AW26" s="42">
        <v>8.0</v>
      </c>
      <c r="AX26" s="42"/>
      <c r="AY26" s="42"/>
      <c r="AZ26" s="42"/>
      <c r="BA26" s="42">
        <v>5.0</v>
      </c>
      <c r="BB26" s="42"/>
      <c r="BC26" s="42">
        <v>4.0</v>
      </c>
      <c r="BD26" s="42">
        <v>7.0</v>
      </c>
      <c r="BE26" s="42"/>
      <c r="BF26" s="42">
        <v>2.0</v>
      </c>
      <c r="BG26" s="42"/>
      <c r="BH26" s="42"/>
      <c r="BI26" s="42"/>
      <c r="BJ26" s="42">
        <v>5.0</v>
      </c>
      <c r="BK26" s="43">
        <f t="shared" si="1"/>
        <v>93</v>
      </c>
      <c r="BL26" s="43">
        <f t="shared" si="2"/>
        <v>18</v>
      </c>
    </row>
    <row r="27">
      <c r="A27" s="119">
        <v>26.0</v>
      </c>
      <c r="B27" s="120" t="s">
        <v>217</v>
      </c>
      <c r="C27" s="42"/>
      <c r="D27" s="121"/>
      <c r="E27" s="42"/>
      <c r="F27" s="42"/>
      <c r="G27" s="42">
        <v>7.0</v>
      </c>
      <c r="H27" s="42"/>
      <c r="I27" s="42"/>
      <c r="J27" s="42"/>
      <c r="K27" s="42"/>
      <c r="L27" s="42">
        <v>7.0</v>
      </c>
      <c r="M27" s="42">
        <v>2.0</v>
      </c>
      <c r="N27" s="42"/>
      <c r="O27" s="42"/>
      <c r="P27" s="42"/>
      <c r="Q27" s="42">
        <v>10.0</v>
      </c>
      <c r="R27" s="42"/>
      <c r="S27" s="42"/>
      <c r="T27" s="42">
        <v>2.0</v>
      </c>
      <c r="U27" s="42">
        <v>2.0</v>
      </c>
      <c r="V27" s="42"/>
      <c r="W27" s="42"/>
      <c r="X27" s="42"/>
      <c r="Y27" s="42"/>
      <c r="Z27" s="42"/>
      <c r="AA27" s="42"/>
      <c r="AB27" s="42"/>
      <c r="AC27" s="42"/>
      <c r="AD27" s="42"/>
      <c r="AE27" s="43">
        <v>4.0</v>
      </c>
      <c r="AF27" s="42">
        <v>6.0</v>
      </c>
      <c r="AG27" s="42">
        <v>2.0</v>
      </c>
      <c r="AH27" s="42"/>
      <c r="AI27" s="42"/>
      <c r="AJ27" s="42"/>
      <c r="AK27" s="42"/>
      <c r="AL27" s="42"/>
      <c r="AM27" s="42"/>
      <c r="AN27" s="42"/>
      <c r="AO27" s="42">
        <v>1.0</v>
      </c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>
        <v>6.0</v>
      </c>
      <c r="BB27" s="42"/>
      <c r="BC27" s="42">
        <v>6.0</v>
      </c>
      <c r="BD27" s="42">
        <v>12.0</v>
      </c>
      <c r="BE27" s="42">
        <v>4.0</v>
      </c>
      <c r="BF27" s="42"/>
      <c r="BG27" s="42">
        <v>1.0</v>
      </c>
      <c r="BH27" s="42"/>
      <c r="BI27" s="42">
        <v>2.0</v>
      </c>
      <c r="BJ27" s="42"/>
      <c r="BK27" s="43">
        <f t="shared" si="1"/>
        <v>74</v>
      </c>
      <c r="BL27" s="43">
        <f t="shared" si="2"/>
        <v>16</v>
      </c>
    </row>
    <row r="28">
      <c r="A28" s="119">
        <v>27.0</v>
      </c>
      <c r="B28" s="120" t="s">
        <v>142</v>
      </c>
      <c r="C28" s="42">
        <v>12.0</v>
      </c>
      <c r="D28" s="121"/>
      <c r="E28" s="42"/>
      <c r="F28" s="42"/>
      <c r="G28" s="42"/>
      <c r="H28" s="42">
        <v>1.0</v>
      </c>
      <c r="I28" s="42"/>
      <c r="J28" s="42"/>
      <c r="K28" s="42">
        <v>2.0</v>
      </c>
      <c r="L28" s="42">
        <v>8.0</v>
      </c>
      <c r="M28" s="42"/>
      <c r="N28" s="42"/>
      <c r="O28" s="42">
        <v>5.0</v>
      </c>
      <c r="P28" s="42"/>
      <c r="Q28" s="42"/>
      <c r="R28" s="42"/>
      <c r="S28" s="42">
        <v>6.0</v>
      </c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F28" s="42"/>
      <c r="AG28" s="42"/>
      <c r="AH28" s="42"/>
      <c r="AI28" s="42"/>
      <c r="AJ28" s="42"/>
      <c r="AK28" s="42"/>
      <c r="AL28" s="42"/>
      <c r="AM28" s="42">
        <v>10.0</v>
      </c>
      <c r="AN28" s="42"/>
      <c r="AO28" s="42"/>
      <c r="AP28" s="42"/>
      <c r="AQ28" s="42"/>
      <c r="AR28" s="42"/>
      <c r="AS28" s="42">
        <v>8.0</v>
      </c>
      <c r="AT28" s="42"/>
      <c r="AU28" s="42">
        <v>7.0</v>
      </c>
      <c r="AV28" s="42"/>
      <c r="AW28" s="42">
        <v>12.0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3">
        <f t="shared" si="1"/>
        <v>71</v>
      </c>
      <c r="BL28" s="43">
        <f t="shared" si="2"/>
        <v>10</v>
      </c>
    </row>
    <row r="29">
      <c r="A29" s="119">
        <v>28.0</v>
      </c>
      <c r="B29" s="120" t="s">
        <v>87</v>
      </c>
      <c r="C29" s="42"/>
      <c r="D29" s="121"/>
      <c r="E29" s="42"/>
      <c r="F29" s="42">
        <v>8.0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>
        <v>4.0</v>
      </c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>
        <v>5.0</v>
      </c>
      <c r="AF29" s="42">
        <v>1.0</v>
      </c>
      <c r="AG29" s="42"/>
      <c r="AH29" s="42"/>
      <c r="AI29" s="42"/>
      <c r="AJ29" s="42"/>
      <c r="AK29" s="42"/>
      <c r="AL29" s="42"/>
      <c r="AM29" s="42"/>
      <c r="AN29" s="42"/>
      <c r="AO29" s="42"/>
      <c r="AP29" s="42">
        <v>10.0</v>
      </c>
      <c r="AQ29" s="42"/>
      <c r="AR29" s="42"/>
      <c r="AS29" s="42"/>
      <c r="AT29" s="42"/>
      <c r="AU29" s="42">
        <v>3.0</v>
      </c>
      <c r="AV29" s="42"/>
      <c r="AW29" s="42">
        <v>6.0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>
        <v>7.0</v>
      </c>
      <c r="BH29" s="42"/>
      <c r="BI29" s="42"/>
      <c r="BJ29" s="42">
        <v>1.0</v>
      </c>
      <c r="BK29" s="43">
        <f t="shared" si="1"/>
        <v>45</v>
      </c>
      <c r="BL29" s="43">
        <f t="shared" si="2"/>
        <v>9</v>
      </c>
    </row>
  </sheetData>
  <drawing r:id="rId1"/>
</worksheet>
</file>