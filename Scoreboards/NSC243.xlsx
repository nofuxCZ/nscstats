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" sheetId="1" r:id="rId5"/>
    <sheet state="visible" name="WL" sheetId="2" r:id="rId6"/>
    <sheet state="visible" name="Semi1" sheetId="3" r:id="rId7"/>
    <sheet state="visible" name="Semi1 reju" sheetId="4" r:id="rId8"/>
    <sheet state="visible" name="Semi2" sheetId="5" r:id="rId9"/>
    <sheet state="visible" name="Semi 2 reju" sheetId="6" r:id="rId10"/>
    <sheet state="visible" name="SEMI DNQ" sheetId="7" r:id="rId11"/>
  </sheets>
  <definedNames/>
  <calcPr/>
</workbook>
</file>

<file path=xl/sharedStrings.xml><?xml version="1.0" encoding="utf-8"?>
<sst xmlns="http://schemas.openxmlformats.org/spreadsheetml/2006/main" count="399" uniqueCount="71">
  <si>
    <t>Zombira</t>
  </si>
  <si>
    <t>Dež Republic</t>
  </si>
  <si>
    <t>Roseland</t>
  </si>
  <si>
    <t>Kimmystan</t>
  </si>
  <si>
    <t>New Acadia</t>
  </si>
  <si>
    <t>Tanoiro</t>
  </si>
  <si>
    <t>Sakuralia</t>
  </si>
  <si>
    <t>Griffin Empire</t>
  </si>
  <si>
    <t>Halito</t>
  </si>
  <si>
    <t>Federal Republic of Meridia</t>
  </si>
  <si>
    <t>Emsfrynt</t>
  </si>
  <si>
    <t>Dwyforland</t>
  </si>
  <si>
    <t>Begonia</t>
  </si>
  <si>
    <t>Afnia</t>
  </si>
  <si>
    <t>Fierraria</t>
  </si>
  <si>
    <t>Dalisska</t>
  </si>
  <si>
    <t>Reym-L-Dneurb</t>
  </si>
  <si>
    <t>Szimbaya Kingdom</t>
  </si>
  <si>
    <t>Balearica Island</t>
  </si>
  <si>
    <t>Marcobia</t>
  </si>
  <si>
    <t>Kamandé</t>
  </si>
  <si>
    <t>Cydoni-Gibberia</t>
  </si>
  <si>
    <t>Papendink</t>
  </si>
  <si>
    <t>Fervorosia</t>
  </si>
  <si>
    <t>MatiMati</t>
  </si>
  <si>
    <t>Grand Duchy of Strenc</t>
  </si>
  <si>
    <t>Adamsburg</t>
  </si>
  <si>
    <t>Södermalm</t>
  </si>
  <si>
    <t>United Kingdom of Destrion</t>
  </si>
  <si>
    <t>Roxma Nova</t>
  </si>
  <si>
    <t>Comino</t>
  </si>
  <si>
    <t>Trollheimr</t>
  </si>
  <si>
    <t>Inzinimirit</t>
  </si>
  <si>
    <t>Vylkuzeme</t>
  </si>
  <si>
    <t>Tcher-Racoi</t>
  </si>
  <si>
    <t>Kordavian Islands</t>
  </si>
  <si>
    <t>Carpentaria</t>
  </si>
  <si>
    <t>Tamausia &amp; Deltannor</t>
  </si>
  <si>
    <t>Ugaly</t>
  </si>
  <si>
    <t>Aimūlli</t>
  </si>
  <si>
    <t>Rehi Kaita</t>
  </si>
  <si>
    <t>Doire</t>
  </si>
  <si>
    <t>Yaponesia</t>
  </si>
  <si>
    <t>Calypso</t>
  </si>
  <si>
    <t>Rahasia-Diati</t>
  </si>
  <si>
    <t>Redwood Republic</t>
  </si>
  <si>
    <t>New Bander State</t>
  </si>
  <si>
    <t>Biflovatia</t>
  </si>
  <si>
    <t>Xochimilia</t>
  </si>
  <si>
    <t>Belvist</t>
  </si>
  <si>
    <t>Tír an Abhainn</t>
  </si>
  <si>
    <t>Insomnéa</t>
  </si>
  <si>
    <t>Rumia</t>
  </si>
  <si>
    <t>Endórë</t>
  </si>
  <si>
    <t>Waiting Iist</t>
  </si>
  <si>
    <t>Öösingimäed</t>
  </si>
  <si>
    <t>Svobodnia</t>
  </si>
  <si>
    <t>Waiting List</t>
  </si>
  <si>
    <t>Points</t>
  </si>
  <si>
    <t>Voters</t>
  </si>
  <si>
    <t>12s</t>
  </si>
  <si>
    <t>United Kingdom Of Destrion</t>
  </si>
  <si>
    <t xml:space="preserve">Rahasia-Diati </t>
  </si>
  <si>
    <t>Orsa</t>
  </si>
  <si>
    <t>Perryfornia</t>
  </si>
  <si>
    <t>Grand Duchy of Strenci</t>
  </si>
  <si>
    <t>Waiting Iist of Shelley &amp; Nici</t>
  </si>
  <si>
    <t>Oprah</t>
  </si>
  <si>
    <t>Konthena</t>
  </si>
  <si>
    <t>Semi 1 regular</t>
  </si>
  <si>
    <t>Semi 2 regular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</si>
</sst>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Roboto"/>
    </font>
    <font>
      <sz val="11.0"/>
      <color rgb="FF434343"/>
      <name val="Trebuchet MS"/>
    </font>
    <font>
      <sz val="11.0"/>
      <color rgb="FF434343"/>
      <name val="Roboto"/>
    </font>
    <font>
      <sz val="11.0"/>
      <color rgb="FF434343"/>
      <name val="Arial"/>
    </font>
    <font>
      <sz val="11.0"/>
      <color rgb="FF434343"/>
      <name val="Gg sans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6AA84F"/>
        <bgColor rgb="FF6AA84F"/>
      </patternFill>
    </fill>
    <fill>
      <patternFill patternType="solid">
        <fgColor rgb="FFDD7E6B"/>
        <bgColor rgb="FFDD7E6B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readingOrder="0" textRotation="45"/>
    </xf>
    <xf borderId="1" fillId="2" fontId="2" numFmtId="0" xfId="0" applyAlignment="1" applyBorder="1" applyFill="1" applyFont="1">
      <alignment shrinkToFit="0" textRotation="45" wrapText="0"/>
    </xf>
    <xf borderId="1" fillId="3" fontId="2" numFmtId="0" xfId="0" applyAlignment="1" applyBorder="1" applyFill="1" applyFont="1">
      <alignment shrinkToFit="0" textRotation="45" wrapText="0"/>
    </xf>
    <xf borderId="1" fillId="0" fontId="1" numFmtId="0" xfId="0" applyAlignment="1" applyBorder="1" applyFont="1">
      <alignment textRotation="45"/>
    </xf>
    <xf borderId="0" fillId="0" fontId="1" numFmtId="0" xfId="0" applyAlignment="1" applyFont="1">
      <alignment textRotation="45"/>
    </xf>
    <xf borderId="1" fillId="0" fontId="2" numFmtId="0" xfId="0" applyAlignment="1" applyBorder="1" applyFont="1">
      <alignment shrinkToFit="0" wrapText="0"/>
    </xf>
    <xf borderId="1" fillId="0" fontId="2" numFmtId="0" xfId="0" applyAlignment="1" applyBorder="1" applyFont="1">
      <alignment readingOrder="0" shrinkToFit="0" wrapText="0"/>
    </xf>
    <xf borderId="1" fillId="0" fontId="2" numFmtId="0" xfId="0" applyAlignment="1" applyBorder="1" applyFont="1">
      <alignment readingOrder="0" shrinkToFit="0" wrapText="0"/>
    </xf>
    <xf borderId="0" fillId="0" fontId="1" numFmtId="0" xfId="0" applyFont="1"/>
    <xf borderId="0" fillId="0" fontId="1" numFmtId="0" xfId="0" applyAlignment="1" applyFont="1">
      <alignment readingOrder="0"/>
    </xf>
    <xf borderId="2" fillId="3" fontId="2" numFmtId="0" xfId="0" applyAlignment="1" applyBorder="1" applyFont="1">
      <alignment shrinkToFit="0" wrapText="0"/>
    </xf>
    <xf borderId="0" fillId="3" fontId="2" numFmtId="0" xfId="0" applyAlignment="1" applyFont="1">
      <alignment readingOrder="0" shrinkToFit="0" wrapText="0"/>
    </xf>
    <xf borderId="3" fillId="3" fontId="2" numFmtId="0" xfId="0" applyAlignment="1" applyBorder="1" applyFont="1">
      <alignment shrinkToFit="0" wrapText="0"/>
    </xf>
    <xf borderId="2" fillId="2" fontId="2" numFmtId="0" xfId="0" applyAlignment="1" applyBorder="1" applyFont="1">
      <alignment shrinkToFit="0" wrapText="0"/>
    </xf>
    <xf borderId="0" fillId="2" fontId="2" numFmtId="0" xfId="0" applyAlignment="1" applyFont="1">
      <alignment readingOrder="0" shrinkToFit="0" wrapText="0"/>
    </xf>
    <xf borderId="3" fillId="2" fontId="2" numFmtId="0" xfId="0" applyAlignment="1" applyBorder="1" applyFont="1">
      <alignment shrinkToFit="0" wrapText="0"/>
    </xf>
    <xf borderId="0" fillId="2" fontId="2" numFmtId="0" xfId="0" applyAlignment="1" applyFont="1">
      <alignment shrinkToFit="0" wrapText="0"/>
    </xf>
    <xf borderId="0" fillId="3" fontId="2" numFmtId="0" xfId="0" applyAlignment="1" applyFont="1">
      <alignment shrinkToFit="0" wrapText="0"/>
    </xf>
    <xf borderId="0" fillId="2" fontId="2" numFmtId="0" xfId="0" applyAlignment="1" applyFont="1">
      <alignment readingOrder="0" shrinkToFit="0" wrapText="0"/>
    </xf>
    <xf borderId="0" fillId="3" fontId="2" numFmtId="0" xfId="0" applyAlignment="1" applyFont="1">
      <alignment readingOrder="0" shrinkToFit="0" wrapText="0"/>
    </xf>
    <xf borderId="4" fillId="2" fontId="2" numFmtId="0" xfId="0" applyAlignment="1" applyBorder="1" applyFont="1">
      <alignment shrinkToFit="0" wrapText="0"/>
    </xf>
    <xf borderId="1" fillId="2" fontId="3" numFmtId="0" xfId="0" applyAlignment="1" applyBorder="1" applyFont="1">
      <alignment shrinkToFit="0" textRotation="45" vertical="bottom" wrapText="0"/>
    </xf>
    <xf borderId="1" fillId="3" fontId="4" numFmtId="0" xfId="0" applyAlignment="1" applyBorder="1" applyFont="1">
      <alignment shrinkToFit="0" textRotation="45" vertical="bottom" wrapText="0"/>
    </xf>
    <xf borderId="1" fillId="3" fontId="3" numFmtId="0" xfId="0" applyAlignment="1" applyBorder="1" applyFont="1">
      <alignment shrinkToFit="0" textRotation="45" vertical="bottom" wrapText="0"/>
    </xf>
    <xf borderId="1" fillId="3" fontId="5" numFmtId="0" xfId="0" applyAlignment="1" applyBorder="1" applyFont="1">
      <alignment shrinkToFit="0" textRotation="45" vertical="bottom" wrapText="0"/>
    </xf>
    <xf borderId="1" fillId="2" fontId="4" numFmtId="0" xfId="0" applyAlignment="1" applyBorder="1" applyFont="1">
      <alignment shrinkToFit="0" textRotation="45" vertical="bottom" wrapText="0"/>
    </xf>
    <xf borderId="0" fillId="4" fontId="4" numFmtId="0" xfId="0" applyAlignment="1" applyFill="1" applyFont="1">
      <alignment readingOrder="0" shrinkToFit="0" vertical="bottom" wrapText="0"/>
    </xf>
    <xf borderId="5" fillId="4" fontId="4" numFmtId="0" xfId="0" applyAlignment="1" applyBorder="1" applyFont="1">
      <alignment shrinkToFit="0" vertical="bottom" wrapText="0"/>
    </xf>
    <xf borderId="0" fillId="2" fontId="4" numFmtId="0" xfId="0" applyAlignment="1" applyFont="1">
      <alignment readingOrder="0" shrinkToFit="0" vertical="bottom" wrapText="0"/>
    </xf>
    <xf borderId="0" fillId="2" fontId="4" numFmtId="0" xfId="0" applyAlignment="1" applyFont="1">
      <alignment readingOrder="0" shrinkToFit="0" vertical="bottom" wrapText="0"/>
    </xf>
    <xf borderId="0" fillId="4" fontId="5" numFmtId="0" xfId="0" applyAlignment="1" applyFont="1">
      <alignment readingOrder="0" shrinkToFit="0" vertical="bottom" wrapText="0"/>
    </xf>
    <xf borderId="6" fillId="4" fontId="5" numFmtId="0" xfId="0" applyAlignment="1" applyBorder="1" applyFont="1">
      <alignment shrinkToFit="0" vertical="bottom" wrapText="0"/>
    </xf>
    <xf borderId="0" fillId="2" fontId="5" numFmtId="0" xfId="0" applyAlignment="1" applyFont="1">
      <alignment readingOrder="0" shrinkToFit="0" vertical="bottom" wrapText="0"/>
    </xf>
    <xf borderId="0" fillId="2" fontId="5" numFmtId="0" xfId="0" applyAlignment="1" applyFont="1">
      <alignment readingOrder="0" shrinkToFit="0" vertical="bottom" wrapText="0"/>
    </xf>
    <xf borderId="0" fillId="4" fontId="3" numFmtId="0" xfId="0" applyAlignment="1" applyFont="1">
      <alignment readingOrder="0" shrinkToFit="0" vertical="bottom" wrapText="0"/>
    </xf>
    <xf borderId="5" fillId="4" fontId="3" numFmtId="0" xfId="0" applyAlignment="1" applyBorder="1" applyFont="1">
      <alignment shrinkToFit="0" vertical="bottom" wrapText="0"/>
    </xf>
    <xf borderId="0" fillId="2" fontId="3" numFmtId="0" xfId="0" applyAlignment="1" applyFont="1">
      <alignment readingOrder="0" shrinkToFit="0" vertical="bottom" wrapText="0"/>
    </xf>
    <xf borderId="0" fillId="2" fontId="3" numFmtId="0" xfId="0" applyAlignment="1" applyFont="1">
      <alignment readingOrder="0" shrinkToFit="0" vertical="bottom" wrapText="0"/>
    </xf>
    <xf borderId="0" fillId="3" fontId="5" numFmtId="0" xfId="0" applyAlignment="1" applyFont="1">
      <alignment readingOrder="0" shrinkToFit="0" vertical="bottom" wrapText="0"/>
    </xf>
    <xf borderId="0" fillId="3" fontId="5" numFmtId="0" xfId="0" applyAlignment="1" applyFont="1">
      <alignment readingOrder="0" shrinkToFit="0" vertical="bottom" wrapText="0"/>
    </xf>
    <xf borderId="0" fillId="3" fontId="4" numFmtId="0" xfId="0" applyAlignment="1" applyFont="1">
      <alignment readingOrder="0" shrinkToFit="0" vertical="bottom" wrapText="0"/>
    </xf>
    <xf borderId="0" fillId="3" fontId="4" numFmtId="0" xfId="0" applyAlignment="1" applyFont="1">
      <alignment readingOrder="0" shrinkToFit="0" vertical="bottom" wrapText="0"/>
    </xf>
    <xf borderId="6" fillId="4" fontId="4" numFmtId="0" xfId="0" applyAlignment="1" applyBorder="1" applyFont="1">
      <alignment shrinkToFit="0" vertical="bottom" wrapText="0"/>
    </xf>
    <xf borderId="0" fillId="2" fontId="3" numFmtId="0" xfId="0" applyAlignment="1" applyFont="1">
      <alignment shrinkToFit="0" vertical="bottom" wrapText="0"/>
    </xf>
    <xf borderId="0" fillId="2" fontId="5" numFmtId="0" xfId="0" applyAlignment="1" applyFont="1">
      <alignment shrinkToFit="0" vertical="bottom" wrapText="0"/>
    </xf>
    <xf borderId="5" fillId="4" fontId="5" numFmtId="0" xfId="0" applyAlignment="1" applyBorder="1" applyFont="1">
      <alignment shrinkToFit="0" vertical="bottom" wrapText="0"/>
    </xf>
    <xf borderId="0" fillId="3" fontId="5" numFmtId="0" xfId="0" applyAlignment="1" applyFont="1">
      <alignment shrinkToFit="0" vertical="bottom" wrapText="0"/>
    </xf>
    <xf borderId="0" fillId="2" fontId="4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vertical="bottom" wrapText="0"/>
    </xf>
    <xf borderId="5" fillId="2" fontId="4" numFmtId="0" xfId="0" applyAlignment="1" applyBorder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6" fillId="3" fontId="4" numFmtId="0" xfId="0" applyAlignment="1" applyBorder="1" applyFont="1">
      <alignment shrinkToFit="0" vertical="bottom" wrapText="0"/>
    </xf>
    <xf borderId="0" fillId="3" fontId="4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6" fillId="2" fontId="4" numFmtId="0" xfId="0" applyAlignment="1" applyBorder="1" applyFont="1">
      <alignment shrinkToFit="0" vertical="bottom" wrapText="0"/>
    </xf>
    <xf borderId="5" fillId="3" fontId="5" numFmtId="0" xfId="0" applyAlignment="1" applyBorder="1" applyFont="1">
      <alignment shrinkToFit="0" vertical="bottom" wrapText="0"/>
    </xf>
    <xf borderId="6" fillId="3" fontId="5" numFmtId="0" xfId="0" applyAlignment="1" applyBorder="1" applyFont="1">
      <alignment shrinkToFit="0" vertical="bottom" wrapText="0"/>
    </xf>
    <xf borderId="5" fillId="3" fontId="4" numFmtId="0" xfId="0" applyAlignment="1" applyBorder="1" applyFont="1">
      <alignment shrinkToFit="0" vertical="bottom" wrapText="0"/>
    </xf>
    <xf borderId="0" fillId="2" fontId="5" numFmtId="0" xfId="0" applyAlignment="1" applyFont="1">
      <alignment readingOrder="0" shrinkToFit="0" vertical="bottom" wrapText="0"/>
    </xf>
    <xf borderId="0" fillId="2" fontId="3" numFmtId="0" xfId="0" applyAlignment="1" applyFont="1">
      <alignment readingOrder="0" shrinkToFit="0" vertical="bottom" wrapText="0"/>
    </xf>
    <xf borderId="0" fillId="2" fontId="4" numFmtId="0" xfId="0" applyAlignment="1" applyFont="1">
      <alignment readingOrder="0" shrinkToFit="0" vertical="bottom" wrapText="0"/>
    </xf>
    <xf borderId="5" fillId="2" fontId="5" numFmtId="0" xfId="0" applyAlignment="1" applyBorder="1" applyFont="1">
      <alignment shrinkToFit="0" vertical="bottom" wrapText="0"/>
    </xf>
    <xf borderId="5" fillId="3" fontId="3" numFmtId="0" xfId="0" applyAlignment="1" applyBorder="1" applyFont="1">
      <alignment shrinkToFit="0" vertical="bottom" wrapText="0"/>
    </xf>
    <xf borderId="0" fillId="3" fontId="3" numFmtId="0" xfId="0" applyAlignment="1" applyFont="1">
      <alignment shrinkToFit="0" vertical="bottom" wrapText="0"/>
    </xf>
    <xf borderId="0" fillId="3" fontId="3" numFmtId="0" xfId="0" applyAlignment="1" applyFont="1">
      <alignment readingOrder="0" shrinkToFit="0" vertical="bottom" wrapText="0"/>
    </xf>
    <xf borderId="0" fillId="3" fontId="3" numFmtId="0" xfId="0" applyAlignment="1" applyFont="1">
      <alignment readingOrder="0" shrinkToFit="0" vertical="bottom" wrapText="0"/>
    </xf>
    <xf borderId="6" fillId="2" fontId="3" numFmtId="0" xfId="0" applyAlignment="1" applyBorder="1" applyFont="1">
      <alignment shrinkToFit="0" vertical="bottom" wrapText="0"/>
    </xf>
    <xf borderId="6" fillId="3" fontId="3" numFmtId="0" xfId="0" applyAlignment="1" applyBorder="1" applyFont="1">
      <alignment shrinkToFit="0" vertical="bottom" wrapText="0"/>
    </xf>
    <xf borderId="6" fillId="2" fontId="5" numFmtId="0" xfId="0" applyAlignment="1" applyBorder="1" applyFont="1">
      <alignment shrinkToFit="0" vertical="bottom" wrapText="0"/>
    </xf>
    <xf borderId="5" fillId="2" fontId="3" numFmtId="0" xfId="0" applyAlignment="1" applyBorder="1" applyFont="1">
      <alignment shrinkToFit="0" vertical="bottom" wrapText="0"/>
    </xf>
    <xf borderId="1" fillId="2" fontId="5" numFmtId="0" xfId="0" applyAlignment="1" applyBorder="1" applyFont="1">
      <alignment shrinkToFit="0" textRotation="45" vertical="bottom" wrapText="0"/>
    </xf>
    <xf borderId="1" fillId="0" fontId="4" numFmtId="0" xfId="0" applyAlignment="1" applyBorder="1" applyFont="1">
      <alignment shrinkToFit="0" textRotation="45" vertical="bottom" wrapText="0"/>
    </xf>
    <xf borderId="6" fillId="0" fontId="4" numFmtId="0" xfId="0" applyAlignment="1" applyBorder="1" applyFont="1">
      <alignment shrinkToFit="0" vertical="bottom" wrapText="0"/>
    </xf>
    <xf borderId="5" fillId="3" fontId="6" numFmtId="0" xfId="0" applyAlignment="1" applyBorder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3" fontId="6" numFmtId="0" xfId="0" applyAlignment="1" applyFont="1">
      <alignment shrinkToFit="0" vertical="bottom" wrapText="0"/>
    </xf>
    <xf borderId="0" fillId="3" fontId="6" numFmtId="0" xfId="0" applyAlignment="1" applyFont="1">
      <alignment readingOrder="0" shrinkToFit="0" vertical="bottom" wrapText="0"/>
    </xf>
    <xf borderId="0" fillId="3" fontId="6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4" fontId="1" numFmtId="0" xfId="0" applyAlignment="1" applyBorder="1" applyFont="1">
      <alignment readingOrder="0"/>
    </xf>
    <xf borderId="1" fillId="4" fontId="1" numFmtId="0" xfId="0" applyBorder="1" applyFont="1"/>
    <xf borderId="1" fillId="4" fontId="4" numFmtId="0" xfId="0" applyAlignment="1" applyBorder="1" applyFont="1">
      <alignment readingOrder="0" shrinkToFit="0" vertical="bottom" wrapText="0"/>
    </xf>
    <xf borderId="1" fillId="4" fontId="4" numFmtId="0" xfId="0" applyAlignment="1" applyBorder="1" applyFont="1">
      <alignment shrinkToFit="0" vertical="bottom" wrapText="0"/>
    </xf>
    <xf borderId="1" fillId="4" fontId="4" numFmtId="0" xfId="0" applyAlignment="1" applyBorder="1" applyFont="1">
      <alignment shrinkToFit="0" vertical="bottom" wrapText="0"/>
    </xf>
    <xf borderId="1" fillId="0" fontId="5" numFmtId="0" xfId="0" applyAlignment="1" applyBorder="1" applyFont="1">
      <alignment readingOrder="0" shrinkToFit="0" vertical="bottom" wrapText="0"/>
    </xf>
    <xf borderId="1" fillId="2" fontId="4" numFmtId="0" xfId="0" applyAlignment="1" applyBorder="1" applyFont="1">
      <alignment shrinkToFit="0" vertical="bottom" wrapText="0"/>
    </xf>
    <xf borderId="1" fillId="0" fontId="4" numFmtId="0" xfId="0" applyAlignment="1" applyBorder="1" applyFont="1">
      <alignment shrinkToFit="0" vertical="bottom" wrapText="0"/>
    </xf>
    <xf borderId="1" fillId="0" fontId="4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readingOrder="0" shrinkToFit="0" vertical="bottom" wrapText="0"/>
    </xf>
    <xf borderId="1" fillId="3" fontId="4" numFmtId="0" xfId="0" applyAlignment="1" applyBorder="1" applyFont="1">
      <alignment shrinkToFit="0" vertical="bottom" wrapText="0"/>
    </xf>
    <xf borderId="1" fillId="0" fontId="4" numFmtId="0" xfId="0" applyAlignment="1" applyBorder="1" applyFont="1">
      <alignment readingOrder="0" shrinkToFit="0" vertical="bottom" wrapText="0"/>
    </xf>
    <xf borderId="1" fillId="3" fontId="5" numFmtId="0" xfId="0" applyAlignment="1" applyBorder="1" applyFont="1">
      <alignment shrinkToFit="0" vertical="bottom" wrapText="0"/>
    </xf>
    <xf borderId="1" fillId="4" fontId="5" numFmtId="0" xfId="0" applyAlignment="1" applyBorder="1" applyFont="1">
      <alignment shrinkToFit="0" vertical="bottom" wrapText="0"/>
    </xf>
    <xf borderId="1" fillId="4" fontId="5" numFmtId="0" xfId="0" applyAlignment="1" applyBorder="1" applyFont="1">
      <alignment shrinkToFit="0" vertical="bottom" wrapText="0"/>
    </xf>
    <xf borderId="1" fillId="2" fontId="5" numFmtId="0" xfId="0" applyAlignment="1" applyBorder="1" applyFont="1">
      <alignment shrinkToFit="0" vertical="bottom" wrapText="0"/>
    </xf>
    <xf borderId="1" fillId="2" fontId="5" numFmtId="0" xfId="0" applyAlignment="1" applyBorder="1" applyFont="1">
      <alignment readingOrder="0" shrinkToFit="0" vertical="bottom" wrapText="0"/>
    </xf>
    <xf borderId="1" fillId="2" fontId="3" numFmtId="0" xfId="0" applyAlignment="1" applyBorder="1" applyFont="1">
      <alignment readingOrder="0" shrinkToFit="0" vertical="bottom" wrapText="0"/>
    </xf>
    <xf borderId="1" fillId="2" fontId="4" numFmtId="0" xfId="0" applyAlignment="1" applyBorder="1" applyFont="1">
      <alignment readingOrder="0" shrinkToFit="0" vertical="bottom" wrapText="0"/>
    </xf>
    <xf borderId="1" fillId="3" fontId="6" numFmtId="0" xfId="0" applyAlignment="1" applyBorder="1" applyFont="1">
      <alignment shrinkToFit="0" vertical="bottom" wrapText="0"/>
    </xf>
    <xf borderId="1" fillId="5" fontId="4" numFmtId="0" xfId="0" applyAlignment="1" applyBorder="1" applyFill="1" applyFont="1">
      <alignment readingOrder="0" shrinkToFit="0" vertical="bottom" wrapText="0"/>
    </xf>
    <xf borderId="1" fillId="5" fontId="4" numFmtId="0" xfId="0" applyAlignment="1" applyBorder="1" applyFont="1">
      <alignment shrinkToFit="0" vertical="bottom" wrapText="0"/>
    </xf>
    <xf borderId="1" fillId="3" fontId="3" numFmtId="0" xfId="0" applyAlignment="1" applyBorder="1" applyFont="1">
      <alignment shrinkToFit="0" vertical="bottom" wrapText="0"/>
    </xf>
    <xf borderId="1" fillId="4" fontId="5" numFmtId="0" xfId="0" applyAlignment="1" applyBorder="1" applyFont="1">
      <alignment readingOrder="0" shrinkToFit="0" vertical="bottom" wrapText="0"/>
    </xf>
    <xf borderId="1" fillId="3" fontId="5" numFmtId="0" xfId="0" applyAlignment="1" applyBorder="1" applyFont="1">
      <alignment horizontal="right" shrinkToFit="0" vertical="bottom" wrapText="0"/>
    </xf>
    <xf borderId="1" fillId="0" fontId="4" numFmtId="0" xfId="0" applyAlignment="1" applyBorder="1" applyFont="1">
      <alignment readingOrder="0" shrinkToFit="0" vertical="bottom" wrapText="0"/>
    </xf>
    <xf borderId="1" fillId="2" fontId="5" numFmtId="0" xfId="0" applyAlignment="1" applyBorder="1" applyFont="1">
      <alignment horizontal="right" shrinkToFit="0" vertical="bottom" wrapText="0"/>
    </xf>
    <xf borderId="1" fillId="3" fontId="4" numFmtId="0" xfId="0" applyAlignment="1" applyBorder="1" applyFont="1">
      <alignment horizontal="right" shrinkToFit="0" vertical="bottom" wrapText="0"/>
    </xf>
    <xf borderId="1" fillId="2" fontId="4" numFmtId="0" xfId="0" applyAlignment="1" applyBorder="1" applyFont="1">
      <alignment horizontal="right" shrinkToFit="0" vertical="bottom" wrapText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0">
    <tableStyle count="2" pivot="0" name="Final-style">
      <tableStyleElement dxfId="1" type="firstRowStripe"/>
      <tableStyleElement dxfId="2" type="secondRowStripe"/>
    </tableStyle>
    <tableStyle count="2" pivot="0" name="WL-style">
      <tableStyleElement dxfId="1" type="firstRowStripe"/>
      <tableStyleElement dxfId="2" type="secondRowStripe"/>
    </tableStyle>
    <tableStyle count="2" pivot="0" name="Semi1-style">
      <tableStyleElement dxfId="1" type="firstRowStripe"/>
      <tableStyleElement dxfId="2" type="secondRowStripe"/>
    </tableStyle>
    <tableStyle count="2" pivot="0" name="Semi1 reju-style">
      <tableStyleElement dxfId="1" type="firstRowStripe"/>
      <tableStyleElement dxfId="2" type="secondRowStripe"/>
    </tableStyle>
    <tableStyle count="2" pivot="0" name="Semi2-style">
      <tableStyleElement dxfId="2" type="firstRowStripe"/>
      <tableStyleElement dxfId="1" type="secondRowStripe"/>
    </tableStyle>
    <tableStyle count="2" pivot="0" name="Semi 2 reju-style">
      <tableStyleElement dxfId="2" type="firstRowStripe"/>
      <tableStyleElement dxfId="1" type="secondRowStripe"/>
    </tableStyle>
    <tableStyle count="2" pivot="0" name="SEMI DNQ-style">
      <tableStyleElement dxfId="1" type="firstRowStripe"/>
      <tableStyleElement dxfId="2" type="secondRowStripe"/>
    </tableStyle>
    <tableStyle count="2" pivot="0" name="SEMI DNQ-style 2">
      <tableStyleElement dxfId="1" type="firstRowStripe"/>
      <tableStyleElement dxfId="2" type="secondRowStripe"/>
    </tableStyle>
    <tableStyle count="2" pivot="0" name="SEMI DNQ-style 3">
      <tableStyleElement dxfId="1" type="firstRowStripe"/>
      <tableStyleElement dxfId="2" type="secondRowStripe"/>
    </tableStyle>
    <tableStyle count="2" pivot="0" name="SEMI DNQ-style 4"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BG29" displayName="Table_1" name="Table_1" id="1">
  <tableColumns count="5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</tableColumns>
  <tableStyleInfo name="Final-style" showColumnStripes="0" showFirstColumn="1" showLastColumn="1" showRowStripes="1"/>
</table>
</file>

<file path=xl/tables/table2.xml><?xml version="1.0" encoding="utf-8"?>
<table xmlns="http://schemas.openxmlformats.org/spreadsheetml/2006/main" headerRowCount="0" ref="A2:C29" displayName="Table_2" name="Table_2" id="2">
  <tableColumns count="3">
    <tableColumn name="Column1" id="1"/>
    <tableColumn name="Column2" id="2"/>
    <tableColumn name="Column3" id="3"/>
  </tableColumns>
  <tableStyleInfo name="WL-style" showColumnStripes="0" showFirstColumn="1" showLastColumn="1" showRowStripes="1"/>
</table>
</file>

<file path=xl/tables/table3.xml><?xml version="1.0" encoding="utf-8"?>
<table xmlns="http://schemas.openxmlformats.org/spreadsheetml/2006/main" headerRowCount="0" ref="A2:AE27" displayName="Table_3" name="Table_3" id="3">
  <tableColumns count="3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</tableColumns>
  <tableStyleInfo name="Semi1-style" showColumnStripes="0" showFirstColumn="1" showLastColumn="1" showRowStripes="1"/>
</table>
</file>

<file path=xl/tables/table4.xml><?xml version="1.0" encoding="utf-8"?>
<table xmlns="http://schemas.openxmlformats.org/spreadsheetml/2006/main" headerRowCount="0" ref="A2:O27" displayName="Table_4" name="Table_4" id="4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Semi1 reju-style" showColumnStripes="0" showFirstColumn="1" showLastColumn="1" showRowStripes="1"/>
</table>
</file>

<file path=xl/tables/table5.xml><?xml version="1.0" encoding="utf-8"?>
<table xmlns="http://schemas.openxmlformats.org/spreadsheetml/2006/main" headerRowCount="0" ref="A2:AD27" displayName="Table_5" name="Table_5" id="5">
  <tableColumns count="3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</tableColumns>
  <tableStyleInfo name="Semi2-style" showColumnStripes="0" showFirstColumn="1" showLastColumn="1" showRowStripes="1"/>
</table>
</file>

<file path=xl/tables/table6.xml><?xml version="1.0" encoding="utf-8"?>
<table xmlns="http://schemas.openxmlformats.org/spreadsheetml/2006/main" headerRowCount="0" ref="A2:T27" displayName="Table_6" name="Table_6" id="6">
  <tableColumns count="2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</tableColumns>
  <tableStyleInfo name="Semi 2 reju-style" showColumnStripes="0" showFirstColumn="1" showLastColumn="1" showRowStripes="1"/>
</table>
</file>

<file path=xl/tables/table7.xml><?xml version="1.0" encoding="utf-8"?>
<table xmlns="http://schemas.openxmlformats.org/spreadsheetml/2006/main" headerRowCount="0" ref="G2:K18" displayName="Table_7" name="Table_7" id="7">
  <tableColumns count="5">
    <tableColumn name="Column1" id="1"/>
    <tableColumn name="Column2" id="2"/>
    <tableColumn name="Column3" id="3"/>
    <tableColumn name="Column4" id="4"/>
    <tableColumn name="Column5" id="5"/>
  </tableColumns>
  <tableStyleInfo name="SEMI DNQ-style" showColumnStripes="0" showFirstColumn="1" showLastColumn="1" showRowStripes="1"/>
</table>
</file>

<file path=xl/tables/table8.xml><?xml version="1.0" encoding="utf-8"?>
<table xmlns="http://schemas.openxmlformats.org/spreadsheetml/2006/main" headerRowCount="0" ref="B3:E18" displayName="Table_8" name="Table_8" id="8">
  <tableColumns count="4">
    <tableColumn name="Column1" id="1"/>
    <tableColumn name="Column2" id="2"/>
    <tableColumn name="Column3" id="3"/>
    <tableColumn name="Column4" id="4"/>
  </tableColumns>
  <tableStyleInfo name="SEMI DNQ-style 2" showColumnStripes="0" showFirstColumn="1" showLastColumn="1" showRowStripes="1"/>
</table>
</file>

<file path=xl/tables/table9.xml><?xml version="1.0" encoding="utf-8"?>
<table xmlns="http://schemas.openxmlformats.org/spreadsheetml/2006/main" headerRowCount="0" ref="B21:B36" displayName="Table_9" name="Table_9" id="9">
  <tableColumns count="1">
    <tableColumn name="Column1" id="1"/>
  </tableColumns>
  <tableStyleInfo name="SEMI DNQ-style 3" showColumnStripes="0" showFirstColumn="1" showLastColumn="1" showRowStripes="1"/>
</table>
</file>

<file path=xl/tables/table10.xml><?xml version="1.0" encoding="utf-8"?>
<table xmlns="http://schemas.openxmlformats.org/spreadsheetml/2006/main" headerRowCount="0" ref="G21:K36" displayName="Table_10" name="Table_10" id="10">
  <tableColumns count="5">
    <tableColumn name="Column1" id="1"/>
    <tableColumn name="Column2" id="2"/>
    <tableColumn name="Column3" id="3"/>
    <tableColumn name="Column4" id="4"/>
    <tableColumn name="Column5" id="5"/>
  </tableColumns>
  <tableStyleInfo name="SEMI DNQ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9" Type="http://schemas.openxmlformats.org/officeDocument/2006/relationships/table" Target="../tables/table10.xml"/><Relationship Id="rId6" Type="http://schemas.openxmlformats.org/officeDocument/2006/relationships/table" Target="../tables/table7.xml"/><Relationship Id="rId7" Type="http://schemas.openxmlformats.org/officeDocument/2006/relationships/table" Target="../tables/table8.xml"/><Relationship Id="rId8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5.5"/>
    <col customWidth="1" min="2" max="61" width="3.25"/>
    <col customWidth="1" min="62" max="64" width="3.88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3" t="s">
        <v>9</v>
      </c>
      <c r="L1" s="4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5" t="s">
        <v>21</v>
      </c>
      <c r="X1" s="5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5" t="s">
        <v>37</v>
      </c>
      <c r="AN1" s="2" t="s">
        <v>38</v>
      </c>
      <c r="AO1" s="5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5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6"/>
      <c r="BL1" s="6"/>
    </row>
    <row r="2">
      <c r="A2" s="7" t="s">
        <v>9</v>
      </c>
      <c r="B2" s="8"/>
      <c r="C2" s="8">
        <v>5.0</v>
      </c>
      <c r="D2" s="8">
        <v>10.0</v>
      </c>
      <c r="E2" s="8">
        <v>12.0</v>
      </c>
      <c r="F2" s="9"/>
      <c r="G2" s="9"/>
      <c r="H2" s="8">
        <v>12.0</v>
      </c>
      <c r="I2" s="9"/>
      <c r="J2" s="9"/>
      <c r="K2" s="9"/>
      <c r="L2" s="9"/>
      <c r="M2" s="9"/>
      <c r="N2" s="9"/>
      <c r="O2" s="9"/>
      <c r="P2" s="9"/>
      <c r="Q2" s="8">
        <v>3.0</v>
      </c>
      <c r="R2" s="9"/>
      <c r="S2" s="8">
        <v>5.0</v>
      </c>
      <c r="T2" s="9"/>
      <c r="U2" s="8">
        <v>2.0</v>
      </c>
      <c r="V2" s="9"/>
      <c r="W2" s="9"/>
      <c r="X2" s="8">
        <v>8.0</v>
      </c>
      <c r="Y2" s="8">
        <v>10.0</v>
      </c>
      <c r="Z2" s="9"/>
      <c r="AA2" s="8">
        <v>10.0</v>
      </c>
      <c r="AB2" s="9"/>
      <c r="AC2" s="9"/>
      <c r="AD2" s="8">
        <v>12.0</v>
      </c>
      <c r="AE2" s="8">
        <v>4.0</v>
      </c>
      <c r="AF2" s="9"/>
      <c r="AG2" s="8">
        <v>3.0</v>
      </c>
      <c r="AH2" s="9"/>
      <c r="AI2" s="8">
        <v>1.0</v>
      </c>
      <c r="AJ2" s="9"/>
      <c r="AK2" s="8">
        <v>10.0</v>
      </c>
      <c r="AL2" s="9"/>
      <c r="AM2" s="8">
        <v>8.0</v>
      </c>
      <c r="AN2" s="8">
        <v>12.0</v>
      </c>
      <c r="AO2" s="9"/>
      <c r="AP2" s="9"/>
      <c r="AQ2" s="9"/>
      <c r="AR2" s="8">
        <v>2.0</v>
      </c>
      <c r="AS2" s="9"/>
      <c r="AT2" s="8">
        <v>7.0</v>
      </c>
      <c r="AU2" s="8">
        <v>2.0</v>
      </c>
      <c r="AV2" s="9"/>
      <c r="AW2" s="9"/>
      <c r="AX2" s="8">
        <v>12.0</v>
      </c>
      <c r="AY2" s="8">
        <v>10.0</v>
      </c>
      <c r="AZ2" s="8"/>
      <c r="BA2" s="8"/>
      <c r="BB2" s="8"/>
      <c r="BC2" s="8">
        <v>6.0</v>
      </c>
      <c r="BD2" s="8">
        <v>1.0</v>
      </c>
      <c r="BE2" s="8"/>
      <c r="BF2" s="8">
        <v>12.0</v>
      </c>
      <c r="BG2" s="8">
        <v>8.0</v>
      </c>
      <c r="BH2" s="1">
        <f t="shared" ref="BH2:BH29" si="1">SUM(B2:BG2)</f>
        <v>187</v>
      </c>
      <c r="BI2" s="1">
        <f t="shared" ref="BI2:BI29" si="2">COUNTA(B2:BG2)</f>
        <v>26</v>
      </c>
      <c r="BJ2" s="1">
        <f t="shared" ref="BJ2:BJ29" si="3">countif(B2:BG2,12)</f>
        <v>6</v>
      </c>
    </row>
    <row r="3">
      <c r="A3" s="7" t="s">
        <v>37</v>
      </c>
      <c r="B3" s="8">
        <v>8.0</v>
      </c>
      <c r="C3" s="8">
        <v>8.0</v>
      </c>
      <c r="D3" s="8">
        <v>8.0</v>
      </c>
      <c r="E3" s="8">
        <v>3.0</v>
      </c>
      <c r="F3" s="9"/>
      <c r="G3" s="8">
        <v>8.0</v>
      </c>
      <c r="H3" s="9"/>
      <c r="I3" s="9"/>
      <c r="J3" s="8">
        <v>3.0</v>
      </c>
      <c r="K3" s="8">
        <v>12.0</v>
      </c>
      <c r="L3" s="8">
        <v>3.0</v>
      </c>
      <c r="M3" s="8">
        <v>5.0</v>
      </c>
      <c r="N3" s="9"/>
      <c r="O3" s="9"/>
      <c r="P3" s="8">
        <v>5.0</v>
      </c>
      <c r="Q3" s="9"/>
      <c r="R3" s="9"/>
      <c r="S3" s="8">
        <v>3.0</v>
      </c>
      <c r="T3" s="8">
        <v>10.0</v>
      </c>
      <c r="U3" s="9"/>
      <c r="V3" s="8">
        <v>12.0</v>
      </c>
      <c r="W3" s="8">
        <v>7.0</v>
      </c>
      <c r="X3" s="9"/>
      <c r="Y3" s="8">
        <v>12.0</v>
      </c>
      <c r="Z3" s="9"/>
      <c r="AA3" s="9"/>
      <c r="AB3" s="8">
        <v>12.0</v>
      </c>
      <c r="AC3" s="8">
        <v>8.0</v>
      </c>
      <c r="AD3" s="8">
        <v>8.0</v>
      </c>
      <c r="AE3" s="9"/>
      <c r="AF3" s="9"/>
      <c r="AG3" s="9"/>
      <c r="AH3" s="9"/>
      <c r="AI3" s="9"/>
      <c r="AJ3" s="8">
        <v>1.0</v>
      </c>
      <c r="AK3" s="9"/>
      <c r="AL3" s="8">
        <v>3.0</v>
      </c>
      <c r="AM3" s="9"/>
      <c r="AN3" s="9"/>
      <c r="AO3" s="8">
        <v>12.0</v>
      </c>
      <c r="AP3" s="8">
        <v>1.0</v>
      </c>
      <c r="AQ3" s="9"/>
      <c r="AR3" s="9"/>
      <c r="AS3" s="9"/>
      <c r="AT3" s="8">
        <v>4.0</v>
      </c>
      <c r="AU3" s="9"/>
      <c r="AV3" s="9"/>
      <c r="AW3" s="8">
        <v>5.0</v>
      </c>
      <c r="AX3" s="8"/>
      <c r="AY3" s="8">
        <v>4.0</v>
      </c>
      <c r="AZ3" s="9"/>
      <c r="BA3" s="9"/>
      <c r="BB3" s="8">
        <v>8.0</v>
      </c>
      <c r="BC3" s="8">
        <v>3.0</v>
      </c>
      <c r="BD3" s="8">
        <v>2.0</v>
      </c>
      <c r="BE3" s="8">
        <v>7.0</v>
      </c>
      <c r="BF3" s="9"/>
      <c r="BG3" s="9"/>
      <c r="BH3" s="1">
        <f t="shared" si="1"/>
        <v>185</v>
      </c>
      <c r="BI3" s="1">
        <f t="shared" si="2"/>
        <v>29</v>
      </c>
      <c r="BJ3" s="1">
        <f t="shared" si="3"/>
        <v>5</v>
      </c>
    </row>
    <row r="4">
      <c r="A4" s="7" t="s">
        <v>10</v>
      </c>
      <c r="B4" s="7"/>
      <c r="C4" s="7"/>
      <c r="D4" s="7"/>
      <c r="E4" s="8">
        <v>1.0</v>
      </c>
      <c r="F4" s="9"/>
      <c r="G4" s="9"/>
      <c r="H4" s="9"/>
      <c r="I4" s="9"/>
      <c r="J4" s="9"/>
      <c r="K4" s="8">
        <v>5.0</v>
      </c>
      <c r="L4" s="9"/>
      <c r="M4" s="8">
        <v>10.0</v>
      </c>
      <c r="N4" s="8">
        <v>7.0</v>
      </c>
      <c r="O4" s="8">
        <v>2.0</v>
      </c>
      <c r="P4" s="8">
        <v>10.0</v>
      </c>
      <c r="Q4" s="8">
        <v>6.0</v>
      </c>
      <c r="R4" s="9"/>
      <c r="S4" s="9"/>
      <c r="T4" s="8">
        <v>6.0</v>
      </c>
      <c r="U4" s="8">
        <v>10.0</v>
      </c>
      <c r="V4" s="9"/>
      <c r="W4" s="9"/>
      <c r="X4" s="8">
        <v>2.0</v>
      </c>
      <c r="Y4" s="8">
        <v>2.0</v>
      </c>
      <c r="Z4" s="9"/>
      <c r="AA4" s="8">
        <v>5.0</v>
      </c>
      <c r="AB4" s="9"/>
      <c r="AC4" s="8">
        <v>10.0</v>
      </c>
      <c r="AD4" s="9"/>
      <c r="AE4" s="9"/>
      <c r="AF4" s="9"/>
      <c r="AG4" s="9"/>
      <c r="AH4" s="8">
        <v>12.0</v>
      </c>
      <c r="AI4" s="9"/>
      <c r="AJ4" s="9"/>
      <c r="AK4" s="9"/>
      <c r="AL4" s="8">
        <v>2.0</v>
      </c>
      <c r="AM4" s="8">
        <v>5.0</v>
      </c>
      <c r="AN4" s="8">
        <v>6.0</v>
      </c>
      <c r="AO4" s="8">
        <v>8.0</v>
      </c>
      <c r="AP4" s="9"/>
      <c r="AQ4" s="8">
        <v>12.0</v>
      </c>
      <c r="AR4" s="8">
        <v>5.0</v>
      </c>
      <c r="AS4" s="9"/>
      <c r="AT4" s="9"/>
      <c r="AU4" s="8">
        <v>12.0</v>
      </c>
      <c r="AV4" s="9"/>
      <c r="AW4" s="8">
        <v>10.0</v>
      </c>
      <c r="AX4" s="9"/>
      <c r="AY4" s="8"/>
      <c r="AZ4" s="8">
        <v>2.0</v>
      </c>
      <c r="BA4" s="8"/>
      <c r="BB4" s="8">
        <v>6.0</v>
      </c>
      <c r="BC4" s="8"/>
      <c r="BD4" s="8">
        <v>8.0</v>
      </c>
      <c r="BE4" s="8">
        <v>10.0</v>
      </c>
      <c r="BF4" s="8"/>
      <c r="BG4" s="8">
        <v>4.0</v>
      </c>
      <c r="BH4" s="1">
        <f t="shared" si="1"/>
        <v>178</v>
      </c>
      <c r="BI4" s="1">
        <f t="shared" si="2"/>
        <v>27</v>
      </c>
      <c r="BJ4" s="1">
        <f t="shared" si="3"/>
        <v>3</v>
      </c>
    </row>
    <row r="5">
      <c r="A5" s="7" t="s">
        <v>35</v>
      </c>
      <c r="B5" s="7"/>
      <c r="C5" s="7"/>
      <c r="D5" s="8">
        <v>6.0</v>
      </c>
      <c r="E5" s="9"/>
      <c r="F5" s="8">
        <v>8.0</v>
      </c>
      <c r="G5" s="8">
        <v>3.0</v>
      </c>
      <c r="H5" s="8">
        <v>7.0</v>
      </c>
      <c r="I5" s="8">
        <v>6.0</v>
      </c>
      <c r="J5" s="9"/>
      <c r="K5" s="9"/>
      <c r="L5" s="8">
        <v>2.0</v>
      </c>
      <c r="M5" s="9"/>
      <c r="N5" s="9"/>
      <c r="O5" s="9"/>
      <c r="P5" s="9"/>
      <c r="Q5" s="9"/>
      <c r="R5" s="9"/>
      <c r="S5" s="8">
        <v>6.0</v>
      </c>
      <c r="T5" s="9"/>
      <c r="U5" s="8">
        <v>12.0</v>
      </c>
      <c r="V5" s="8">
        <v>8.0</v>
      </c>
      <c r="W5" s="9"/>
      <c r="X5" s="9"/>
      <c r="Y5" s="9"/>
      <c r="Z5" s="9"/>
      <c r="AA5" s="8">
        <v>7.0</v>
      </c>
      <c r="AB5" s="8">
        <v>5.0</v>
      </c>
      <c r="AC5" s="9"/>
      <c r="AD5" s="9"/>
      <c r="AE5" s="8">
        <v>3.0</v>
      </c>
      <c r="AF5" s="9"/>
      <c r="AG5" s="8">
        <v>6.0</v>
      </c>
      <c r="AH5" s="8">
        <v>8.0</v>
      </c>
      <c r="AI5" s="8">
        <v>3.0</v>
      </c>
      <c r="AJ5" s="8">
        <v>5.0</v>
      </c>
      <c r="AK5" s="9"/>
      <c r="AL5" s="9"/>
      <c r="AM5" s="8">
        <v>10.0</v>
      </c>
      <c r="AN5" s="9"/>
      <c r="AO5" s="8">
        <v>3.0</v>
      </c>
      <c r="AP5" s="8">
        <v>12.0</v>
      </c>
      <c r="AQ5" s="9"/>
      <c r="AR5" s="9"/>
      <c r="AS5" s="9"/>
      <c r="AT5" s="8">
        <v>3.0</v>
      </c>
      <c r="AU5" s="8">
        <v>10.0</v>
      </c>
      <c r="AV5" s="8">
        <v>5.0</v>
      </c>
      <c r="AW5" s="9"/>
      <c r="AX5" s="8">
        <v>4.0</v>
      </c>
      <c r="AY5" s="8"/>
      <c r="AZ5" s="8"/>
      <c r="BA5" s="8"/>
      <c r="BB5" s="8"/>
      <c r="BC5" s="8">
        <v>4.0</v>
      </c>
      <c r="BD5" s="8">
        <v>4.0</v>
      </c>
      <c r="BE5" s="8">
        <v>1.0</v>
      </c>
      <c r="BF5" s="8"/>
      <c r="BG5" s="8">
        <v>7.0</v>
      </c>
      <c r="BH5" s="1">
        <f t="shared" si="1"/>
        <v>158</v>
      </c>
      <c r="BI5" s="1">
        <f t="shared" si="2"/>
        <v>27</v>
      </c>
      <c r="BJ5" s="1">
        <f t="shared" si="3"/>
        <v>2</v>
      </c>
    </row>
    <row r="6">
      <c r="A6" s="7" t="s">
        <v>52</v>
      </c>
      <c r="B6" s="8">
        <v>6.0</v>
      </c>
      <c r="C6" s="8"/>
      <c r="D6" s="7"/>
      <c r="E6" s="7"/>
      <c r="F6" s="7"/>
      <c r="G6" s="7"/>
      <c r="H6" s="8">
        <v>2.0</v>
      </c>
      <c r="I6" s="8">
        <v>2.0</v>
      </c>
      <c r="J6" s="8">
        <v>4.0</v>
      </c>
      <c r="K6" s="9"/>
      <c r="L6" s="9"/>
      <c r="M6" s="8"/>
      <c r="N6" s="9"/>
      <c r="O6" s="9"/>
      <c r="P6" s="9"/>
      <c r="Q6" s="8">
        <v>10.0</v>
      </c>
      <c r="R6" s="8">
        <v>6.0</v>
      </c>
      <c r="S6" s="9"/>
      <c r="T6" s="9"/>
      <c r="U6" s="9"/>
      <c r="V6" s="9"/>
      <c r="W6" s="8">
        <v>1.0</v>
      </c>
      <c r="X6" s="8">
        <v>10.0</v>
      </c>
      <c r="Y6" s="8">
        <v>3.0</v>
      </c>
      <c r="Z6" s="9"/>
      <c r="AA6" s="8">
        <v>8.0</v>
      </c>
      <c r="AB6" s="8">
        <v>8.0</v>
      </c>
      <c r="AC6" s="8">
        <v>6.0</v>
      </c>
      <c r="AD6" s="9"/>
      <c r="AE6" s="8">
        <v>2.0</v>
      </c>
      <c r="AF6" s="9"/>
      <c r="AG6" s="8">
        <v>5.0</v>
      </c>
      <c r="AH6" s="8">
        <v>3.0</v>
      </c>
      <c r="AI6" s="8">
        <v>6.0</v>
      </c>
      <c r="AJ6" s="9"/>
      <c r="AK6" s="8">
        <v>6.0</v>
      </c>
      <c r="AL6" s="9"/>
      <c r="AM6" s="9"/>
      <c r="AN6" s="9"/>
      <c r="AO6" s="9"/>
      <c r="AP6" s="9"/>
      <c r="AQ6" s="8">
        <v>3.0</v>
      </c>
      <c r="AR6" s="8">
        <v>3.0</v>
      </c>
      <c r="AS6" s="8">
        <v>7.0</v>
      </c>
      <c r="AT6" s="9"/>
      <c r="AU6" s="9"/>
      <c r="AV6" s="9"/>
      <c r="AW6" s="8">
        <v>4.0</v>
      </c>
      <c r="AX6" s="8">
        <v>5.0</v>
      </c>
      <c r="AY6" s="8"/>
      <c r="AZ6" s="8">
        <v>7.0</v>
      </c>
      <c r="BA6" s="8">
        <v>5.0</v>
      </c>
      <c r="BB6" s="8"/>
      <c r="BC6" s="8">
        <v>10.0</v>
      </c>
      <c r="BD6" s="8"/>
      <c r="BE6" s="8">
        <v>12.0</v>
      </c>
      <c r="BF6" s="8">
        <v>7.0</v>
      </c>
      <c r="BG6" s="8">
        <v>1.0</v>
      </c>
      <c r="BH6" s="1">
        <f t="shared" si="1"/>
        <v>152</v>
      </c>
      <c r="BI6" s="1">
        <f t="shared" si="2"/>
        <v>28</v>
      </c>
      <c r="BJ6" s="1">
        <f t="shared" si="3"/>
        <v>1</v>
      </c>
    </row>
    <row r="7">
      <c r="A7" s="7" t="s">
        <v>20</v>
      </c>
      <c r="B7" s="7"/>
      <c r="C7" s="7"/>
      <c r="D7" s="8">
        <v>12.0</v>
      </c>
      <c r="E7" s="9"/>
      <c r="F7" s="9"/>
      <c r="G7" s="8">
        <v>12.0</v>
      </c>
      <c r="H7" s="8">
        <v>10.0</v>
      </c>
      <c r="I7" s="9"/>
      <c r="J7" s="9"/>
      <c r="K7" s="8">
        <v>7.0</v>
      </c>
      <c r="L7" s="8">
        <v>1.0</v>
      </c>
      <c r="M7" s="8">
        <v>12.0</v>
      </c>
      <c r="N7" s="9"/>
      <c r="O7" s="9"/>
      <c r="P7" s="9"/>
      <c r="Q7" s="8">
        <v>8.0</v>
      </c>
      <c r="R7" s="8">
        <v>5.0</v>
      </c>
      <c r="S7" s="8">
        <v>8.0</v>
      </c>
      <c r="T7" s="8">
        <v>4.0</v>
      </c>
      <c r="U7" s="9"/>
      <c r="V7" s="9"/>
      <c r="W7" s="8">
        <v>12.0</v>
      </c>
      <c r="X7" s="8">
        <v>3.0</v>
      </c>
      <c r="Y7" s="8">
        <v>6.0</v>
      </c>
      <c r="Z7" s="9"/>
      <c r="AA7" s="9"/>
      <c r="AB7" s="8">
        <v>10.0</v>
      </c>
      <c r="AC7" s="9"/>
      <c r="AD7" s="9"/>
      <c r="AE7" s="9"/>
      <c r="AF7" s="9"/>
      <c r="AG7" s="9"/>
      <c r="AH7" s="9"/>
      <c r="AI7" s="9"/>
      <c r="AJ7" s="8">
        <v>2.0</v>
      </c>
      <c r="AK7" s="8">
        <v>2.0</v>
      </c>
      <c r="AL7" s="9"/>
      <c r="AM7" s="9"/>
      <c r="AN7" s="9"/>
      <c r="AO7" s="9"/>
      <c r="AP7" s="8">
        <v>10.0</v>
      </c>
      <c r="AQ7" s="8">
        <v>5.0</v>
      </c>
      <c r="AR7" s="9"/>
      <c r="AS7" s="9"/>
      <c r="AT7" s="9"/>
      <c r="AU7" s="9"/>
      <c r="AV7" s="9"/>
      <c r="AW7" s="8">
        <v>1.0</v>
      </c>
      <c r="AX7" s="9"/>
      <c r="AY7" s="9"/>
      <c r="AZ7" s="9"/>
      <c r="BA7" s="8">
        <v>12.0</v>
      </c>
      <c r="BB7" s="9"/>
      <c r="BC7" s="9"/>
      <c r="BD7" s="9"/>
      <c r="BE7" s="8">
        <v>5.0</v>
      </c>
      <c r="BF7" s="9"/>
      <c r="BG7" s="9"/>
      <c r="BH7" s="1">
        <f t="shared" si="1"/>
        <v>147</v>
      </c>
      <c r="BI7" s="1">
        <f t="shared" si="2"/>
        <v>21</v>
      </c>
      <c r="BJ7" s="1">
        <f t="shared" si="3"/>
        <v>5</v>
      </c>
    </row>
    <row r="8">
      <c r="A8" s="7" t="s">
        <v>7</v>
      </c>
      <c r="B8" s="7"/>
      <c r="C8" s="7"/>
      <c r="D8" s="8">
        <v>5.0</v>
      </c>
      <c r="E8" s="8">
        <v>10.0</v>
      </c>
      <c r="F8" s="9"/>
      <c r="G8" s="9"/>
      <c r="H8" s="8">
        <v>6.0</v>
      </c>
      <c r="I8" s="9"/>
      <c r="J8" s="8">
        <v>10.0</v>
      </c>
      <c r="K8" s="8">
        <v>8.0</v>
      </c>
      <c r="L8" s="9"/>
      <c r="M8" s="9"/>
      <c r="N8" s="9"/>
      <c r="O8" s="8">
        <v>10.0</v>
      </c>
      <c r="P8" s="9"/>
      <c r="Q8" s="9"/>
      <c r="R8" s="9"/>
      <c r="S8" s="9"/>
      <c r="T8" s="9"/>
      <c r="U8" s="8">
        <v>7.0</v>
      </c>
      <c r="V8" s="9"/>
      <c r="W8" s="9"/>
      <c r="X8" s="9"/>
      <c r="Y8" s="8">
        <v>4.0</v>
      </c>
      <c r="Z8" s="8">
        <v>3.0</v>
      </c>
      <c r="AA8" s="9"/>
      <c r="AB8" s="8">
        <v>3.0</v>
      </c>
      <c r="AC8" s="8">
        <v>3.0</v>
      </c>
      <c r="AD8" s="8">
        <v>3.0</v>
      </c>
      <c r="AE8" s="9"/>
      <c r="AF8" s="8">
        <v>12.0</v>
      </c>
      <c r="AG8" s="9"/>
      <c r="AH8" s="9"/>
      <c r="AI8" s="9"/>
      <c r="AJ8" s="9"/>
      <c r="AK8" s="9"/>
      <c r="AL8" s="8">
        <v>10.0</v>
      </c>
      <c r="AM8" s="8">
        <v>6.0</v>
      </c>
      <c r="AN8" s="8">
        <v>7.0</v>
      </c>
      <c r="AO8" s="9"/>
      <c r="AP8" s="9"/>
      <c r="AQ8" s="9"/>
      <c r="AR8" s="9"/>
      <c r="AS8" s="8">
        <v>12.0</v>
      </c>
      <c r="AT8" s="9"/>
      <c r="AU8" s="9"/>
      <c r="AV8" s="8">
        <v>2.0</v>
      </c>
      <c r="AW8" s="9"/>
      <c r="AX8" s="8">
        <v>1.0</v>
      </c>
      <c r="AY8" s="8">
        <v>1.0</v>
      </c>
      <c r="AZ8" s="9"/>
      <c r="BA8" s="8">
        <v>4.0</v>
      </c>
      <c r="BB8" s="9"/>
      <c r="BC8" s="8">
        <v>2.0</v>
      </c>
      <c r="BD8" s="9"/>
      <c r="BE8" s="8">
        <v>8.0</v>
      </c>
      <c r="BF8" s="8">
        <v>1.0</v>
      </c>
      <c r="BG8" s="9"/>
      <c r="BH8" s="1">
        <f t="shared" si="1"/>
        <v>138</v>
      </c>
      <c r="BI8" s="1">
        <f t="shared" si="2"/>
        <v>24</v>
      </c>
      <c r="BJ8" s="1">
        <f t="shared" si="3"/>
        <v>2</v>
      </c>
    </row>
    <row r="9">
      <c r="A9" s="7" t="s">
        <v>0</v>
      </c>
      <c r="B9" s="8"/>
      <c r="C9" s="8">
        <v>1.0</v>
      </c>
      <c r="D9" s="9"/>
      <c r="E9" s="9"/>
      <c r="F9" s="8">
        <v>12.0</v>
      </c>
      <c r="G9" s="8">
        <v>2.0</v>
      </c>
      <c r="H9" s="8">
        <v>8.0</v>
      </c>
      <c r="I9" s="8">
        <v>4.0</v>
      </c>
      <c r="J9" s="9"/>
      <c r="K9" s="8">
        <v>6.0</v>
      </c>
      <c r="L9" s="8">
        <v>5.0</v>
      </c>
      <c r="M9" s="9"/>
      <c r="N9" s="9"/>
      <c r="O9" s="9"/>
      <c r="P9" s="9"/>
      <c r="Q9" s="8">
        <v>12.0</v>
      </c>
      <c r="R9" s="8">
        <v>12.0</v>
      </c>
      <c r="S9" s="9"/>
      <c r="T9" s="8">
        <v>1.0</v>
      </c>
      <c r="U9" s="8">
        <v>1.0</v>
      </c>
      <c r="V9" s="9"/>
      <c r="W9" s="9"/>
      <c r="X9" s="9"/>
      <c r="Y9" s="9"/>
      <c r="Z9" s="8">
        <v>7.0</v>
      </c>
      <c r="AA9" s="9"/>
      <c r="AB9" s="9"/>
      <c r="AC9" s="9"/>
      <c r="AD9" s="9"/>
      <c r="AE9" s="8">
        <v>7.0</v>
      </c>
      <c r="AF9" s="9"/>
      <c r="AG9" s="9"/>
      <c r="AH9" s="8">
        <v>7.0</v>
      </c>
      <c r="AI9" s="8">
        <v>5.0</v>
      </c>
      <c r="AJ9" s="8">
        <v>3.0</v>
      </c>
      <c r="AK9" s="9"/>
      <c r="AL9" s="8">
        <v>6.0</v>
      </c>
      <c r="AM9" s="9"/>
      <c r="AN9" s="9"/>
      <c r="AO9" s="8">
        <v>2.0</v>
      </c>
      <c r="AP9" s="9"/>
      <c r="AQ9" s="9"/>
      <c r="AR9" s="8">
        <v>6.0</v>
      </c>
      <c r="AS9" s="9"/>
      <c r="AT9" s="9"/>
      <c r="AU9" s="9"/>
      <c r="AV9" s="9"/>
      <c r="AW9" s="8">
        <v>8.0</v>
      </c>
      <c r="AX9" s="9"/>
      <c r="AY9" s="8">
        <v>3.0</v>
      </c>
      <c r="AZ9" s="8">
        <v>8.0</v>
      </c>
      <c r="BA9" s="9"/>
      <c r="BB9" s="9"/>
      <c r="BC9" s="9"/>
      <c r="BD9" s="8">
        <v>12.0</v>
      </c>
      <c r="BE9" s="9"/>
      <c r="BF9" s="9"/>
      <c r="BG9" s="9"/>
      <c r="BH9" s="1">
        <f t="shared" si="1"/>
        <v>138</v>
      </c>
      <c r="BI9" s="1">
        <f t="shared" si="2"/>
        <v>23</v>
      </c>
      <c r="BJ9" s="1">
        <f t="shared" si="3"/>
        <v>4</v>
      </c>
    </row>
    <row r="10">
      <c r="A10" s="7" t="s">
        <v>61</v>
      </c>
      <c r="B10" s="8"/>
      <c r="C10" s="8">
        <v>12.0</v>
      </c>
      <c r="D10" s="8">
        <v>2.0</v>
      </c>
      <c r="E10" s="9"/>
      <c r="F10" s="8">
        <v>6.0</v>
      </c>
      <c r="G10" s="8">
        <v>7.0</v>
      </c>
      <c r="H10" s="8">
        <v>1.0</v>
      </c>
      <c r="I10" s="9"/>
      <c r="J10" s="9"/>
      <c r="K10" s="8">
        <v>4.0</v>
      </c>
      <c r="L10" s="8">
        <v>12.0</v>
      </c>
      <c r="M10" s="9"/>
      <c r="N10" s="9"/>
      <c r="O10" s="9"/>
      <c r="P10" s="9"/>
      <c r="Q10" s="9"/>
      <c r="R10" s="9"/>
      <c r="S10" s="9"/>
      <c r="T10" s="9"/>
      <c r="U10" s="8">
        <v>4.0</v>
      </c>
      <c r="V10" s="9"/>
      <c r="W10" s="9"/>
      <c r="X10" s="9"/>
      <c r="Y10" s="9"/>
      <c r="Z10" s="8">
        <v>5.0</v>
      </c>
      <c r="AA10" s="9"/>
      <c r="AB10" s="9"/>
      <c r="AC10" s="9"/>
      <c r="AD10" s="9"/>
      <c r="AE10" s="9"/>
      <c r="AF10" s="9"/>
      <c r="AG10" s="8">
        <v>4.0</v>
      </c>
      <c r="AH10" s="9"/>
      <c r="AI10" s="8">
        <v>7.0</v>
      </c>
      <c r="AJ10" s="9"/>
      <c r="AK10" s="8">
        <v>7.0</v>
      </c>
      <c r="AL10" s="8">
        <v>5.0</v>
      </c>
      <c r="AM10" s="8">
        <v>4.0</v>
      </c>
      <c r="AN10" s="9"/>
      <c r="AO10" s="8">
        <v>7.0</v>
      </c>
      <c r="AP10" s="9"/>
      <c r="AQ10" s="9"/>
      <c r="AR10" s="9"/>
      <c r="AS10" s="9"/>
      <c r="AT10" s="8">
        <v>5.0</v>
      </c>
      <c r="AU10" s="8">
        <v>8.0</v>
      </c>
      <c r="AV10" s="9"/>
      <c r="AW10" s="9"/>
      <c r="AX10" s="8">
        <v>10.0</v>
      </c>
      <c r="AY10" s="8">
        <v>6.0</v>
      </c>
      <c r="AZ10" s="8"/>
      <c r="BA10" s="8">
        <v>7.0</v>
      </c>
      <c r="BB10" s="8"/>
      <c r="BC10" s="8">
        <v>5.0</v>
      </c>
      <c r="BD10" s="8"/>
      <c r="BE10" s="8"/>
      <c r="BF10" s="8"/>
      <c r="BG10" s="8">
        <v>6.0</v>
      </c>
      <c r="BH10" s="1">
        <f t="shared" si="1"/>
        <v>134</v>
      </c>
      <c r="BI10" s="1">
        <f t="shared" si="2"/>
        <v>22</v>
      </c>
      <c r="BJ10" s="1">
        <f t="shared" si="3"/>
        <v>2</v>
      </c>
    </row>
    <row r="11">
      <c r="A11" s="7" t="s">
        <v>62</v>
      </c>
      <c r="B11" s="8"/>
      <c r="C11" s="8">
        <v>6.0</v>
      </c>
      <c r="D11" s="9"/>
      <c r="E11" s="9"/>
      <c r="F11" s="8">
        <v>2.0</v>
      </c>
      <c r="G11" s="9"/>
      <c r="H11" s="9"/>
      <c r="I11" s="9"/>
      <c r="J11" s="9"/>
      <c r="K11" s="9"/>
      <c r="L11" s="9"/>
      <c r="M11" s="8">
        <v>1.0</v>
      </c>
      <c r="N11" s="8">
        <v>2.0</v>
      </c>
      <c r="O11" s="9"/>
      <c r="P11" s="8">
        <v>6.0</v>
      </c>
      <c r="Q11" s="8">
        <v>1.0</v>
      </c>
      <c r="R11" s="9"/>
      <c r="S11" s="9"/>
      <c r="T11" s="9"/>
      <c r="U11" s="9"/>
      <c r="V11" s="9"/>
      <c r="W11" s="8">
        <v>3.0</v>
      </c>
      <c r="X11" s="8">
        <v>4.0</v>
      </c>
      <c r="Y11" s="9"/>
      <c r="Z11" s="8">
        <v>1.0</v>
      </c>
      <c r="AA11" s="8">
        <v>1.0</v>
      </c>
      <c r="AB11" s="9"/>
      <c r="AC11" s="8">
        <v>5.0</v>
      </c>
      <c r="AD11" s="8">
        <v>4.0</v>
      </c>
      <c r="AE11" s="8">
        <v>8.0</v>
      </c>
      <c r="AF11" s="8">
        <v>10.0</v>
      </c>
      <c r="AG11" s="8">
        <v>2.0</v>
      </c>
      <c r="AH11" s="9"/>
      <c r="AI11" s="9"/>
      <c r="AJ11" s="8">
        <v>7.0</v>
      </c>
      <c r="AK11" s="8">
        <v>5.0</v>
      </c>
      <c r="AL11" s="8">
        <v>1.0</v>
      </c>
      <c r="AM11" s="9"/>
      <c r="AN11" s="9"/>
      <c r="AO11" s="9"/>
      <c r="AP11" s="8">
        <v>4.0</v>
      </c>
      <c r="AQ11" s="8">
        <v>10.0</v>
      </c>
      <c r="AR11" s="9"/>
      <c r="AS11" s="8">
        <v>8.0</v>
      </c>
      <c r="AT11" s="9"/>
      <c r="AU11" s="8">
        <v>4.0</v>
      </c>
      <c r="AV11" s="8">
        <v>10.0</v>
      </c>
      <c r="AW11" s="9"/>
      <c r="AX11" s="8">
        <v>7.0</v>
      </c>
      <c r="AY11" s="8">
        <v>12.0</v>
      </c>
      <c r="AZ11" s="8">
        <v>3.0</v>
      </c>
      <c r="BA11" s="9"/>
      <c r="BB11" s="9"/>
      <c r="BC11" s="9"/>
      <c r="BD11" s="9"/>
      <c r="BE11" s="9"/>
      <c r="BF11" s="9"/>
      <c r="BG11" s="9"/>
      <c r="BH11" s="1">
        <f t="shared" si="1"/>
        <v>127</v>
      </c>
      <c r="BI11" s="1">
        <f t="shared" si="2"/>
        <v>26</v>
      </c>
      <c r="BJ11" s="1">
        <f t="shared" si="3"/>
        <v>1</v>
      </c>
    </row>
    <row r="12">
      <c r="A12" s="7" t="s">
        <v>36</v>
      </c>
      <c r="B12" s="7"/>
      <c r="C12" s="7"/>
      <c r="D12" s="8">
        <v>4.0</v>
      </c>
      <c r="E12" s="8">
        <v>6.0</v>
      </c>
      <c r="F12" s="8">
        <v>7.0</v>
      </c>
      <c r="G12" s="9"/>
      <c r="H12" s="8">
        <v>3.0</v>
      </c>
      <c r="I12" s="8">
        <v>8.0</v>
      </c>
      <c r="J12" s="8">
        <v>8.0</v>
      </c>
      <c r="K12" s="8">
        <v>2.0</v>
      </c>
      <c r="L12" s="8">
        <v>4.0</v>
      </c>
      <c r="M12" s="9"/>
      <c r="N12" s="9"/>
      <c r="O12" s="8">
        <v>3.0</v>
      </c>
      <c r="P12" s="8">
        <v>7.0</v>
      </c>
      <c r="Q12" s="9"/>
      <c r="R12" s="8">
        <v>4.0</v>
      </c>
      <c r="S12" s="9"/>
      <c r="T12" s="9"/>
      <c r="U12" s="9"/>
      <c r="V12" s="8">
        <v>5.0</v>
      </c>
      <c r="W12" s="9"/>
      <c r="X12" s="9"/>
      <c r="Y12" s="9"/>
      <c r="Z12" s="9"/>
      <c r="AA12" s="9"/>
      <c r="AB12" s="8">
        <v>4.0</v>
      </c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8">
        <v>12.0</v>
      </c>
      <c r="AN12" s="8">
        <v>3.0</v>
      </c>
      <c r="AO12" s="9"/>
      <c r="AP12" s="8">
        <v>2.0</v>
      </c>
      <c r="AQ12" s="8">
        <v>2.0</v>
      </c>
      <c r="AR12" s="8">
        <v>12.0</v>
      </c>
      <c r="AS12" s="9"/>
      <c r="AT12" s="9"/>
      <c r="AU12" s="9"/>
      <c r="AV12" s="9"/>
      <c r="AW12" s="9"/>
      <c r="AX12" s="9"/>
      <c r="AY12" s="8"/>
      <c r="AZ12" s="8"/>
      <c r="BA12" s="8"/>
      <c r="BB12" s="8"/>
      <c r="BC12" s="8">
        <v>12.0</v>
      </c>
      <c r="BD12" s="8"/>
      <c r="BE12" s="8">
        <v>6.0</v>
      </c>
      <c r="BF12" s="8">
        <v>10.0</v>
      </c>
      <c r="BG12" s="8">
        <v>3.0</v>
      </c>
      <c r="BH12" s="1">
        <f t="shared" si="1"/>
        <v>127</v>
      </c>
      <c r="BI12" s="1">
        <f t="shared" si="2"/>
        <v>22</v>
      </c>
      <c r="BJ12" s="1">
        <f t="shared" si="3"/>
        <v>3</v>
      </c>
    </row>
    <row r="13">
      <c r="A13" s="7" t="s">
        <v>47</v>
      </c>
      <c r="B13" s="8">
        <v>12.0</v>
      </c>
      <c r="C13" s="8">
        <v>4.0</v>
      </c>
      <c r="D13" s="8">
        <v>3.0</v>
      </c>
      <c r="E13" s="9"/>
      <c r="F13" s="9"/>
      <c r="G13" s="9"/>
      <c r="H13" s="9"/>
      <c r="I13" s="8">
        <v>7.0</v>
      </c>
      <c r="J13" s="9"/>
      <c r="K13" s="9"/>
      <c r="L13" s="8">
        <v>10.0</v>
      </c>
      <c r="M13" s="9"/>
      <c r="N13" s="9"/>
      <c r="O13" s="8">
        <v>8.0</v>
      </c>
      <c r="P13" s="9"/>
      <c r="Q13" s="9"/>
      <c r="R13" s="9"/>
      <c r="S13" s="9"/>
      <c r="T13" s="8">
        <v>12.0</v>
      </c>
      <c r="U13" s="9"/>
      <c r="V13" s="8">
        <v>3.0</v>
      </c>
      <c r="W13" s="8">
        <v>10.0</v>
      </c>
      <c r="X13" s="9"/>
      <c r="Y13" s="9"/>
      <c r="Z13" s="8">
        <v>12.0</v>
      </c>
      <c r="AA13" s="9"/>
      <c r="AB13" s="9"/>
      <c r="AC13" s="9"/>
      <c r="AD13" s="8">
        <v>6.0</v>
      </c>
      <c r="AE13" s="9"/>
      <c r="AF13" s="9"/>
      <c r="AG13" s="9"/>
      <c r="AH13" s="9"/>
      <c r="AI13" s="9"/>
      <c r="AJ13" s="9"/>
      <c r="AK13" s="9"/>
      <c r="AL13" s="8">
        <v>4.0</v>
      </c>
      <c r="AM13" s="8">
        <v>1.0</v>
      </c>
      <c r="AN13" s="8">
        <v>5.0</v>
      </c>
      <c r="AO13" s="8">
        <v>6.0</v>
      </c>
      <c r="AP13" s="9"/>
      <c r="AQ13" s="9"/>
      <c r="AR13" s="9"/>
      <c r="AS13" s="9"/>
      <c r="AT13" s="9"/>
      <c r="AU13" s="8">
        <v>3.0</v>
      </c>
      <c r="AV13" s="9"/>
      <c r="AW13" s="9"/>
      <c r="AX13" s="9"/>
      <c r="AY13" s="9"/>
      <c r="AZ13" s="8">
        <v>5.0</v>
      </c>
      <c r="BA13" s="9"/>
      <c r="BB13" s="9"/>
      <c r="BC13" s="9"/>
      <c r="BD13" s="8">
        <v>10.0</v>
      </c>
      <c r="BE13" s="9"/>
      <c r="BF13" s="8">
        <v>5.0</v>
      </c>
      <c r="BG13" s="9"/>
      <c r="BH13" s="1">
        <f t="shared" si="1"/>
        <v>126</v>
      </c>
      <c r="BI13" s="1">
        <f t="shared" si="2"/>
        <v>19</v>
      </c>
      <c r="BJ13" s="1">
        <f t="shared" si="3"/>
        <v>3</v>
      </c>
    </row>
    <row r="14">
      <c r="A14" s="7" t="s">
        <v>33</v>
      </c>
      <c r="B14" s="8">
        <v>10.0</v>
      </c>
      <c r="C14" s="7"/>
      <c r="D14" s="8">
        <v>1.0</v>
      </c>
      <c r="E14" s="8">
        <v>8.0</v>
      </c>
      <c r="F14" s="8">
        <v>4.0</v>
      </c>
      <c r="G14" s="9"/>
      <c r="H14" s="9"/>
      <c r="I14" s="9"/>
      <c r="J14" s="9"/>
      <c r="K14" s="9"/>
      <c r="L14" s="9"/>
      <c r="M14" s="8">
        <v>6.0</v>
      </c>
      <c r="N14" s="8">
        <v>8.0</v>
      </c>
      <c r="O14" s="9"/>
      <c r="P14" s="8">
        <v>12.0</v>
      </c>
      <c r="Q14" s="9"/>
      <c r="R14" s="9"/>
      <c r="S14" s="8">
        <v>4.0</v>
      </c>
      <c r="T14" s="8">
        <v>3.0</v>
      </c>
      <c r="U14" s="9"/>
      <c r="V14" s="8">
        <v>2.0</v>
      </c>
      <c r="W14" s="9"/>
      <c r="X14" s="9"/>
      <c r="Y14" s="9"/>
      <c r="Z14" s="9"/>
      <c r="AA14" s="9"/>
      <c r="AB14" s="9"/>
      <c r="AC14" s="9"/>
      <c r="AD14" s="9"/>
      <c r="AE14" s="9"/>
      <c r="AF14" s="8">
        <v>4.0</v>
      </c>
      <c r="AG14" s="8">
        <v>12.0</v>
      </c>
      <c r="AH14" s="8">
        <v>1.0</v>
      </c>
      <c r="AI14" s="9"/>
      <c r="AJ14" s="9"/>
      <c r="AK14" s="8">
        <v>8.0</v>
      </c>
      <c r="AL14" s="8">
        <v>8.0</v>
      </c>
      <c r="AM14" s="9"/>
      <c r="AN14" s="9"/>
      <c r="AO14" s="8">
        <v>4.0</v>
      </c>
      <c r="AP14" s="9"/>
      <c r="AQ14" s="9"/>
      <c r="AR14" s="9"/>
      <c r="AS14" s="8">
        <v>2.0</v>
      </c>
      <c r="AT14" s="9"/>
      <c r="AU14" s="9"/>
      <c r="AV14" s="8">
        <v>3.0</v>
      </c>
      <c r="AW14" s="8">
        <v>6.0</v>
      </c>
      <c r="AX14" s="8">
        <v>3.0</v>
      </c>
      <c r="AY14" s="9"/>
      <c r="AZ14" s="9"/>
      <c r="BA14" s="9"/>
      <c r="BB14" s="8">
        <v>4.0</v>
      </c>
      <c r="BC14" s="8">
        <v>8.0</v>
      </c>
      <c r="BD14" s="9"/>
      <c r="BE14" s="9"/>
      <c r="BF14" s="9"/>
      <c r="BG14" s="9"/>
      <c r="BH14" s="1">
        <f t="shared" si="1"/>
        <v>121</v>
      </c>
      <c r="BI14" s="1">
        <f t="shared" si="2"/>
        <v>22</v>
      </c>
      <c r="BJ14" s="1">
        <f t="shared" si="3"/>
        <v>2</v>
      </c>
    </row>
    <row r="15">
      <c r="A15" s="7" t="s">
        <v>2</v>
      </c>
      <c r="B15" s="8"/>
      <c r="C15" s="8">
        <v>3.0</v>
      </c>
      <c r="D15" s="9"/>
      <c r="E15" s="9"/>
      <c r="F15" s="8">
        <v>5.0</v>
      </c>
      <c r="G15" s="9"/>
      <c r="H15" s="9"/>
      <c r="I15" s="8">
        <v>12.0</v>
      </c>
      <c r="J15" s="8">
        <v>1.0</v>
      </c>
      <c r="K15" s="9"/>
      <c r="L15" s="9"/>
      <c r="M15" s="9"/>
      <c r="N15" s="8">
        <v>6.0</v>
      </c>
      <c r="O15" s="8">
        <v>12.0</v>
      </c>
      <c r="P15" s="9"/>
      <c r="Q15" s="9"/>
      <c r="R15" s="9"/>
      <c r="S15" s="8">
        <v>7.0</v>
      </c>
      <c r="T15" s="9"/>
      <c r="U15" s="9"/>
      <c r="V15" s="9"/>
      <c r="W15" s="8">
        <v>5.0</v>
      </c>
      <c r="X15" s="9"/>
      <c r="Y15" s="8">
        <v>8.0</v>
      </c>
      <c r="Z15" s="9"/>
      <c r="AA15" s="8">
        <v>3.0</v>
      </c>
      <c r="AB15" s="8">
        <v>6.0</v>
      </c>
      <c r="AC15" s="9"/>
      <c r="AD15" s="9"/>
      <c r="AE15" s="9"/>
      <c r="AF15" s="8">
        <v>3.0</v>
      </c>
      <c r="AG15" s="9"/>
      <c r="AH15" s="8">
        <v>4.0</v>
      </c>
      <c r="AI15" s="9"/>
      <c r="AJ15" s="9"/>
      <c r="AK15" s="9"/>
      <c r="AL15" s="8">
        <v>7.0</v>
      </c>
      <c r="AM15" s="9"/>
      <c r="AN15" s="9"/>
      <c r="AO15" s="9"/>
      <c r="AP15" s="9"/>
      <c r="AQ15" s="9"/>
      <c r="AR15" s="9"/>
      <c r="AS15" s="8">
        <v>3.0</v>
      </c>
      <c r="AT15" s="9"/>
      <c r="AU15" s="8">
        <v>7.0</v>
      </c>
      <c r="AV15" s="8">
        <v>6.0</v>
      </c>
      <c r="AW15" s="9"/>
      <c r="AX15" s="9"/>
      <c r="AY15" s="8"/>
      <c r="AZ15" s="8"/>
      <c r="BA15" s="8">
        <v>8.0</v>
      </c>
      <c r="BB15" s="8"/>
      <c r="BC15" s="8"/>
      <c r="BD15" s="8"/>
      <c r="BE15" s="8">
        <v>2.0</v>
      </c>
      <c r="BF15" s="8">
        <v>2.0</v>
      </c>
      <c r="BG15" s="8">
        <v>10.0</v>
      </c>
      <c r="BH15" s="1">
        <f t="shared" si="1"/>
        <v>120</v>
      </c>
      <c r="BI15" s="1">
        <f t="shared" si="2"/>
        <v>21</v>
      </c>
      <c r="BJ15" s="1">
        <f t="shared" si="3"/>
        <v>2</v>
      </c>
    </row>
    <row r="16">
      <c r="A16" s="7" t="s">
        <v>29</v>
      </c>
      <c r="B16" s="7"/>
      <c r="C16" s="7"/>
      <c r="D16" s="7"/>
      <c r="E16" s="8">
        <v>4.0</v>
      </c>
      <c r="F16" s="9"/>
      <c r="G16" s="9"/>
      <c r="H16" s="9"/>
      <c r="I16" s="9"/>
      <c r="J16" s="8">
        <v>7.0</v>
      </c>
      <c r="K16" s="8">
        <v>3.0</v>
      </c>
      <c r="L16" s="9"/>
      <c r="M16" s="9"/>
      <c r="N16" s="9"/>
      <c r="O16" s="8">
        <v>5.0</v>
      </c>
      <c r="P16" s="8">
        <v>4.0</v>
      </c>
      <c r="Q16" s="8">
        <v>2.0</v>
      </c>
      <c r="R16" s="8">
        <v>10.0</v>
      </c>
      <c r="S16" s="9"/>
      <c r="T16" s="9"/>
      <c r="U16" s="8">
        <v>6.0</v>
      </c>
      <c r="V16" s="8">
        <v>6.0</v>
      </c>
      <c r="W16" s="9"/>
      <c r="X16" s="9"/>
      <c r="Y16" s="8">
        <v>5.0</v>
      </c>
      <c r="Z16" s="9"/>
      <c r="AA16" s="8">
        <v>6.0</v>
      </c>
      <c r="AB16" s="8">
        <v>2.0</v>
      </c>
      <c r="AC16" s="9"/>
      <c r="AD16" s="9"/>
      <c r="AE16" s="9"/>
      <c r="AF16" s="8">
        <v>5.0</v>
      </c>
      <c r="AG16" s="9"/>
      <c r="AH16" s="9"/>
      <c r="AI16" s="9"/>
      <c r="AJ16" s="9"/>
      <c r="AK16" s="9"/>
      <c r="AL16" s="9"/>
      <c r="AM16" s="8">
        <v>3.0</v>
      </c>
      <c r="AN16" s="9"/>
      <c r="AO16" s="9"/>
      <c r="AP16" s="8">
        <v>5.0</v>
      </c>
      <c r="AQ16" s="8">
        <v>4.0</v>
      </c>
      <c r="AR16" s="8">
        <v>1.0</v>
      </c>
      <c r="AS16" s="8">
        <v>4.0</v>
      </c>
      <c r="AT16" s="9"/>
      <c r="AU16" s="9"/>
      <c r="AV16" s="8">
        <v>12.0</v>
      </c>
      <c r="AW16" s="8">
        <v>7.0</v>
      </c>
      <c r="AX16" s="8">
        <v>8.0</v>
      </c>
      <c r="AY16" s="9"/>
      <c r="AZ16" s="9"/>
      <c r="BA16" s="8">
        <v>6.0</v>
      </c>
      <c r="BB16" s="9"/>
      <c r="BC16" s="9"/>
      <c r="BD16" s="9"/>
      <c r="BE16" s="8">
        <v>4.0</v>
      </c>
      <c r="BF16" s="9"/>
      <c r="BG16" s="9"/>
      <c r="BH16" s="1">
        <f t="shared" si="1"/>
        <v>119</v>
      </c>
      <c r="BI16" s="1">
        <f t="shared" si="2"/>
        <v>23</v>
      </c>
      <c r="BJ16" s="1">
        <f t="shared" si="3"/>
        <v>1</v>
      </c>
    </row>
    <row r="17">
      <c r="A17" s="7" t="s">
        <v>27</v>
      </c>
      <c r="B17" s="7"/>
      <c r="C17" s="7"/>
      <c r="D17" s="7"/>
      <c r="E17" s="8">
        <v>5.0</v>
      </c>
      <c r="F17" s="9"/>
      <c r="G17" s="9"/>
      <c r="H17" s="9"/>
      <c r="I17" s="8">
        <v>3.0</v>
      </c>
      <c r="J17" s="9"/>
      <c r="K17" s="9"/>
      <c r="L17" s="9"/>
      <c r="M17" s="9"/>
      <c r="N17" s="9"/>
      <c r="O17" s="9"/>
      <c r="P17" s="8">
        <v>3.0</v>
      </c>
      <c r="Q17" s="8">
        <v>4.0</v>
      </c>
      <c r="R17" s="8">
        <v>1.0</v>
      </c>
      <c r="S17" s="9"/>
      <c r="T17" s="9"/>
      <c r="U17" s="8">
        <v>3.0</v>
      </c>
      <c r="V17" s="8">
        <v>1.0</v>
      </c>
      <c r="W17" s="9"/>
      <c r="X17" s="8">
        <v>7.0</v>
      </c>
      <c r="Y17" s="9"/>
      <c r="Z17" s="9"/>
      <c r="AA17" s="8">
        <v>12.0</v>
      </c>
      <c r="AB17" s="9"/>
      <c r="AC17" s="9"/>
      <c r="AD17" s="9"/>
      <c r="AE17" s="8">
        <v>6.0</v>
      </c>
      <c r="AF17" s="9"/>
      <c r="AG17" s="8">
        <v>8.0</v>
      </c>
      <c r="AH17" s="8">
        <v>5.0</v>
      </c>
      <c r="AI17" s="8">
        <v>10.0</v>
      </c>
      <c r="AJ17" s="9"/>
      <c r="AK17" s="8">
        <v>3.0</v>
      </c>
      <c r="AL17" s="8">
        <v>12.0</v>
      </c>
      <c r="AM17" s="9"/>
      <c r="AN17" s="8"/>
      <c r="AO17" s="8">
        <v>5.0</v>
      </c>
      <c r="AP17" s="9"/>
      <c r="AQ17" s="9"/>
      <c r="AR17" s="9"/>
      <c r="AS17" s="9"/>
      <c r="AT17" s="9"/>
      <c r="AU17" s="8">
        <v>1.0</v>
      </c>
      <c r="AV17" s="9"/>
      <c r="AW17" s="9"/>
      <c r="AX17" s="9"/>
      <c r="AY17" s="8"/>
      <c r="AZ17" s="8"/>
      <c r="BA17" s="8">
        <v>2.0</v>
      </c>
      <c r="BB17" s="8">
        <v>5.0</v>
      </c>
      <c r="BC17" s="8">
        <v>7.0</v>
      </c>
      <c r="BD17" s="8"/>
      <c r="BE17" s="8"/>
      <c r="BF17" s="8"/>
      <c r="BG17" s="8">
        <v>12.0</v>
      </c>
      <c r="BH17" s="1">
        <f t="shared" si="1"/>
        <v>115</v>
      </c>
      <c r="BI17" s="1">
        <f t="shared" si="2"/>
        <v>21</v>
      </c>
      <c r="BJ17" s="1">
        <f t="shared" si="3"/>
        <v>3</v>
      </c>
    </row>
    <row r="18">
      <c r="A18" s="7" t="s">
        <v>49</v>
      </c>
      <c r="B18" s="8">
        <v>5.0</v>
      </c>
      <c r="C18" s="8">
        <v>7.0</v>
      </c>
      <c r="D18" s="9"/>
      <c r="E18" s="9"/>
      <c r="F18" s="9"/>
      <c r="G18" s="9"/>
      <c r="H18" s="9"/>
      <c r="I18" s="9"/>
      <c r="J18" s="9"/>
      <c r="K18" s="9"/>
      <c r="L18" s="9"/>
      <c r="M18" s="8">
        <v>7.0</v>
      </c>
      <c r="N18" s="9"/>
      <c r="O18" s="8">
        <v>6.0</v>
      </c>
      <c r="P18" s="9"/>
      <c r="Q18" s="9"/>
      <c r="R18" s="9"/>
      <c r="S18" s="9"/>
      <c r="T18" s="8">
        <v>7.0</v>
      </c>
      <c r="U18" s="9"/>
      <c r="V18" s="8">
        <v>10.0</v>
      </c>
      <c r="W18" s="9"/>
      <c r="X18" s="9"/>
      <c r="Y18" s="9"/>
      <c r="Z18" s="9"/>
      <c r="AA18" s="9"/>
      <c r="AB18" s="9"/>
      <c r="AC18" s="8">
        <v>4.0</v>
      </c>
      <c r="AD18" s="8">
        <v>7.0</v>
      </c>
      <c r="AE18" s="9"/>
      <c r="AF18" s="8">
        <v>1.0</v>
      </c>
      <c r="AG18" s="8">
        <v>1.0</v>
      </c>
      <c r="AH18" s="9"/>
      <c r="AI18" s="8">
        <v>4.0</v>
      </c>
      <c r="AJ18" s="8">
        <v>8.0</v>
      </c>
      <c r="AK18" s="8">
        <v>12.0</v>
      </c>
      <c r="AL18" s="9"/>
      <c r="AM18" s="9"/>
      <c r="AN18" s="9"/>
      <c r="AO18" s="9"/>
      <c r="AP18" s="9"/>
      <c r="AQ18" s="9"/>
      <c r="AR18" s="9"/>
      <c r="AS18" s="8">
        <v>5.0</v>
      </c>
      <c r="AT18" s="8">
        <v>12.0</v>
      </c>
      <c r="AU18" s="9"/>
      <c r="AV18" s="8">
        <v>7.0</v>
      </c>
      <c r="AW18" s="9"/>
      <c r="AX18" s="8">
        <v>6.0</v>
      </c>
      <c r="AY18" s="9"/>
      <c r="AZ18" s="9"/>
      <c r="BA18" s="9"/>
      <c r="BB18" s="8">
        <v>3.0</v>
      </c>
      <c r="BC18" s="9"/>
      <c r="BD18" s="9"/>
      <c r="BE18" s="9"/>
      <c r="BF18" s="9"/>
      <c r="BG18" s="9"/>
      <c r="BH18" s="1">
        <f t="shared" si="1"/>
        <v>112</v>
      </c>
      <c r="BI18" s="1">
        <f t="shared" si="2"/>
        <v>18</v>
      </c>
      <c r="BJ18" s="1">
        <f t="shared" si="3"/>
        <v>2</v>
      </c>
    </row>
    <row r="19">
      <c r="A19" s="7" t="s">
        <v>4</v>
      </c>
      <c r="B19" s="8">
        <v>2.0</v>
      </c>
      <c r="C19" s="7"/>
      <c r="D19" s="7"/>
      <c r="E19" s="7"/>
      <c r="F19" s="7"/>
      <c r="G19" s="7"/>
      <c r="H19" s="7"/>
      <c r="I19" s="8">
        <v>5.0</v>
      </c>
      <c r="J19" s="9"/>
      <c r="K19" s="9"/>
      <c r="L19" s="9"/>
      <c r="M19" s="9"/>
      <c r="N19" s="8">
        <v>12.0</v>
      </c>
      <c r="O19" s="9"/>
      <c r="P19" s="8">
        <v>2.0</v>
      </c>
      <c r="Q19" s="9"/>
      <c r="R19" s="9"/>
      <c r="S19" s="9"/>
      <c r="T19" s="9"/>
      <c r="U19" s="9"/>
      <c r="V19" s="9"/>
      <c r="W19" s="9"/>
      <c r="X19" s="8">
        <v>5.0</v>
      </c>
      <c r="Y19" s="9"/>
      <c r="Z19" s="8">
        <v>4.0</v>
      </c>
      <c r="AA19" s="8">
        <v>4.0</v>
      </c>
      <c r="AB19" s="9"/>
      <c r="AC19" s="9"/>
      <c r="AD19" s="9"/>
      <c r="AE19" s="9"/>
      <c r="AF19" s="9"/>
      <c r="AG19" s="8">
        <v>7.0</v>
      </c>
      <c r="AH19" s="8">
        <v>10.0</v>
      </c>
      <c r="AI19" s="8">
        <v>8.0</v>
      </c>
      <c r="AJ19" s="9"/>
      <c r="AK19" s="8">
        <v>4.0</v>
      </c>
      <c r="AL19" s="9"/>
      <c r="AM19" s="9"/>
      <c r="AN19" s="9"/>
      <c r="AO19" s="8">
        <v>1.0</v>
      </c>
      <c r="AP19" s="9"/>
      <c r="AQ19" s="8">
        <v>8.0</v>
      </c>
      <c r="AR19" s="9"/>
      <c r="AS19" s="9"/>
      <c r="AT19" s="9"/>
      <c r="AU19" s="8">
        <v>5.0</v>
      </c>
      <c r="AV19" s="9"/>
      <c r="AW19" s="9"/>
      <c r="AX19" s="9"/>
      <c r="AY19" s="8">
        <v>8.0</v>
      </c>
      <c r="AZ19" s="8">
        <v>1.0</v>
      </c>
      <c r="BA19" s="9"/>
      <c r="BB19" s="8">
        <v>7.0</v>
      </c>
      <c r="BC19" s="8">
        <v>1.0</v>
      </c>
      <c r="BD19" s="8">
        <v>7.0</v>
      </c>
      <c r="BE19" s="9"/>
      <c r="BF19" s="8">
        <v>6.0</v>
      </c>
      <c r="BG19" s="9"/>
      <c r="BH19" s="1">
        <f t="shared" si="1"/>
        <v>107</v>
      </c>
      <c r="BI19" s="1">
        <f t="shared" si="2"/>
        <v>20</v>
      </c>
      <c r="BJ19" s="1">
        <f t="shared" si="3"/>
        <v>1</v>
      </c>
    </row>
    <row r="20">
      <c r="A20" s="7" t="s">
        <v>41</v>
      </c>
      <c r="B20" s="8"/>
      <c r="C20" s="8">
        <v>2.0</v>
      </c>
      <c r="D20" s="9"/>
      <c r="E20" s="9"/>
      <c r="F20" s="8">
        <v>3.0</v>
      </c>
      <c r="G20" s="9"/>
      <c r="H20" s="9"/>
      <c r="I20" s="8">
        <v>10.0</v>
      </c>
      <c r="J20" s="9"/>
      <c r="K20" s="9"/>
      <c r="L20" s="9"/>
      <c r="M20" s="9"/>
      <c r="N20" s="8">
        <v>3.0</v>
      </c>
      <c r="O20" s="8">
        <v>7.0</v>
      </c>
      <c r="P20" s="9"/>
      <c r="Q20" s="9"/>
      <c r="R20" s="8">
        <v>2.0</v>
      </c>
      <c r="S20" s="8">
        <v>2.0</v>
      </c>
      <c r="T20" s="9"/>
      <c r="U20" s="9"/>
      <c r="V20" s="9"/>
      <c r="W20" s="8">
        <v>2.0</v>
      </c>
      <c r="X20" s="8">
        <v>6.0</v>
      </c>
      <c r="Y20" s="9"/>
      <c r="Z20" s="8">
        <v>6.0</v>
      </c>
      <c r="AA20" s="9"/>
      <c r="AB20" s="9"/>
      <c r="AC20" s="9"/>
      <c r="AD20" s="8">
        <v>2.0</v>
      </c>
      <c r="AE20" s="8">
        <v>12.0</v>
      </c>
      <c r="AF20" s="8">
        <v>6.0</v>
      </c>
      <c r="AG20" s="9"/>
      <c r="AH20" s="9"/>
      <c r="AI20" s="9"/>
      <c r="AJ20" s="8">
        <v>4.0</v>
      </c>
      <c r="AK20" s="9"/>
      <c r="AL20" s="9"/>
      <c r="AM20" s="9"/>
      <c r="AN20" s="9"/>
      <c r="AO20" s="9"/>
      <c r="AP20" s="9"/>
      <c r="AQ20" s="9"/>
      <c r="AR20" s="9"/>
      <c r="AS20" s="8">
        <v>10.0</v>
      </c>
      <c r="AT20" s="8">
        <v>1.0</v>
      </c>
      <c r="AU20" s="8">
        <v>6.0</v>
      </c>
      <c r="AV20" s="8">
        <v>1.0</v>
      </c>
      <c r="AW20" s="8">
        <v>2.0</v>
      </c>
      <c r="AX20" s="9"/>
      <c r="AY20" s="9"/>
      <c r="AZ20" s="8">
        <v>12.0</v>
      </c>
      <c r="BA20" s="8">
        <v>3.0</v>
      </c>
      <c r="BB20" s="9"/>
      <c r="BC20" s="9"/>
      <c r="BD20" s="9"/>
      <c r="BE20" s="9"/>
      <c r="BF20" s="9"/>
      <c r="BG20" s="9"/>
      <c r="BH20" s="1">
        <f t="shared" si="1"/>
        <v>102</v>
      </c>
      <c r="BI20" s="1">
        <f t="shared" si="2"/>
        <v>21</v>
      </c>
      <c r="BJ20" s="1">
        <f t="shared" si="3"/>
        <v>2</v>
      </c>
    </row>
    <row r="21">
      <c r="A21" s="7" t="s">
        <v>46</v>
      </c>
      <c r="B21" s="7"/>
      <c r="C21" s="7"/>
      <c r="D21" s="7"/>
      <c r="E21" s="7"/>
      <c r="F21" s="8">
        <v>1.0</v>
      </c>
      <c r="G21" s="8">
        <v>6.0</v>
      </c>
      <c r="H21" s="9"/>
      <c r="I21" s="9"/>
      <c r="J21" s="8">
        <v>5.0</v>
      </c>
      <c r="K21" s="9"/>
      <c r="L21" s="9"/>
      <c r="M21" s="9"/>
      <c r="N21" s="8">
        <v>5.0</v>
      </c>
      <c r="O21" s="8">
        <v>1.0</v>
      </c>
      <c r="P21" s="9"/>
      <c r="Q21" s="9"/>
      <c r="R21" s="9"/>
      <c r="S21" s="9"/>
      <c r="T21" s="8">
        <v>2.0</v>
      </c>
      <c r="U21" s="9"/>
      <c r="V21" s="8">
        <v>7.0</v>
      </c>
      <c r="W21" s="9"/>
      <c r="X21" s="8">
        <v>12.0</v>
      </c>
      <c r="Y21" s="9"/>
      <c r="Z21" s="9"/>
      <c r="AA21" s="9"/>
      <c r="AB21" s="9"/>
      <c r="AC21" s="8">
        <v>2.0</v>
      </c>
      <c r="AD21" s="9"/>
      <c r="AE21" s="9"/>
      <c r="AF21" s="9"/>
      <c r="AG21" s="9"/>
      <c r="AH21" s="8">
        <v>2.0</v>
      </c>
      <c r="AI21" s="9"/>
      <c r="AJ21" s="8">
        <v>12.0</v>
      </c>
      <c r="AK21" s="9"/>
      <c r="AL21" s="9"/>
      <c r="AM21" s="9"/>
      <c r="AN21" s="8">
        <v>4.0</v>
      </c>
      <c r="AO21" s="9"/>
      <c r="AP21" s="8">
        <v>8.0</v>
      </c>
      <c r="AQ21" s="8">
        <v>7.0</v>
      </c>
      <c r="AR21" s="8">
        <v>8.0</v>
      </c>
      <c r="AS21" s="9"/>
      <c r="AT21" s="8">
        <v>10.0</v>
      </c>
      <c r="AU21" s="9"/>
      <c r="AV21" s="9"/>
      <c r="AW21" s="9"/>
      <c r="AX21" s="8">
        <v>2.0</v>
      </c>
      <c r="AY21" s="8">
        <v>5.0</v>
      </c>
      <c r="AZ21" s="9"/>
      <c r="BA21" s="9"/>
      <c r="BB21" s="9"/>
      <c r="BC21" s="9"/>
      <c r="BD21" s="9"/>
      <c r="BE21" s="9"/>
      <c r="BF21" s="9"/>
      <c r="BG21" s="9"/>
      <c r="BH21" s="1">
        <f t="shared" si="1"/>
        <v>99</v>
      </c>
      <c r="BI21" s="1">
        <f t="shared" si="2"/>
        <v>18</v>
      </c>
      <c r="BJ21" s="1">
        <f t="shared" si="3"/>
        <v>2</v>
      </c>
    </row>
    <row r="22">
      <c r="A22" s="7" t="s">
        <v>45</v>
      </c>
      <c r="B22" s="7"/>
      <c r="C22" s="7"/>
      <c r="D22" s="7"/>
      <c r="E22" s="8">
        <v>7.0</v>
      </c>
      <c r="F22" s="8">
        <v>10.0</v>
      </c>
      <c r="G22" s="9"/>
      <c r="H22" s="9"/>
      <c r="I22" s="9"/>
      <c r="J22" s="9"/>
      <c r="K22" s="9"/>
      <c r="L22" s="8">
        <v>7.0</v>
      </c>
      <c r="M22" s="9"/>
      <c r="N22" s="8">
        <v>1.0</v>
      </c>
      <c r="O22" s="8">
        <v>4.0</v>
      </c>
      <c r="P22" s="9"/>
      <c r="Q22" s="9"/>
      <c r="R22" s="9"/>
      <c r="S22" s="8">
        <v>10.0</v>
      </c>
      <c r="T22" s="9"/>
      <c r="U22" s="9"/>
      <c r="V22" s="8">
        <v>4.0</v>
      </c>
      <c r="W22" s="9"/>
      <c r="X22" s="9"/>
      <c r="Y22" s="8">
        <v>7.0</v>
      </c>
      <c r="Z22" s="9"/>
      <c r="AA22" s="9"/>
      <c r="AB22" s="9"/>
      <c r="AC22" s="9"/>
      <c r="AD22" s="8">
        <v>10.0</v>
      </c>
      <c r="AE22" s="9"/>
      <c r="AF22" s="9"/>
      <c r="AG22" s="9"/>
      <c r="AH22" s="9"/>
      <c r="AI22" s="9"/>
      <c r="AJ22" s="8">
        <v>10.0</v>
      </c>
      <c r="AK22" s="9"/>
      <c r="AL22" s="9"/>
      <c r="AM22" s="9"/>
      <c r="AN22" s="9"/>
      <c r="AO22" s="9"/>
      <c r="AP22" s="9"/>
      <c r="AQ22" s="9"/>
      <c r="AR22" s="9"/>
      <c r="AS22" s="9"/>
      <c r="AT22" s="8">
        <v>8.0</v>
      </c>
      <c r="AU22" s="9"/>
      <c r="AV22" s="9"/>
      <c r="AW22" s="9"/>
      <c r="AX22" s="9"/>
      <c r="AY22" s="8">
        <v>7.0</v>
      </c>
      <c r="AZ22" s="9"/>
      <c r="BA22" s="9"/>
      <c r="BB22" s="9"/>
      <c r="BC22" s="9"/>
      <c r="BD22" s="8">
        <v>6.0</v>
      </c>
      <c r="BE22" s="9"/>
      <c r="BF22" s="8">
        <v>8.0</v>
      </c>
      <c r="BG22" s="9"/>
      <c r="BH22" s="1">
        <f t="shared" si="1"/>
        <v>99</v>
      </c>
      <c r="BI22" s="1">
        <f t="shared" si="2"/>
        <v>14</v>
      </c>
      <c r="BJ22" s="1">
        <f t="shared" si="3"/>
        <v>0</v>
      </c>
    </row>
    <row r="23">
      <c r="A23" s="7" t="s">
        <v>8</v>
      </c>
      <c r="B23" s="8">
        <v>4.0</v>
      </c>
      <c r="C23" s="7"/>
      <c r="D23" s="7"/>
      <c r="E23" s="7"/>
      <c r="F23" s="7"/>
      <c r="G23" s="8">
        <v>4.0</v>
      </c>
      <c r="H23" s="9"/>
      <c r="I23" s="9"/>
      <c r="J23" s="9"/>
      <c r="K23" s="9"/>
      <c r="L23" s="9"/>
      <c r="M23" s="8">
        <v>4.0</v>
      </c>
      <c r="N23" s="9"/>
      <c r="O23" s="9"/>
      <c r="P23" s="9"/>
      <c r="Q23" s="8">
        <v>7.0</v>
      </c>
      <c r="R23" s="9"/>
      <c r="S23" s="9"/>
      <c r="T23" s="9"/>
      <c r="U23" s="8">
        <v>5.0</v>
      </c>
      <c r="V23" s="9"/>
      <c r="W23" s="8">
        <v>6.0</v>
      </c>
      <c r="X23" s="8">
        <v>1.0</v>
      </c>
      <c r="Y23" s="9"/>
      <c r="Z23" s="9"/>
      <c r="AA23" s="9"/>
      <c r="AB23" s="8">
        <v>7.0</v>
      </c>
      <c r="AC23" s="9"/>
      <c r="AD23" s="9"/>
      <c r="AE23" s="8">
        <v>1.0</v>
      </c>
      <c r="AF23" s="9"/>
      <c r="AG23" s="9"/>
      <c r="AH23" s="9"/>
      <c r="AI23" s="9"/>
      <c r="AJ23" s="8">
        <v>6.0</v>
      </c>
      <c r="AK23" s="9"/>
      <c r="AL23" s="9"/>
      <c r="AM23" s="8">
        <v>2.0</v>
      </c>
      <c r="AN23" s="8">
        <v>8.0</v>
      </c>
      <c r="AO23" s="9"/>
      <c r="AP23" s="9"/>
      <c r="AQ23" s="8">
        <v>6.0</v>
      </c>
      <c r="AR23" s="8">
        <v>10.0</v>
      </c>
      <c r="AS23" s="8">
        <v>6.0</v>
      </c>
      <c r="AT23" s="8">
        <v>6.0</v>
      </c>
      <c r="AU23" s="9"/>
      <c r="AV23" s="9"/>
      <c r="AW23" s="9"/>
      <c r="AX23" s="9"/>
      <c r="AY23" s="9"/>
      <c r="AZ23" s="9"/>
      <c r="BA23" s="9"/>
      <c r="BB23" s="8">
        <v>10.0</v>
      </c>
      <c r="BC23" s="9"/>
      <c r="BD23" s="9"/>
      <c r="BE23" s="9"/>
      <c r="BF23" s="8">
        <v>4.0</v>
      </c>
      <c r="BG23" s="9"/>
      <c r="BH23" s="1">
        <f t="shared" si="1"/>
        <v>97</v>
      </c>
      <c r="BI23" s="1">
        <f t="shared" si="2"/>
        <v>18</v>
      </c>
      <c r="BJ23" s="1">
        <f t="shared" si="3"/>
        <v>0</v>
      </c>
    </row>
    <row r="24">
      <c r="A24" s="7" t="s">
        <v>56</v>
      </c>
      <c r="B24" s="8">
        <v>3.0</v>
      </c>
      <c r="C24" s="8">
        <v>10.0</v>
      </c>
      <c r="D24" s="8">
        <v>7.0</v>
      </c>
      <c r="E24" s="9"/>
      <c r="F24" s="9"/>
      <c r="G24" s="8">
        <v>10.0</v>
      </c>
      <c r="H24" s="9"/>
      <c r="I24" s="8">
        <v>1.0</v>
      </c>
      <c r="J24" s="8">
        <v>6.0</v>
      </c>
      <c r="K24" s="8">
        <v>1.0</v>
      </c>
      <c r="L24" s="8">
        <v>6.0</v>
      </c>
      <c r="M24" s="9"/>
      <c r="N24" s="9"/>
      <c r="O24" s="9"/>
      <c r="P24" s="9"/>
      <c r="Q24" s="9"/>
      <c r="R24" s="9"/>
      <c r="S24" s="9"/>
      <c r="T24" s="8">
        <v>8.0</v>
      </c>
      <c r="U24" s="9"/>
      <c r="V24" s="9"/>
      <c r="W24" s="8">
        <v>8.0</v>
      </c>
      <c r="X24" s="9"/>
      <c r="Y24" s="9"/>
      <c r="Z24" s="8">
        <v>8.0</v>
      </c>
      <c r="AA24" s="9"/>
      <c r="AB24" s="8">
        <v>1.0</v>
      </c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8">
        <v>1.0</v>
      </c>
      <c r="AO24" s="9"/>
      <c r="AP24" s="8">
        <v>7.0</v>
      </c>
      <c r="AQ24" s="9"/>
      <c r="AR24" s="8">
        <v>7.0</v>
      </c>
      <c r="AS24" s="9"/>
      <c r="AT24" s="9"/>
      <c r="AU24" s="9"/>
      <c r="AV24" s="9"/>
      <c r="AW24" s="8">
        <v>3.0</v>
      </c>
      <c r="AX24" s="9"/>
      <c r="AY24" s="9"/>
      <c r="AZ24" s="8">
        <v>6.0</v>
      </c>
      <c r="BA24" s="9"/>
      <c r="BB24" s="9"/>
      <c r="BC24" s="9"/>
      <c r="BD24" s="9"/>
      <c r="BE24" s="9"/>
      <c r="BF24" s="9"/>
      <c r="BG24" s="9"/>
      <c r="BH24" s="1">
        <f t="shared" si="1"/>
        <v>93</v>
      </c>
      <c r="BI24" s="1">
        <f t="shared" si="2"/>
        <v>17</v>
      </c>
      <c r="BJ24" s="1">
        <f t="shared" si="3"/>
        <v>0</v>
      </c>
    </row>
    <row r="25">
      <c r="A25" s="7" t="s">
        <v>50</v>
      </c>
      <c r="B25" s="7"/>
      <c r="C25" s="7"/>
      <c r="D25" s="7"/>
      <c r="E25" s="7"/>
      <c r="F25" s="7"/>
      <c r="G25" s="7"/>
      <c r="H25" s="8">
        <v>4.0</v>
      </c>
      <c r="I25" s="9"/>
      <c r="J25" s="9"/>
      <c r="K25" s="8">
        <v>10.0</v>
      </c>
      <c r="L25" s="9"/>
      <c r="M25" s="8">
        <v>2.0</v>
      </c>
      <c r="N25" s="9"/>
      <c r="O25" s="9"/>
      <c r="P25" s="9"/>
      <c r="Q25" s="8">
        <v>5.0</v>
      </c>
      <c r="R25" s="8">
        <v>7.0</v>
      </c>
      <c r="S25" s="9"/>
      <c r="T25" s="9"/>
      <c r="U25" s="9"/>
      <c r="V25" s="9"/>
      <c r="W25" s="9"/>
      <c r="X25" s="9"/>
      <c r="Y25" s="9"/>
      <c r="Z25" s="9"/>
      <c r="AA25" s="9"/>
      <c r="AB25" s="9"/>
      <c r="AC25" s="8">
        <v>1.0</v>
      </c>
      <c r="AD25" s="8">
        <v>1.0</v>
      </c>
      <c r="AE25" s="9"/>
      <c r="AF25" s="8">
        <v>2.0</v>
      </c>
      <c r="AG25" s="8">
        <v>10.0</v>
      </c>
      <c r="AH25" s="8">
        <v>6.0</v>
      </c>
      <c r="AI25" s="8">
        <v>12.0</v>
      </c>
      <c r="AJ25" s="9"/>
      <c r="AK25" s="8">
        <v>1.0</v>
      </c>
      <c r="AL25" s="9"/>
      <c r="AM25" s="9"/>
      <c r="AN25" s="9"/>
      <c r="AO25" s="8">
        <v>10.0</v>
      </c>
      <c r="AP25" s="9"/>
      <c r="AQ25" s="9"/>
      <c r="AR25" s="9"/>
      <c r="AS25" s="9"/>
      <c r="AT25" s="9"/>
      <c r="AU25" s="9"/>
      <c r="AV25" s="9"/>
      <c r="AW25" s="9"/>
      <c r="AX25" s="9"/>
      <c r="AY25" s="8"/>
      <c r="AZ25" s="8"/>
      <c r="BA25" s="8">
        <v>1.0</v>
      </c>
      <c r="BB25" s="8">
        <v>12.0</v>
      </c>
      <c r="BC25" s="8"/>
      <c r="BD25" s="8"/>
      <c r="BE25" s="8">
        <v>3.0</v>
      </c>
      <c r="BF25" s="8"/>
      <c r="BG25" s="8">
        <v>5.0</v>
      </c>
      <c r="BH25" s="1">
        <f t="shared" si="1"/>
        <v>92</v>
      </c>
      <c r="BI25" s="1">
        <f t="shared" si="2"/>
        <v>17</v>
      </c>
      <c r="BJ25" s="1">
        <f t="shared" si="3"/>
        <v>2</v>
      </c>
    </row>
    <row r="26">
      <c r="A26" s="7" t="s">
        <v>14</v>
      </c>
      <c r="B26" s="8">
        <v>1.0</v>
      </c>
      <c r="C26" s="7"/>
      <c r="D26" s="7"/>
      <c r="E26" s="7"/>
      <c r="F26" s="7"/>
      <c r="G26" s="8">
        <v>1.0</v>
      </c>
      <c r="H26" s="8">
        <v>5.0</v>
      </c>
      <c r="I26" s="9"/>
      <c r="J26" s="8">
        <v>2.0</v>
      </c>
      <c r="K26" s="9"/>
      <c r="L26" s="9"/>
      <c r="M26" s="8">
        <v>3.0</v>
      </c>
      <c r="N26" s="8">
        <v>10.0</v>
      </c>
      <c r="O26" s="9"/>
      <c r="P26" s="9"/>
      <c r="Q26" s="9"/>
      <c r="R26" s="9"/>
      <c r="S26" s="9"/>
      <c r="T26" s="9"/>
      <c r="U26" s="8">
        <v>8.0</v>
      </c>
      <c r="V26" s="9"/>
      <c r="W26" s="9"/>
      <c r="X26" s="9"/>
      <c r="Y26" s="9"/>
      <c r="Z26" s="9"/>
      <c r="AA26" s="9"/>
      <c r="AB26" s="9"/>
      <c r="AC26" s="8">
        <v>12.0</v>
      </c>
      <c r="AD26" s="8">
        <v>5.0</v>
      </c>
      <c r="AE26" s="8">
        <v>5.0</v>
      </c>
      <c r="AF26" s="8">
        <v>7.0</v>
      </c>
      <c r="AG26" s="9"/>
      <c r="AH26" s="9"/>
      <c r="AI26" s="9"/>
      <c r="AJ26" s="9"/>
      <c r="AK26" s="9"/>
      <c r="AL26" s="9"/>
      <c r="AM26" s="9"/>
      <c r="AN26" s="8">
        <v>2.0</v>
      </c>
      <c r="AO26" s="9"/>
      <c r="AP26" s="9"/>
      <c r="AQ26" s="8">
        <v>1.0</v>
      </c>
      <c r="AR26" s="9"/>
      <c r="AS26" s="8">
        <v>1.0</v>
      </c>
      <c r="AT26" s="9"/>
      <c r="AU26" s="9"/>
      <c r="AV26" s="8">
        <v>8.0</v>
      </c>
      <c r="AW26" s="9"/>
      <c r="AX26" s="9"/>
      <c r="AY26" s="8">
        <v>2.0</v>
      </c>
      <c r="AZ26" s="8">
        <v>4.0</v>
      </c>
      <c r="BA26" s="8">
        <v>10.0</v>
      </c>
      <c r="BB26" s="9"/>
      <c r="BC26" s="9"/>
      <c r="BD26" s="9"/>
      <c r="BE26" s="9"/>
      <c r="BF26" s="9"/>
      <c r="BG26" s="9"/>
      <c r="BH26" s="1">
        <f t="shared" si="1"/>
        <v>87</v>
      </c>
      <c r="BI26" s="1">
        <f t="shared" si="2"/>
        <v>18</v>
      </c>
      <c r="BJ26" s="1">
        <f t="shared" si="3"/>
        <v>1</v>
      </c>
    </row>
    <row r="27">
      <c r="A27" s="7" t="s">
        <v>55</v>
      </c>
      <c r="B27" s="7"/>
      <c r="C27" s="7"/>
      <c r="D27" s="7"/>
      <c r="E27" s="7"/>
      <c r="F27" s="7"/>
      <c r="G27" s="8">
        <v>5.0</v>
      </c>
      <c r="H27" s="9"/>
      <c r="I27" s="9"/>
      <c r="J27" s="8">
        <v>12.0</v>
      </c>
      <c r="K27" s="9"/>
      <c r="L27" s="9"/>
      <c r="M27" s="9"/>
      <c r="N27" s="9"/>
      <c r="O27" s="9"/>
      <c r="P27" s="8">
        <v>8.0</v>
      </c>
      <c r="Q27" s="9"/>
      <c r="R27" s="8">
        <v>3.0</v>
      </c>
      <c r="S27" s="8">
        <v>1.0</v>
      </c>
      <c r="T27" s="9"/>
      <c r="U27" s="9"/>
      <c r="V27" s="9"/>
      <c r="W27" s="8">
        <v>4.0</v>
      </c>
      <c r="X27" s="9"/>
      <c r="Y27" s="9"/>
      <c r="Z27" s="8">
        <v>10.0</v>
      </c>
      <c r="AA27" s="9"/>
      <c r="AB27" s="9"/>
      <c r="AC27" s="8">
        <v>7.0</v>
      </c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8">
        <v>6.0</v>
      </c>
      <c r="AQ27" s="9"/>
      <c r="AR27" s="8">
        <v>4.0</v>
      </c>
      <c r="AS27" s="9"/>
      <c r="AT27" s="9"/>
      <c r="AU27" s="9"/>
      <c r="AV27" s="9"/>
      <c r="AW27" s="8">
        <v>12.0</v>
      </c>
      <c r="AX27" s="9"/>
      <c r="AY27" s="9"/>
      <c r="AZ27" s="8">
        <v>10.0</v>
      </c>
      <c r="BA27" s="9"/>
      <c r="BB27" s="8">
        <v>1.0</v>
      </c>
      <c r="BC27" s="9"/>
      <c r="BD27" s="8">
        <v>3.0</v>
      </c>
      <c r="BE27" s="9"/>
      <c r="BF27" s="9"/>
      <c r="BG27" s="9"/>
      <c r="BH27" s="1">
        <f t="shared" si="1"/>
        <v>86</v>
      </c>
      <c r="BI27" s="1">
        <f t="shared" si="2"/>
        <v>14</v>
      </c>
      <c r="BJ27" s="1">
        <f t="shared" si="3"/>
        <v>2</v>
      </c>
    </row>
    <row r="28">
      <c r="A28" s="7" t="s">
        <v>6</v>
      </c>
      <c r="B28" s="8">
        <v>7.0</v>
      </c>
      <c r="C28" s="8"/>
      <c r="D28" s="7"/>
      <c r="E28" s="8">
        <v>2.0</v>
      </c>
      <c r="F28" s="9"/>
      <c r="G28" s="9"/>
      <c r="H28" s="9"/>
      <c r="I28" s="9"/>
      <c r="J28" s="9"/>
      <c r="K28" s="9"/>
      <c r="L28" s="8">
        <v>8.0</v>
      </c>
      <c r="M28" s="8">
        <v>8.0</v>
      </c>
      <c r="N28" s="8">
        <v>4.0</v>
      </c>
      <c r="O28" s="9"/>
      <c r="P28" s="8">
        <v>1.0</v>
      </c>
      <c r="Q28" s="9"/>
      <c r="R28" s="9"/>
      <c r="S28" s="8">
        <v>12.0</v>
      </c>
      <c r="T28" s="8">
        <v>5.0</v>
      </c>
      <c r="U28" s="9"/>
      <c r="V28" s="9"/>
      <c r="W28" s="9"/>
      <c r="X28" s="9"/>
      <c r="Y28" s="8">
        <v>1.0</v>
      </c>
      <c r="Z28" s="9"/>
      <c r="AA28" s="9"/>
      <c r="AB28" s="9"/>
      <c r="AC28" s="9"/>
      <c r="AD28" s="9"/>
      <c r="AE28" s="9"/>
      <c r="AF28" s="8">
        <v>8.0</v>
      </c>
      <c r="AG28" s="9"/>
      <c r="AH28" s="9"/>
      <c r="AI28" s="9"/>
      <c r="AJ28" s="9"/>
      <c r="AK28" s="9"/>
      <c r="AL28" s="9"/>
      <c r="AM28" s="8">
        <v>7.0</v>
      </c>
      <c r="AN28" s="9"/>
      <c r="AO28" s="9"/>
      <c r="AP28" s="9"/>
      <c r="AQ28" s="9"/>
      <c r="AR28" s="9"/>
      <c r="AS28" s="9"/>
      <c r="AT28" s="8">
        <v>2.0</v>
      </c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8">
        <v>3.0</v>
      </c>
      <c r="BG28" s="9"/>
      <c r="BH28" s="1">
        <f t="shared" si="1"/>
        <v>68</v>
      </c>
      <c r="BI28" s="1">
        <f t="shared" si="2"/>
        <v>13</v>
      </c>
      <c r="BJ28" s="1">
        <f t="shared" si="3"/>
        <v>1</v>
      </c>
    </row>
    <row r="29">
      <c r="A29" s="7" t="s">
        <v>22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8">
        <v>8.0</v>
      </c>
      <c r="S29" s="9"/>
      <c r="T29" s="9"/>
      <c r="U29" s="9"/>
      <c r="V29" s="9"/>
      <c r="W29" s="9"/>
      <c r="X29" s="9"/>
      <c r="Y29" s="9"/>
      <c r="Z29" s="8">
        <v>2.0</v>
      </c>
      <c r="AA29" s="8">
        <v>2.0</v>
      </c>
      <c r="AB29" s="9"/>
      <c r="AC29" s="9"/>
      <c r="AD29" s="9"/>
      <c r="AE29" s="8">
        <v>10.0</v>
      </c>
      <c r="AF29" s="9"/>
      <c r="AG29" s="9"/>
      <c r="AH29" s="9"/>
      <c r="AI29" s="8">
        <v>2.0</v>
      </c>
      <c r="AJ29" s="9"/>
      <c r="AK29" s="9"/>
      <c r="AL29" s="9"/>
      <c r="AM29" s="9"/>
      <c r="AN29" s="8">
        <v>10.0</v>
      </c>
      <c r="AO29" s="9"/>
      <c r="AP29" s="8">
        <v>3.0</v>
      </c>
      <c r="AQ29" s="9"/>
      <c r="AR29" s="9"/>
      <c r="AS29" s="9"/>
      <c r="AT29" s="9"/>
      <c r="AU29" s="9"/>
      <c r="AV29" s="8">
        <v>4.0</v>
      </c>
      <c r="AW29" s="9"/>
      <c r="AX29" s="9"/>
      <c r="AY29" s="8"/>
      <c r="AZ29" s="8"/>
      <c r="BA29" s="8"/>
      <c r="BB29" s="8">
        <v>2.0</v>
      </c>
      <c r="BC29" s="8"/>
      <c r="BD29" s="8">
        <v>5.0</v>
      </c>
      <c r="BE29" s="8"/>
      <c r="BF29" s="8"/>
      <c r="BG29" s="8">
        <v>2.0</v>
      </c>
      <c r="BH29" s="1">
        <f t="shared" si="1"/>
        <v>50</v>
      </c>
      <c r="BI29" s="1">
        <f t="shared" si="2"/>
        <v>11</v>
      </c>
      <c r="BJ29" s="1">
        <f t="shared" si="3"/>
        <v>0</v>
      </c>
    </row>
    <row r="32">
      <c r="B32" s="10">
        <f t="shared" ref="B32:BE32" si="4">sum(B2:B29)</f>
        <v>58</v>
      </c>
      <c r="C32" s="10">
        <f t="shared" si="4"/>
        <v>58</v>
      </c>
      <c r="D32" s="10">
        <f t="shared" si="4"/>
        <v>58</v>
      </c>
      <c r="E32" s="10">
        <f t="shared" si="4"/>
        <v>58</v>
      </c>
      <c r="F32" s="10">
        <f t="shared" si="4"/>
        <v>58</v>
      </c>
      <c r="G32" s="10">
        <f t="shared" si="4"/>
        <v>58</v>
      </c>
      <c r="H32" s="10">
        <f t="shared" si="4"/>
        <v>58</v>
      </c>
      <c r="I32" s="10">
        <f t="shared" si="4"/>
        <v>58</v>
      </c>
      <c r="J32" s="10">
        <f t="shared" si="4"/>
        <v>58</v>
      </c>
      <c r="K32" s="10">
        <f t="shared" si="4"/>
        <v>58</v>
      </c>
      <c r="L32" s="10">
        <f t="shared" si="4"/>
        <v>58</v>
      </c>
      <c r="M32" s="10">
        <f t="shared" si="4"/>
        <v>58</v>
      </c>
      <c r="N32" s="10">
        <f t="shared" si="4"/>
        <v>58</v>
      </c>
      <c r="O32" s="10">
        <f t="shared" si="4"/>
        <v>58</v>
      </c>
      <c r="P32" s="10">
        <f t="shared" si="4"/>
        <v>58</v>
      </c>
      <c r="Q32" s="10">
        <f t="shared" si="4"/>
        <v>58</v>
      </c>
      <c r="R32" s="10">
        <f t="shared" si="4"/>
        <v>58</v>
      </c>
      <c r="S32" s="10">
        <f t="shared" si="4"/>
        <v>58</v>
      </c>
      <c r="T32" s="10">
        <f t="shared" si="4"/>
        <v>58</v>
      </c>
      <c r="U32" s="10">
        <f t="shared" si="4"/>
        <v>58</v>
      </c>
      <c r="V32" s="10">
        <f t="shared" si="4"/>
        <v>58</v>
      </c>
      <c r="W32" s="10">
        <f t="shared" si="4"/>
        <v>58</v>
      </c>
      <c r="X32" s="10">
        <f t="shared" si="4"/>
        <v>58</v>
      </c>
      <c r="Y32" s="10">
        <f t="shared" si="4"/>
        <v>58</v>
      </c>
      <c r="Z32" s="10">
        <f t="shared" si="4"/>
        <v>58</v>
      </c>
      <c r="AA32" s="10">
        <f t="shared" si="4"/>
        <v>58</v>
      </c>
      <c r="AB32" s="10">
        <f t="shared" si="4"/>
        <v>58</v>
      </c>
      <c r="AC32" s="10">
        <f t="shared" si="4"/>
        <v>58</v>
      </c>
      <c r="AD32" s="10">
        <f t="shared" si="4"/>
        <v>58</v>
      </c>
      <c r="AE32" s="10">
        <f t="shared" si="4"/>
        <v>58</v>
      </c>
      <c r="AF32" s="10">
        <f t="shared" si="4"/>
        <v>58</v>
      </c>
      <c r="AG32" s="10">
        <f t="shared" si="4"/>
        <v>58</v>
      </c>
      <c r="AH32" s="10">
        <f t="shared" si="4"/>
        <v>58</v>
      </c>
      <c r="AI32" s="10">
        <f t="shared" si="4"/>
        <v>58</v>
      </c>
      <c r="AJ32" s="10">
        <f t="shared" si="4"/>
        <v>58</v>
      </c>
      <c r="AK32" s="10">
        <f t="shared" si="4"/>
        <v>58</v>
      </c>
      <c r="AL32" s="10">
        <f t="shared" si="4"/>
        <v>58</v>
      </c>
      <c r="AM32" s="10">
        <f t="shared" si="4"/>
        <v>58</v>
      </c>
      <c r="AN32" s="10">
        <f t="shared" si="4"/>
        <v>58</v>
      </c>
      <c r="AO32" s="10">
        <f t="shared" si="4"/>
        <v>58</v>
      </c>
      <c r="AP32" s="10">
        <f t="shared" si="4"/>
        <v>58</v>
      </c>
      <c r="AQ32" s="10">
        <f t="shared" si="4"/>
        <v>58</v>
      </c>
      <c r="AR32" s="10">
        <f t="shared" si="4"/>
        <v>58</v>
      </c>
      <c r="AS32" s="10">
        <f t="shared" si="4"/>
        <v>58</v>
      </c>
      <c r="AT32" s="10">
        <f t="shared" si="4"/>
        <v>58</v>
      </c>
      <c r="AU32" s="10">
        <f t="shared" si="4"/>
        <v>58</v>
      </c>
      <c r="AV32" s="10">
        <f t="shared" si="4"/>
        <v>58</v>
      </c>
      <c r="AW32" s="10">
        <f t="shared" si="4"/>
        <v>58</v>
      </c>
      <c r="AX32" s="10">
        <f t="shared" si="4"/>
        <v>58</v>
      </c>
      <c r="AY32" s="10">
        <f t="shared" si="4"/>
        <v>58</v>
      </c>
      <c r="AZ32" s="10">
        <f t="shared" si="4"/>
        <v>58</v>
      </c>
      <c r="BA32" s="10">
        <f t="shared" si="4"/>
        <v>58</v>
      </c>
      <c r="BB32" s="10">
        <f t="shared" si="4"/>
        <v>58</v>
      </c>
      <c r="BC32" s="10">
        <f t="shared" si="4"/>
        <v>58</v>
      </c>
      <c r="BD32" s="10">
        <f t="shared" si="4"/>
        <v>58</v>
      </c>
      <c r="BE32" s="10">
        <f t="shared" si="4"/>
        <v>58</v>
      </c>
      <c r="BG32" s="10">
        <f>sum(BG2:BG29)</f>
        <v>58</v>
      </c>
    </row>
  </sheetData>
  <conditionalFormatting sqref="A1:BG29">
    <cfRule type="colorScale" priority="1">
      <colorScale>
        <cfvo type="formula" val="1"/>
        <cfvo type="formula" val="6"/>
        <cfvo type="formula" val="12"/>
        <color rgb="FFB6D7A8"/>
        <color rgb="FF93C47D"/>
        <color rgb="FF00FF00"/>
      </colorScale>
    </cfRule>
  </conditionalFormatting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</cols>
  <sheetData>
    <row r="1">
      <c r="B1" s="11" t="s">
        <v>63</v>
      </c>
      <c r="C1" s="11" t="s">
        <v>64</v>
      </c>
      <c r="D1" s="11" t="s">
        <v>58</v>
      </c>
      <c r="E1" s="11" t="s">
        <v>59</v>
      </c>
    </row>
    <row r="2">
      <c r="A2" s="12" t="s">
        <v>27</v>
      </c>
      <c r="B2" s="13">
        <v>12.0</v>
      </c>
      <c r="C2" s="13">
        <v>3.0</v>
      </c>
      <c r="D2" s="10">
        <f t="shared" ref="D2:D29" si="1">SUM(B2:C2)</f>
        <v>15</v>
      </c>
      <c r="E2" s="10">
        <f t="shared" ref="E2:E29" si="2">COUNTA(B2:C2)</f>
        <v>2</v>
      </c>
      <c r="F2" s="11">
        <v>12.0</v>
      </c>
    </row>
    <row r="3">
      <c r="A3" s="14" t="s">
        <v>2</v>
      </c>
      <c r="B3" s="13">
        <v>7.0</v>
      </c>
      <c r="C3" s="13">
        <v>6.0</v>
      </c>
      <c r="D3" s="10">
        <f t="shared" si="1"/>
        <v>13</v>
      </c>
      <c r="E3" s="10">
        <f t="shared" si="2"/>
        <v>2</v>
      </c>
      <c r="F3" s="11">
        <v>10.0</v>
      </c>
    </row>
    <row r="4">
      <c r="A4" s="15" t="s">
        <v>9</v>
      </c>
      <c r="B4" s="16"/>
      <c r="C4" s="16">
        <v>12.0</v>
      </c>
      <c r="D4" s="10">
        <f t="shared" si="1"/>
        <v>12</v>
      </c>
      <c r="E4" s="10">
        <f t="shared" si="2"/>
        <v>1</v>
      </c>
      <c r="F4" s="11">
        <v>8.0</v>
      </c>
    </row>
    <row r="5">
      <c r="A5" s="17" t="s">
        <v>35</v>
      </c>
      <c r="B5" s="16">
        <v>3.0</v>
      </c>
      <c r="C5" s="16">
        <v>8.0</v>
      </c>
      <c r="D5" s="10">
        <f t="shared" si="1"/>
        <v>11</v>
      </c>
      <c r="E5" s="10">
        <f t="shared" si="2"/>
        <v>2</v>
      </c>
      <c r="F5" s="11">
        <v>7.0</v>
      </c>
    </row>
    <row r="6">
      <c r="A6" s="12" t="s">
        <v>61</v>
      </c>
      <c r="B6" s="13"/>
      <c r="C6" s="13">
        <v>10.0</v>
      </c>
      <c r="D6" s="10">
        <f t="shared" si="1"/>
        <v>10</v>
      </c>
      <c r="E6" s="10">
        <f t="shared" si="2"/>
        <v>1</v>
      </c>
      <c r="F6" s="11">
        <v>6.0</v>
      </c>
    </row>
    <row r="7">
      <c r="A7" s="17" t="s">
        <v>50</v>
      </c>
      <c r="B7" s="16">
        <v>10.0</v>
      </c>
      <c r="C7" s="18"/>
      <c r="D7" s="10">
        <f t="shared" si="1"/>
        <v>10</v>
      </c>
      <c r="E7" s="10">
        <f t="shared" si="2"/>
        <v>1</v>
      </c>
      <c r="F7" s="11">
        <v>5.0</v>
      </c>
    </row>
    <row r="8">
      <c r="A8" s="12" t="s">
        <v>10</v>
      </c>
      <c r="B8" s="13">
        <v>8.0</v>
      </c>
      <c r="C8" s="19"/>
      <c r="D8" s="10">
        <f t="shared" si="1"/>
        <v>8</v>
      </c>
      <c r="E8" s="10">
        <f t="shared" si="2"/>
        <v>1</v>
      </c>
      <c r="F8" s="11">
        <v>4.0</v>
      </c>
    </row>
    <row r="9">
      <c r="A9" s="14" t="s">
        <v>36</v>
      </c>
      <c r="B9" s="19"/>
      <c r="C9" s="13">
        <v>7.0</v>
      </c>
      <c r="D9" s="10">
        <f t="shared" si="1"/>
        <v>7</v>
      </c>
      <c r="E9" s="10">
        <f t="shared" si="2"/>
        <v>1</v>
      </c>
      <c r="F9" s="11">
        <v>3.0</v>
      </c>
    </row>
    <row r="10">
      <c r="A10" s="12" t="s">
        <v>22</v>
      </c>
      <c r="B10" s="13">
        <v>6.0</v>
      </c>
      <c r="C10" s="19"/>
      <c r="D10" s="10">
        <f t="shared" si="1"/>
        <v>6</v>
      </c>
      <c r="E10" s="10">
        <f t="shared" si="2"/>
        <v>1</v>
      </c>
      <c r="F10" s="11">
        <v>2.0</v>
      </c>
    </row>
    <row r="11">
      <c r="A11" s="14" t="s">
        <v>52</v>
      </c>
      <c r="B11" s="13">
        <v>4.0</v>
      </c>
      <c r="C11" s="13">
        <v>1.0</v>
      </c>
      <c r="D11" s="10">
        <f t="shared" si="1"/>
        <v>5</v>
      </c>
      <c r="E11" s="10">
        <f t="shared" si="2"/>
        <v>2</v>
      </c>
      <c r="F11" s="11">
        <v>1.0</v>
      </c>
    </row>
    <row r="12">
      <c r="A12" s="15" t="s">
        <v>7</v>
      </c>
      <c r="B12" s="18"/>
      <c r="C12" s="16">
        <v>5.0</v>
      </c>
      <c r="D12" s="10">
        <f t="shared" si="1"/>
        <v>5</v>
      </c>
      <c r="E12" s="10">
        <f t="shared" si="2"/>
        <v>1</v>
      </c>
    </row>
    <row r="13">
      <c r="A13" s="14" t="s">
        <v>29</v>
      </c>
      <c r="B13" s="13">
        <v>5.0</v>
      </c>
      <c r="C13" s="19"/>
      <c r="D13" s="10">
        <f t="shared" si="1"/>
        <v>5</v>
      </c>
      <c r="E13" s="10">
        <f t="shared" si="2"/>
        <v>1</v>
      </c>
    </row>
    <row r="14">
      <c r="A14" s="15" t="s">
        <v>6</v>
      </c>
      <c r="B14" s="18"/>
      <c r="C14" s="16">
        <v>4.0</v>
      </c>
      <c r="D14" s="10">
        <f t="shared" si="1"/>
        <v>4</v>
      </c>
      <c r="E14" s="10">
        <f t="shared" si="2"/>
        <v>1</v>
      </c>
    </row>
    <row r="15">
      <c r="A15" s="17" t="s">
        <v>56</v>
      </c>
      <c r="B15" s="16">
        <v>2.0</v>
      </c>
      <c r="C15" s="16"/>
      <c r="D15" s="10">
        <f t="shared" si="1"/>
        <v>2</v>
      </c>
      <c r="E15" s="10">
        <f t="shared" si="2"/>
        <v>1</v>
      </c>
    </row>
    <row r="16">
      <c r="A16" s="12" t="s">
        <v>4</v>
      </c>
      <c r="B16" s="19"/>
      <c r="C16" s="13">
        <v>2.0</v>
      </c>
      <c r="D16" s="10">
        <f t="shared" si="1"/>
        <v>2</v>
      </c>
      <c r="E16" s="10">
        <f t="shared" si="2"/>
        <v>1</v>
      </c>
    </row>
    <row r="17">
      <c r="A17" s="14" t="s">
        <v>55</v>
      </c>
      <c r="B17" s="13">
        <v>1.0</v>
      </c>
      <c r="C17" s="19"/>
      <c r="D17" s="10">
        <f t="shared" si="1"/>
        <v>1</v>
      </c>
      <c r="E17" s="10">
        <f t="shared" si="2"/>
        <v>1</v>
      </c>
    </row>
    <row r="18">
      <c r="A18" s="12" t="s">
        <v>37</v>
      </c>
      <c r="B18" s="13"/>
      <c r="C18" s="13"/>
      <c r="D18" s="10">
        <f t="shared" si="1"/>
        <v>0</v>
      </c>
      <c r="E18" s="10">
        <f t="shared" si="2"/>
        <v>0</v>
      </c>
    </row>
    <row r="19">
      <c r="A19" s="17" t="s">
        <v>20</v>
      </c>
      <c r="B19" s="18"/>
      <c r="C19" s="16"/>
      <c r="D19" s="10">
        <f t="shared" si="1"/>
        <v>0</v>
      </c>
      <c r="E19" s="10">
        <f t="shared" si="2"/>
        <v>0</v>
      </c>
    </row>
    <row r="20">
      <c r="A20" s="15" t="s">
        <v>0</v>
      </c>
      <c r="B20" s="16"/>
      <c r="C20" s="20"/>
      <c r="D20" s="10">
        <f t="shared" si="1"/>
        <v>0</v>
      </c>
      <c r="E20" s="10">
        <f t="shared" si="2"/>
        <v>0</v>
      </c>
    </row>
    <row r="21">
      <c r="A21" s="17" t="s">
        <v>45</v>
      </c>
      <c r="B21" s="18"/>
      <c r="C21" s="18"/>
      <c r="D21" s="10">
        <f t="shared" si="1"/>
        <v>0</v>
      </c>
      <c r="E21" s="10">
        <f t="shared" si="2"/>
        <v>0</v>
      </c>
    </row>
    <row r="22">
      <c r="A22" s="15" t="s">
        <v>47</v>
      </c>
      <c r="B22" s="16"/>
      <c r="C22" s="16"/>
      <c r="D22" s="10">
        <f t="shared" si="1"/>
        <v>0</v>
      </c>
      <c r="E22" s="10">
        <f t="shared" si="2"/>
        <v>0</v>
      </c>
    </row>
    <row r="23">
      <c r="A23" s="14" t="s">
        <v>41</v>
      </c>
      <c r="B23" s="13"/>
      <c r="C23" s="21"/>
      <c r="D23" s="10">
        <f t="shared" si="1"/>
        <v>0</v>
      </c>
      <c r="E23" s="10">
        <f t="shared" si="2"/>
        <v>0</v>
      </c>
    </row>
    <row r="24">
      <c r="A24" s="12" t="s">
        <v>33</v>
      </c>
      <c r="B24" s="19"/>
      <c r="C24" s="13"/>
      <c r="D24" s="10">
        <f t="shared" si="1"/>
        <v>0</v>
      </c>
      <c r="E24" s="10">
        <f t="shared" si="2"/>
        <v>0</v>
      </c>
    </row>
    <row r="25">
      <c r="A25" s="14" t="s">
        <v>46</v>
      </c>
      <c r="B25" s="19"/>
      <c r="C25" s="19"/>
      <c r="D25" s="10">
        <f t="shared" si="1"/>
        <v>0</v>
      </c>
      <c r="E25" s="10">
        <f t="shared" si="2"/>
        <v>0</v>
      </c>
    </row>
    <row r="26">
      <c r="A26" s="15" t="s">
        <v>62</v>
      </c>
      <c r="B26" s="16"/>
      <c r="C26" s="20"/>
      <c r="D26" s="10">
        <f t="shared" si="1"/>
        <v>0</v>
      </c>
      <c r="E26" s="10">
        <f t="shared" si="2"/>
        <v>0</v>
      </c>
    </row>
    <row r="27">
      <c r="A27" s="17" t="s">
        <v>14</v>
      </c>
      <c r="B27" s="18"/>
      <c r="C27" s="18"/>
      <c r="D27" s="10">
        <f t="shared" si="1"/>
        <v>0</v>
      </c>
      <c r="E27" s="10">
        <f t="shared" si="2"/>
        <v>0</v>
      </c>
    </row>
    <row r="28">
      <c r="A28" s="15" t="s">
        <v>49</v>
      </c>
      <c r="B28" s="16"/>
      <c r="C28" s="20"/>
      <c r="D28" s="10">
        <f t="shared" si="1"/>
        <v>0</v>
      </c>
      <c r="E28" s="10">
        <f t="shared" si="2"/>
        <v>0</v>
      </c>
    </row>
    <row r="29">
      <c r="A29" s="22" t="s">
        <v>8</v>
      </c>
      <c r="B29" s="18"/>
      <c r="C29" s="18"/>
      <c r="D29" s="10">
        <f t="shared" si="1"/>
        <v>0</v>
      </c>
      <c r="E29" s="10">
        <f t="shared" si="2"/>
        <v>0</v>
      </c>
    </row>
    <row r="34">
      <c r="B34" s="10">
        <f t="shared" ref="B34:C34" si="3">SUM(B2:B29)</f>
        <v>58</v>
      </c>
      <c r="C34" s="10">
        <f t="shared" si="3"/>
        <v>58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2" width="3.88"/>
  </cols>
  <sheetData>
    <row r="1">
      <c r="C1" s="2" t="s">
        <v>65</v>
      </c>
      <c r="D1" s="2" t="s">
        <v>3</v>
      </c>
      <c r="E1" s="2" t="s">
        <v>6</v>
      </c>
      <c r="F1" s="5" t="s">
        <v>56</v>
      </c>
      <c r="G1" s="2" t="s">
        <v>22</v>
      </c>
      <c r="H1" s="23" t="s">
        <v>9</v>
      </c>
      <c r="I1" s="24" t="s">
        <v>16</v>
      </c>
      <c r="J1" s="2" t="s">
        <v>10</v>
      </c>
      <c r="K1" s="2" t="s">
        <v>5</v>
      </c>
      <c r="L1" s="2" t="s">
        <v>30</v>
      </c>
      <c r="M1" s="2" t="s">
        <v>15</v>
      </c>
      <c r="N1" s="2" t="s">
        <v>11</v>
      </c>
      <c r="O1" s="2" t="s">
        <v>19</v>
      </c>
      <c r="P1" s="2" t="s">
        <v>17</v>
      </c>
      <c r="Q1" s="2" t="s">
        <v>12</v>
      </c>
      <c r="R1" s="25" t="s">
        <v>66</v>
      </c>
      <c r="S1" s="2" t="s">
        <v>14</v>
      </c>
      <c r="T1" s="26" t="s">
        <v>62</v>
      </c>
      <c r="U1" s="26" t="s">
        <v>32</v>
      </c>
      <c r="V1" s="27" t="s">
        <v>27</v>
      </c>
      <c r="W1" s="2" t="s">
        <v>46</v>
      </c>
      <c r="X1" s="2" t="s">
        <v>34</v>
      </c>
      <c r="Y1" s="23" t="s">
        <v>50</v>
      </c>
      <c r="Z1" s="2" t="s">
        <v>45</v>
      </c>
      <c r="AA1" s="2" t="s">
        <v>52</v>
      </c>
      <c r="AB1" s="2" t="s">
        <v>23</v>
      </c>
      <c r="AC1" s="2" t="s">
        <v>41</v>
      </c>
      <c r="AD1" s="24" t="s">
        <v>39</v>
      </c>
      <c r="AE1" s="2" t="s">
        <v>35</v>
      </c>
      <c r="AF1" s="2" t="s">
        <v>58</v>
      </c>
      <c r="AG1" s="2" t="s">
        <v>59</v>
      </c>
      <c r="AH1" s="2" t="s">
        <v>60</v>
      </c>
    </row>
    <row r="2">
      <c r="A2" s="28">
        <v>1.0</v>
      </c>
      <c r="B2" s="29" t="s">
        <v>10</v>
      </c>
      <c r="C2" s="30">
        <v>3.0</v>
      </c>
      <c r="D2" s="30">
        <v>2.0</v>
      </c>
      <c r="E2" s="31"/>
      <c r="F2" s="31"/>
      <c r="G2" s="30">
        <v>2.0</v>
      </c>
      <c r="H2" s="30">
        <v>8.0</v>
      </c>
      <c r="I2" s="31"/>
      <c r="J2" s="31"/>
      <c r="K2" s="31"/>
      <c r="L2" s="31"/>
      <c r="M2" s="30">
        <v>8.0</v>
      </c>
      <c r="N2" s="30">
        <v>10.0</v>
      </c>
      <c r="O2" s="30">
        <v>10.0</v>
      </c>
      <c r="P2" s="31"/>
      <c r="Q2" s="30">
        <v>7.0</v>
      </c>
      <c r="R2" s="30">
        <v>10.0</v>
      </c>
      <c r="S2" s="30">
        <v>12.0</v>
      </c>
      <c r="T2" s="30">
        <v>1.0</v>
      </c>
      <c r="U2" s="30">
        <v>12.0</v>
      </c>
      <c r="V2" s="30">
        <v>12.0</v>
      </c>
      <c r="W2" s="31"/>
      <c r="X2" s="30">
        <v>1.0</v>
      </c>
      <c r="Y2" s="30">
        <v>2.0</v>
      </c>
      <c r="Z2" s="30">
        <v>12.0</v>
      </c>
      <c r="AA2" s="30">
        <v>7.0</v>
      </c>
      <c r="AB2" s="31"/>
      <c r="AC2" s="30">
        <v>10.0</v>
      </c>
      <c r="AD2" s="30">
        <v>10.0</v>
      </c>
      <c r="AE2" s="31"/>
      <c r="AF2" s="10">
        <f t="shared" ref="AF2:AF27" si="1">sum(C2:AE2)</f>
        <v>139</v>
      </c>
      <c r="AG2" s="10">
        <f t="shared" ref="AG2:AG27" si="2">counta(C2:AE2)</f>
        <v>19</v>
      </c>
      <c r="AH2" s="10">
        <f t="shared" ref="AH2:AH27" si="3">countif(C2:AE2,12)</f>
        <v>4</v>
      </c>
    </row>
    <row r="3">
      <c r="A3" s="32">
        <v>2.0</v>
      </c>
      <c r="B3" s="33" t="s">
        <v>52</v>
      </c>
      <c r="C3" s="34">
        <v>10.0</v>
      </c>
      <c r="D3" s="35"/>
      <c r="E3" s="34">
        <v>3.0</v>
      </c>
      <c r="F3" s="34">
        <v>10.0</v>
      </c>
      <c r="G3" s="34">
        <v>12.0</v>
      </c>
      <c r="H3" s="35"/>
      <c r="I3" s="34">
        <v>8.0</v>
      </c>
      <c r="J3" s="35"/>
      <c r="K3" s="35"/>
      <c r="L3" s="35"/>
      <c r="M3" s="34">
        <v>12.0</v>
      </c>
      <c r="N3" s="35"/>
      <c r="O3" s="35"/>
      <c r="P3" s="35"/>
      <c r="Q3" s="34">
        <v>2.0</v>
      </c>
      <c r="R3" s="35"/>
      <c r="S3" s="35"/>
      <c r="T3" s="35"/>
      <c r="U3" s="34">
        <v>8.0</v>
      </c>
      <c r="V3" s="34">
        <v>10.0</v>
      </c>
      <c r="W3" s="35"/>
      <c r="X3" s="35"/>
      <c r="Y3" s="34">
        <v>6.0</v>
      </c>
      <c r="Z3" s="35"/>
      <c r="AA3" s="35"/>
      <c r="AB3" s="34">
        <v>10.0</v>
      </c>
      <c r="AC3" s="34">
        <v>2.0</v>
      </c>
      <c r="AD3" s="34">
        <v>6.0</v>
      </c>
      <c r="AE3" s="34">
        <v>8.0</v>
      </c>
      <c r="AF3" s="10">
        <f t="shared" si="1"/>
        <v>107</v>
      </c>
      <c r="AG3" s="10">
        <f t="shared" si="2"/>
        <v>14</v>
      </c>
      <c r="AH3" s="10">
        <f t="shared" si="3"/>
        <v>2</v>
      </c>
    </row>
    <row r="4">
      <c r="A4" s="36">
        <v>3.0</v>
      </c>
      <c r="B4" s="37" t="s">
        <v>9</v>
      </c>
      <c r="C4" s="38">
        <v>8.0</v>
      </c>
      <c r="D4" s="38">
        <v>12.0</v>
      </c>
      <c r="E4" s="38">
        <v>12.0</v>
      </c>
      <c r="F4" s="38">
        <v>12.0</v>
      </c>
      <c r="G4" s="38">
        <v>8.0</v>
      </c>
      <c r="H4" s="39"/>
      <c r="I4" s="39"/>
      <c r="J4" s="39"/>
      <c r="K4" s="38">
        <v>3.0</v>
      </c>
      <c r="L4" s="38">
        <v>1.0</v>
      </c>
      <c r="M4" s="38">
        <v>4.0</v>
      </c>
      <c r="N4" s="39"/>
      <c r="O4" s="38">
        <v>1.0</v>
      </c>
      <c r="P4" s="38">
        <v>6.0</v>
      </c>
      <c r="Q4" s="39"/>
      <c r="R4" s="38">
        <v>3.0</v>
      </c>
      <c r="S4" s="39"/>
      <c r="T4" s="38">
        <v>12.0</v>
      </c>
      <c r="U4" s="39"/>
      <c r="V4" s="39"/>
      <c r="W4" s="38">
        <v>1.0</v>
      </c>
      <c r="X4" s="39"/>
      <c r="Y4" s="39"/>
      <c r="Z4" s="38">
        <v>5.0</v>
      </c>
      <c r="AA4" s="39"/>
      <c r="AB4" s="38">
        <v>3.0</v>
      </c>
      <c r="AC4" s="39"/>
      <c r="AD4" s="38">
        <v>4.0</v>
      </c>
      <c r="AE4" s="38">
        <v>10.0</v>
      </c>
      <c r="AF4" s="10">
        <f t="shared" si="1"/>
        <v>105</v>
      </c>
      <c r="AG4" s="10">
        <f t="shared" si="2"/>
        <v>17</v>
      </c>
      <c r="AH4" s="10">
        <f t="shared" si="3"/>
        <v>4</v>
      </c>
    </row>
    <row r="5">
      <c r="A5" s="28">
        <v>4.0</v>
      </c>
      <c r="B5" s="33" t="s">
        <v>62</v>
      </c>
      <c r="C5" s="40">
        <v>5.0</v>
      </c>
      <c r="D5" s="41"/>
      <c r="E5" s="41"/>
      <c r="F5" s="41"/>
      <c r="G5" s="40">
        <v>3.0</v>
      </c>
      <c r="H5" s="41"/>
      <c r="I5" s="41"/>
      <c r="J5" s="41"/>
      <c r="K5" s="41"/>
      <c r="L5" s="40">
        <v>12.0</v>
      </c>
      <c r="M5" s="40">
        <v>3.0</v>
      </c>
      <c r="N5" s="40">
        <v>2.0</v>
      </c>
      <c r="O5" s="41"/>
      <c r="P5" s="41"/>
      <c r="Q5" s="40">
        <v>4.0</v>
      </c>
      <c r="R5" s="41"/>
      <c r="S5" s="40">
        <v>7.0</v>
      </c>
      <c r="T5" s="41"/>
      <c r="U5" s="41"/>
      <c r="V5" s="40">
        <v>8.0</v>
      </c>
      <c r="W5" s="40">
        <v>12.0</v>
      </c>
      <c r="X5" s="40">
        <v>12.0</v>
      </c>
      <c r="Y5" s="40">
        <v>4.0</v>
      </c>
      <c r="Z5" s="40">
        <v>4.0</v>
      </c>
      <c r="AA5" s="41"/>
      <c r="AB5" s="41"/>
      <c r="AC5" s="40">
        <v>8.0</v>
      </c>
      <c r="AD5" s="41"/>
      <c r="AE5" s="40">
        <v>7.0</v>
      </c>
      <c r="AF5" s="10">
        <f t="shared" si="1"/>
        <v>91</v>
      </c>
      <c r="AG5" s="10">
        <f t="shared" si="2"/>
        <v>14</v>
      </c>
      <c r="AH5" s="10">
        <f t="shared" si="3"/>
        <v>3</v>
      </c>
    </row>
    <row r="6">
      <c r="A6" s="32">
        <v>5.0</v>
      </c>
      <c r="B6" s="29" t="s">
        <v>35</v>
      </c>
      <c r="C6" s="42">
        <v>6.0</v>
      </c>
      <c r="D6" s="43"/>
      <c r="E6" s="42">
        <v>10.0</v>
      </c>
      <c r="F6" s="43"/>
      <c r="G6" s="43"/>
      <c r="H6" s="42">
        <v>3.0</v>
      </c>
      <c r="I6" s="42">
        <v>1.0</v>
      </c>
      <c r="J6" s="43"/>
      <c r="K6" s="42">
        <v>6.0</v>
      </c>
      <c r="L6" s="43"/>
      <c r="M6" s="43"/>
      <c r="N6" s="43"/>
      <c r="O6" s="42">
        <v>12.0</v>
      </c>
      <c r="P6" s="42">
        <v>8.0</v>
      </c>
      <c r="Q6" s="43"/>
      <c r="R6" s="42">
        <v>5.0</v>
      </c>
      <c r="S6" s="43"/>
      <c r="T6" s="42">
        <v>5.0</v>
      </c>
      <c r="U6" s="42">
        <v>7.0</v>
      </c>
      <c r="V6" s="43"/>
      <c r="W6" s="42">
        <v>5.0</v>
      </c>
      <c r="X6" s="42">
        <v>7.0</v>
      </c>
      <c r="Y6" s="43"/>
      <c r="Z6" s="42">
        <v>6.0</v>
      </c>
      <c r="AA6" s="43"/>
      <c r="AB6" s="43"/>
      <c r="AC6" s="43"/>
      <c r="AD6" s="42">
        <v>7.0</v>
      </c>
      <c r="AE6" s="43"/>
      <c r="AF6" s="10">
        <f t="shared" si="1"/>
        <v>88</v>
      </c>
      <c r="AG6" s="10">
        <f t="shared" si="2"/>
        <v>14</v>
      </c>
      <c r="AH6" s="10">
        <f t="shared" si="3"/>
        <v>1</v>
      </c>
    </row>
    <row r="7">
      <c r="A7" s="36">
        <v>6.0</v>
      </c>
      <c r="B7" s="44" t="s">
        <v>27</v>
      </c>
      <c r="C7" s="30">
        <v>12.0</v>
      </c>
      <c r="D7" s="30">
        <v>7.0</v>
      </c>
      <c r="E7" s="30">
        <v>1.0</v>
      </c>
      <c r="F7" s="31"/>
      <c r="G7" s="30">
        <v>6.0</v>
      </c>
      <c r="H7" s="31"/>
      <c r="I7" s="30">
        <v>6.0</v>
      </c>
      <c r="J7" s="31"/>
      <c r="K7" s="31"/>
      <c r="L7" s="31"/>
      <c r="M7" s="30">
        <v>5.0</v>
      </c>
      <c r="N7" s="31"/>
      <c r="O7" s="30">
        <v>3.0</v>
      </c>
      <c r="P7" s="31"/>
      <c r="Q7" s="31"/>
      <c r="R7" s="31"/>
      <c r="S7" s="30">
        <v>3.0</v>
      </c>
      <c r="T7" s="31"/>
      <c r="U7" s="30">
        <v>6.0</v>
      </c>
      <c r="V7" s="31"/>
      <c r="W7" s="31"/>
      <c r="X7" s="31"/>
      <c r="Y7" s="30">
        <v>8.0</v>
      </c>
      <c r="Z7" s="30">
        <v>7.0</v>
      </c>
      <c r="AA7" s="30">
        <v>6.0</v>
      </c>
      <c r="AB7" s="31"/>
      <c r="AC7" s="30">
        <v>5.0</v>
      </c>
      <c r="AD7" s="30">
        <v>8.0</v>
      </c>
      <c r="AE7" s="30">
        <v>4.0</v>
      </c>
      <c r="AF7" s="10">
        <f t="shared" si="1"/>
        <v>87</v>
      </c>
      <c r="AG7" s="10">
        <f t="shared" si="2"/>
        <v>15</v>
      </c>
      <c r="AH7" s="10">
        <f t="shared" si="3"/>
        <v>1</v>
      </c>
    </row>
    <row r="8">
      <c r="A8" s="28">
        <v>7.0</v>
      </c>
      <c r="B8" s="37" t="s">
        <v>50</v>
      </c>
      <c r="C8" s="45"/>
      <c r="D8" s="45"/>
      <c r="E8" s="45"/>
      <c r="F8" s="45"/>
      <c r="G8" s="45"/>
      <c r="H8" s="38">
        <v>12.0</v>
      </c>
      <c r="I8" s="38">
        <v>10.0</v>
      </c>
      <c r="J8" s="39"/>
      <c r="K8" s="39"/>
      <c r="L8" s="38">
        <v>3.0</v>
      </c>
      <c r="M8" s="38">
        <v>6.0</v>
      </c>
      <c r="N8" s="38">
        <v>3.0</v>
      </c>
      <c r="O8" s="39"/>
      <c r="P8" s="39"/>
      <c r="Q8" s="38">
        <v>1.0</v>
      </c>
      <c r="R8" s="39"/>
      <c r="S8" s="39"/>
      <c r="T8" s="39"/>
      <c r="U8" s="38">
        <v>10.0</v>
      </c>
      <c r="V8" s="39"/>
      <c r="W8" s="39"/>
      <c r="X8" s="39"/>
      <c r="Y8" s="39"/>
      <c r="Z8" s="38">
        <v>10.0</v>
      </c>
      <c r="AA8" s="38">
        <v>10.0</v>
      </c>
      <c r="AB8" s="39"/>
      <c r="AC8" s="39"/>
      <c r="AD8" s="38">
        <v>12.0</v>
      </c>
      <c r="AE8" s="38">
        <v>5.0</v>
      </c>
      <c r="AF8" s="10">
        <f t="shared" si="1"/>
        <v>82</v>
      </c>
      <c r="AG8" s="10">
        <f t="shared" si="2"/>
        <v>11</v>
      </c>
      <c r="AH8" s="10">
        <f t="shared" si="3"/>
        <v>2</v>
      </c>
    </row>
    <row r="9">
      <c r="A9" s="32">
        <v>8.0</v>
      </c>
      <c r="B9" s="33" t="s">
        <v>45</v>
      </c>
      <c r="C9" s="46"/>
      <c r="D9" s="34">
        <v>8.0</v>
      </c>
      <c r="E9" s="35"/>
      <c r="F9" s="34">
        <v>7.0</v>
      </c>
      <c r="G9" s="35"/>
      <c r="H9" s="34">
        <v>5.0</v>
      </c>
      <c r="I9" s="35"/>
      <c r="J9" s="34">
        <v>10.0</v>
      </c>
      <c r="K9" s="35"/>
      <c r="L9" s="35"/>
      <c r="M9" s="35"/>
      <c r="N9" s="35"/>
      <c r="O9" s="35"/>
      <c r="P9" s="34">
        <v>10.0</v>
      </c>
      <c r="Q9" s="34">
        <v>6.0</v>
      </c>
      <c r="R9" s="34">
        <v>7.0</v>
      </c>
      <c r="S9" s="35"/>
      <c r="T9" s="34">
        <v>6.0</v>
      </c>
      <c r="U9" s="35"/>
      <c r="V9" s="35"/>
      <c r="W9" s="35"/>
      <c r="X9" s="34">
        <v>8.0</v>
      </c>
      <c r="Y9" s="35"/>
      <c r="Z9" s="35"/>
      <c r="AA9" s="35"/>
      <c r="AB9" s="34">
        <v>7.0</v>
      </c>
      <c r="AC9" s="35"/>
      <c r="AD9" s="35"/>
      <c r="AE9" s="34">
        <v>1.0</v>
      </c>
      <c r="AF9" s="10">
        <f t="shared" si="1"/>
        <v>75</v>
      </c>
      <c r="AG9" s="10">
        <f t="shared" si="2"/>
        <v>11</v>
      </c>
      <c r="AH9" s="10">
        <f t="shared" si="3"/>
        <v>0</v>
      </c>
    </row>
    <row r="10">
      <c r="A10" s="36">
        <v>9.0</v>
      </c>
      <c r="B10" s="47" t="s">
        <v>41</v>
      </c>
      <c r="C10" s="48"/>
      <c r="D10" s="48"/>
      <c r="E10" s="40">
        <v>5.0</v>
      </c>
      <c r="F10" s="41"/>
      <c r="G10" s="40">
        <v>4.0</v>
      </c>
      <c r="H10" s="40">
        <v>4.0</v>
      </c>
      <c r="I10" s="40">
        <v>5.0</v>
      </c>
      <c r="J10" s="41"/>
      <c r="K10" s="40">
        <v>1.0</v>
      </c>
      <c r="L10" s="40">
        <v>4.0</v>
      </c>
      <c r="M10" s="41"/>
      <c r="N10" s="41"/>
      <c r="O10" s="41"/>
      <c r="P10" s="40">
        <v>4.0</v>
      </c>
      <c r="Q10" s="40">
        <v>10.0</v>
      </c>
      <c r="R10" s="41"/>
      <c r="S10" s="41"/>
      <c r="T10" s="40">
        <v>3.0</v>
      </c>
      <c r="U10" s="41"/>
      <c r="V10" s="41"/>
      <c r="W10" s="40">
        <v>3.0</v>
      </c>
      <c r="X10" s="40">
        <v>5.0</v>
      </c>
      <c r="Y10" s="40">
        <v>10.0</v>
      </c>
      <c r="Z10" s="40">
        <v>8.0</v>
      </c>
      <c r="AA10" s="41"/>
      <c r="AB10" s="40">
        <v>4.0</v>
      </c>
      <c r="AC10" s="41"/>
      <c r="AD10" s="41"/>
      <c r="AE10" s="41"/>
      <c r="AF10" s="10">
        <f t="shared" si="1"/>
        <v>70</v>
      </c>
      <c r="AG10" s="10">
        <f t="shared" si="2"/>
        <v>14</v>
      </c>
      <c r="AH10" s="10">
        <f t="shared" si="3"/>
        <v>0</v>
      </c>
    </row>
    <row r="11">
      <c r="A11" s="28">
        <v>10.0</v>
      </c>
      <c r="B11" s="44" t="s">
        <v>6</v>
      </c>
      <c r="C11" s="49"/>
      <c r="D11" s="30">
        <v>3.0</v>
      </c>
      <c r="E11" s="31"/>
      <c r="F11" s="30">
        <v>2.0</v>
      </c>
      <c r="G11" s="31"/>
      <c r="H11" s="31"/>
      <c r="I11" s="31"/>
      <c r="J11" s="30">
        <v>12.0</v>
      </c>
      <c r="K11" s="31"/>
      <c r="L11" s="30">
        <v>8.0</v>
      </c>
      <c r="M11" s="31"/>
      <c r="N11" s="30">
        <v>6.0</v>
      </c>
      <c r="O11" s="30">
        <v>2.0</v>
      </c>
      <c r="P11" s="30">
        <v>12.0</v>
      </c>
      <c r="Q11" s="30">
        <v>8.0</v>
      </c>
      <c r="R11" s="31"/>
      <c r="S11" s="31"/>
      <c r="T11" s="30">
        <v>4.0</v>
      </c>
      <c r="U11" s="31"/>
      <c r="V11" s="31"/>
      <c r="W11" s="31"/>
      <c r="X11" s="31"/>
      <c r="Y11" s="31"/>
      <c r="Z11" s="30">
        <v>3.0</v>
      </c>
      <c r="AA11" s="31"/>
      <c r="AB11" s="30">
        <v>6.0</v>
      </c>
      <c r="AC11" s="31"/>
      <c r="AD11" s="31"/>
      <c r="AE11" s="31"/>
      <c r="AF11" s="10">
        <f t="shared" si="1"/>
        <v>66</v>
      </c>
      <c r="AG11" s="10">
        <f t="shared" si="2"/>
        <v>11</v>
      </c>
      <c r="AH11" s="10">
        <f t="shared" si="3"/>
        <v>2</v>
      </c>
    </row>
    <row r="12">
      <c r="A12" s="50">
        <v>11.0</v>
      </c>
      <c r="B12" s="51" t="s">
        <v>11</v>
      </c>
      <c r="C12" s="49"/>
      <c r="D12" s="49"/>
      <c r="E12" s="49"/>
      <c r="F12" s="30">
        <v>5.0</v>
      </c>
      <c r="G12" s="31"/>
      <c r="H12" s="31"/>
      <c r="I12" s="31"/>
      <c r="J12" s="31"/>
      <c r="K12" s="31"/>
      <c r="L12" s="30">
        <v>5.0</v>
      </c>
      <c r="M12" s="31"/>
      <c r="N12" s="31"/>
      <c r="O12" s="30">
        <v>5.0</v>
      </c>
      <c r="P12" s="30">
        <v>2.0</v>
      </c>
      <c r="Q12" s="31"/>
      <c r="R12" s="31"/>
      <c r="S12" s="30">
        <v>10.0</v>
      </c>
      <c r="T12" s="30">
        <v>8.0</v>
      </c>
      <c r="U12" s="31"/>
      <c r="V12" s="30">
        <v>5.0</v>
      </c>
      <c r="W12" s="30">
        <v>7.0</v>
      </c>
      <c r="X12" s="30">
        <v>2.0</v>
      </c>
      <c r="Y12" s="30">
        <v>3.0</v>
      </c>
      <c r="Z12" s="31"/>
      <c r="AA12" s="31"/>
      <c r="AB12" s="31"/>
      <c r="AC12" s="30">
        <v>7.0</v>
      </c>
      <c r="AD12" s="31"/>
      <c r="AE12" s="30">
        <v>2.0</v>
      </c>
      <c r="AF12" s="10">
        <f t="shared" si="1"/>
        <v>61</v>
      </c>
      <c r="AG12" s="10">
        <f t="shared" si="2"/>
        <v>12</v>
      </c>
      <c r="AH12" s="10">
        <f t="shared" si="3"/>
        <v>0</v>
      </c>
    </row>
    <row r="13">
      <c r="A13" s="52">
        <v>12.0</v>
      </c>
      <c r="B13" s="53" t="s">
        <v>39</v>
      </c>
      <c r="C13" s="54"/>
      <c r="D13" s="54"/>
      <c r="E13" s="42">
        <v>8.0</v>
      </c>
      <c r="F13" s="42">
        <v>6.0</v>
      </c>
      <c r="G13" s="43"/>
      <c r="H13" s="43"/>
      <c r="I13" s="43"/>
      <c r="J13" s="43"/>
      <c r="K13" s="43"/>
      <c r="L13" s="43"/>
      <c r="M13" s="42">
        <v>2.0</v>
      </c>
      <c r="N13" s="42">
        <v>4.0</v>
      </c>
      <c r="O13" s="43"/>
      <c r="P13" s="43"/>
      <c r="Q13" s="42">
        <v>5.0</v>
      </c>
      <c r="R13" s="43"/>
      <c r="S13" s="43"/>
      <c r="T13" s="43"/>
      <c r="U13" s="42">
        <v>3.0</v>
      </c>
      <c r="V13" s="43"/>
      <c r="W13" s="42">
        <v>4.0</v>
      </c>
      <c r="X13" s="42">
        <v>6.0</v>
      </c>
      <c r="Y13" s="43"/>
      <c r="Z13" s="43"/>
      <c r="AA13" s="42">
        <v>8.0</v>
      </c>
      <c r="AB13" s="43"/>
      <c r="AC13" s="43"/>
      <c r="AD13" s="43"/>
      <c r="AE13" s="42">
        <v>12.0</v>
      </c>
      <c r="AF13" s="10">
        <f t="shared" si="1"/>
        <v>58</v>
      </c>
      <c r="AG13" s="10">
        <f t="shared" si="2"/>
        <v>10</v>
      </c>
      <c r="AH13" s="10">
        <f t="shared" si="3"/>
        <v>1</v>
      </c>
    </row>
    <row r="14">
      <c r="A14" s="55">
        <v>13.0</v>
      </c>
      <c r="B14" s="51" t="s">
        <v>5</v>
      </c>
      <c r="C14" s="30">
        <v>4.0</v>
      </c>
      <c r="D14" s="31"/>
      <c r="E14" s="31"/>
      <c r="F14" s="30">
        <v>3.0</v>
      </c>
      <c r="G14" s="31"/>
      <c r="H14" s="31"/>
      <c r="I14" s="30">
        <v>7.0</v>
      </c>
      <c r="J14" s="30">
        <v>4.0</v>
      </c>
      <c r="K14" s="31"/>
      <c r="L14" s="31"/>
      <c r="M14" s="30">
        <v>10.0</v>
      </c>
      <c r="N14" s="31"/>
      <c r="O14" s="31"/>
      <c r="P14" s="31"/>
      <c r="Q14" s="31"/>
      <c r="R14" s="30">
        <v>8.0</v>
      </c>
      <c r="S14" s="30">
        <v>8.0</v>
      </c>
      <c r="T14" s="31"/>
      <c r="U14" s="31"/>
      <c r="V14" s="30">
        <v>4.0</v>
      </c>
      <c r="W14" s="31"/>
      <c r="X14" s="31"/>
      <c r="Y14" s="31"/>
      <c r="Z14" s="31"/>
      <c r="AA14" s="30">
        <v>2.0</v>
      </c>
      <c r="AB14" s="30">
        <v>8.0</v>
      </c>
      <c r="AC14" s="31"/>
      <c r="AD14" s="31"/>
      <c r="AE14" s="31"/>
      <c r="AF14" s="10">
        <f t="shared" si="1"/>
        <v>58</v>
      </c>
      <c r="AG14" s="10">
        <f t="shared" si="2"/>
        <v>10</v>
      </c>
      <c r="AH14" s="10">
        <f t="shared" si="3"/>
        <v>0</v>
      </c>
    </row>
    <row r="15">
      <c r="A15" s="50">
        <v>14.0</v>
      </c>
      <c r="B15" s="56" t="s">
        <v>34</v>
      </c>
      <c r="C15" s="49"/>
      <c r="D15" s="30">
        <v>6.0</v>
      </c>
      <c r="E15" s="31"/>
      <c r="F15" s="31"/>
      <c r="G15" s="31"/>
      <c r="H15" s="30">
        <v>2.0</v>
      </c>
      <c r="I15" s="31"/>
      <c r="J15" s="31"/>
      <c r="K15" s="31"/>
      <c r="L15" s="30">
        <v>6.0</v>
      </c>
      <c r="M15" s="31"/>
      <c r="N15" s="31"/>
      <c r="O15" s="30">
        <v>4.0</v>
      </c>
      <c r="P15" s="30">
        <v>5.0</v>
      </c>
      <c r="Q15" s="31"/>
      <c r="R15" s="31"/>
      <c r="S15" s="31"/>
      <c r="T15" s="30">
        <v>10.0</v>
      </c>
      <c r="U15" s="30">
        <v>1.0</v>
      </c>
      <c r="V15" s="30">
        <v>1.0</v>
      </c>
      <c r="W15" s="30">
        <v>8.0</v>
      </c>
      <c r="X15" s="31"/>
      <c r="Y15" s="31"/>
      <c r="Z15" s="31"/>
      <c r="AA15" s="31"/>
      <c r="AB15" s="30">
        <v>5.0</v>
      </c>
      <c r="AC15" s="30">
        <v>1.0</v>
      </c>
      <c r="AD15" s="30">
        <v>2.0</v>
      </c>
      <c r="AE15" s="30">
        <v>6.0</v>
      </c>
      <c r="AF15" s="10">
        <f t="shared" si="1"/>
        <v>57</v>
      </c>
      <c r="AG15" s="10">
        <f t="shared" si="2"/>
        <v>13</v>
      </c>
      <c r="AH15" s="10">
        <f t="shared" si="3"/>
        <v>0</v>
      </c>
    </row>
    <row r="16">
      <c r="A16" s="52">
        <v>15.0</v>
      </c>
      <c r="B16" s="57" t="s">
        <v>32</v>
      </c>
      <c r="C16" s="48"/>
      <c r="D16" s="40">
        <v>1.0</v>
      </c>
      <c r="E16" s="40">
        <v>7.0</v>
      </c>
      <c r="F16" s="41"/>
      <c r="G16" s="41"/>
      <c r="H16" s="40">
        <v>6.0</v>
      </c>
      <c r="I16" s="41"/>
      <c r="J16" s="41"/>
      <c r="K16" s="41"/>
      <c r="L16" s="40">
        <v>7.0</v>
      </c>
      <c r="M16" s="40">
        <v>1.0</v>
      </c>
      <c r="N16" s="40">
        <v>7.0</v>
      </c>
      <c r="O16" s="40">
        <v>7.0</v>
      </c>
      <c r="P16" s="41"/>
      <c r="Q16" s="41"/>
      <c r="R16" s="41"/>
      <c r="S16" s="41"/>
      <c r="T16" s="41"/>
      <c r="U16" s="41"/>
      <c r="V16" s="40">
        <v>6.0</v>
      </c>
      <c r="W16" s="41"/>
      <c r="X16" s="41"/>
      <c r="Y16" s="40">
        <v>1.0</v>
      </c>
      <c r="Z16" s="41"/>
      <c r="AA16" s="41"/>
      <c r="AB16" s="40">
        <v>2.0</v>
      </c>
      <c r="AC16" s="40">
        <v>12.0</v>
      </c>
      <c r="AD16" s="41"/>
      <c r="AE16" s="41"/>
      <c r="AF16" s="10">
        <f t="shared" si="1"/>
        <v>57</v>
      </c>
      <c r="AG16" s="10">
        <f t="shared" si="2"/>
        <v>11</v>
      </c>
      <c r="AH16" s="10">
        <f t="shared" si="3"/>
        <v>1</v>
      </c>
    </row>
    <row r="17">
      <c r="A17" s="55">
        <v>16.0</v>
      </c>
      <c r="B17" s="58" t="s">
        <v>12</v>
      </c>
      <c r="C17" s="48"/>
      <c r="D17" s="40">
        <v>5.0</v>
      </c>
      <c r="E17" s="41"/>
      <c r="F17" s="40">
        <v>1.0</v>
      </c>
      <c r="G17" s="41"/>
      <c r="H17" s="41"/>
      <c r="I17" s="41"/>
      <c r="J17" s="41"/>
      <c r="K17" s="41"/>
      <c r="L17" s="41"/>
      <c r="M17" s="41"/>
      <c r="N17" s="40">
        <v>1.0</v>
      </c>
      <c r="O17" s="41"/>
      <c r="P17" s="40">
        <v>7.0</v>
      </c>
      <c r="Q17" s="41"/>
      <c r="R17" s="40">
        <v>12.0</v>
      </c>
      <c r="S17" s="40">
        <v>5.0</v>
      </c>
      <c r="T17" s="41"/>
      <c r="U17" s="41"/>
      <c r="V17" s="41"/>
      <c r="W17" s="40">
        <v>10.0</v>
      </c>
      <c r="X17" s="41"/>
      <c r="Y17" s="41"/>
      <c r="Z17" s="41"/>
      <c r="AA17" s="41"/>
      <c r="AB17" s="40">
        <v>12.0</v>
      </c>
      <c r="AC17" s="40">
        <v>3.0</v>
      </c>
      <c r="AD17" s="41"/>
      <c r="AE17" s="41"/>
      <c r="AF17" s="10">
        <f t="shared" si="1"/>
        <v>56</v>
      </c>
      <c r="AG17" s="10">
        <f t="shared" si="2"/>
        <v>9</v>
      </c>
      <c r="AH17" s="10">
        <f t="shared" si="3"/>
        <v>2</v>
      </c>
    </row>
    <row r="18">
      <c r="A18" s="50">
        <v>17.0</v>
      </c>
      <c r="B18" s="59" t="s">
        <v>23</v>
      </c>
      <c r="C18" s="54"/>
      <c r="D18" s="42">
        <v>10.0</v>
      </c>
      <c r="E18" s="43"/>
      <c r="F18" s="43"/>
      <c r="G18" s="42">
        <v>1.0</v>
      </c>
      <c r="H18" s="43"/>
      <c r="I18" s="43"/>
      <c r="J18" s="42">
        <v>5.0</v>
      </c>
      <c r="K18" s="42">
        <v>7.0</v>
      </c>
      <c r="L18" s="42">
        <v>10.0</v>
      </c>
      <c r="M18" s="43"/>
      <c r="N18" s="43"/>
      <c r="O18" s="43"/>
      <c r="P18" s="42">
        <v>3.0</v>
      </c>
      <c r="Q18" s="43"/>
      <c r="R18" s="42">
        <v>1.0</v>
      </c>
      <c r="S18" s="42">
        <v>1.0</v>
      </c>
      <c r="T18" s="43"/>
      <c r="U18" s="43"/>
      <c r="V18" s="43"/>
      <c r="W18" s="43"/>
      <c r="X18" s="42">
        <v>10.0</v>
      </c>
      <c r="Y18" s="43"/>
      <c r="Z18" s="42">
        <v>1.0</v>
      </c>
      <c r="AA18" s="42">
        <v>1.0</v>
      </c>
      <c r="AB18" s="43"/>
      <c r="AC18" s="43"/>
      <c r="AD18" s="43"/>
      <c r="AE18" s="43"/>
      <c r="AF18" s="10">
        <f t="shared" si="1"/>
        <v>50</v>
      </c>
      <c r="AG18" s="10">
        <f t="shared" si="2"/>
        <v>11</v>
      </c>
      <c r="AH18" s="10">
        <f t="shared" si="3"/>
        <v>0</v>
      </c>
    </row>
    <row r="19">
      <c r="A19" s="52">
        <v>18.0</v>
      </c>
      <c r="B19" s="56" t="s">
        <v>3</v>
      </c>
      <c r="C19" s="49"/>
      <c r="D19" s="49"/>
      <c r="E19" s="49"/>
      <c r="F19" s="49"/>
      <c r="G19" s="30">
        <v>10.0</v>
      </c>
      <c r="H19" s="31"/>
      <c r="I19" s="30">
        <v>12.0</v>
      </c>
      <c r="J19" s="30">
        <v>6.0</v>
      </c>
      <c r="K19" s="30">
        <v>2.0</v>
      </c>
      <c r="L19" s="31"/>
      <c r="M19" s="31"/>
      <c r="N19" s="31"/>
      <c r="O19" s="31"/>
      <c r="P19" s="31"/>
      <c r="Q19" s="30">
        <v>12.0</v>
      </c>
      <c r="R19" s="30">
        <v>2.0</v>
      </c>
      <c r="S19" s="31"/>
      <c r="T19" s="31"/>
      <c r="U19" s="30">
        <v>2.0</v>
      </c>
      <c r="V19" s="31"/>
      <c r="W19" s="31"/>
      <c r="X19" s="31"/>
      <c r="Y19" s="31"/>
      <c r="Z19" s="31"/>
      <c r="AA19" s="30">
        <v>3.0</v>
      </c>
      <c r="AB19" s="31"/>
      <c r="AC19" s="31"/>
      <c r="AD19" s="31"/>
      <c r="AE19" s="31"/>
      <c r="AF19" s="10">
        <f t="shared" si="1"/>
        <v>49</v>
      </c>
      <c r="AG19" s="10">
        <f t="shared" si="2"/>
        <v>8</v>
      </c>
      <c r="AH19" s="10">
        <f t="shared" si="3"/>
        <v>2</v>
      </c>
    </row>
    <row r="20">
      <c r="A20" s="28">
        <v>19.0</v>
      </c>
      <c r="B20" s="47" t="s">
        <v>56</v>
      </c>
      <c r="C20" s="48"/>
      <c r="D20" s="48"/>
      <c r="E20" s="48"/>
      <c r="F20" s="48"/>
      <c r="G20" s="48"/>
      <c r="H20" s="40">
        <v>7.0</v>
      </c>
      <c r="I20" s="40">
        <v>4.0</v>
      </c>
      <c r="J20" s="40">
        <v>8.0</v>
      </c>
      <c r="K20" s="40">
        <v>12.0</v>
      </c>
      <c r="L20" s="41"/>
      <c r="M20" s="41"/>
      <c r="N20" s="41"/>
      <c r="O20" s="41"/>
      <c r="P20" s="41"/>
      <c r="Q20" s="41"/>
      <c r="R20" s="40">
        <v>6.0</v>
      </c>
      <c r="S20" s="40">
        <v>4.0</v>
      </c>
      <c r="T20" s="41"/>
      <c r="U20" s="41"/>
      <c r="V20" s="41"/>
      <c r="W20" s="41"/>
      <c r="X20" s="40">
        <v>3.0</v>
      </c>
      <c r="Y20" s="40">
        <v>5.0</v>
      </c>
      <c r="Z20" s="41"/>
      <c r="AA20" s="41"/>
      <c r="AB20" s="41"/>
      <c r="AC20" s="41"/>
      <c r="AD20" s="41"/>
      <c r="AE20" s="41"/>
      <c r="AF20" s="10">
        <f t="shared" si="1"/>
        <v>49</v>
      </c>
      <c r="AG20" s="10">
        <f t="shared" si="2"/>
        <v>8</v>
      </c>
      <c r="AH20" s="10">
        <f t="shared" si="3"/>
        <v>1</v>
      </c>
    </row>
    <row r="21">
      <c r="A21" s="60">
        <v>20.0</v>
      </c>
      <c r="B21" s="53" t="s">
        <v>16</v>
      </c>
      <c r="C21" s="42">
        <v>2.0</v>
      </c>
      <c r="D21" s="42">
        <v>4.0</v>
      </c>
      <c r="E21" s="42">
        <v>2.0</v>
      </c>
      <c r="F21" s="43"/>
      <c r="G21" s="42">
        <v>7.0</v>
      </c>
      <c r="H21" s="43"/>
      <c r="I21" s="43"/>
      <c r="J21" s="43"/>
      <c r="K21" s="42">
        <v>5.0</v>
      </c>
      <c r="L21" s="43"/>
      <c r="M21" s="43"/>
      <c r="N21" s="43"/>
      <c r="O21" s="43"/>
      <c r="P21" s="43"/>
      <c r="Q21" s="43"/>
      <c r="R21" s="42">
        <v>4.0</v>
      </c>
      <c r="S21" s="42">
        <v>6.0</v>
      </c>
      <c r="T21" s="43"/>
      <c r="U21" s="42">
        <v>4.0</v>
      </c>
      <c r="V21" s="42">
        <v>2.0</v>
      </c>
      <c r="W21" s="43"/>
      <c r="X21" s="43"/>
      <c r="Y21" s="42">
        <v>7.0</v>
      </c>
      <c r="Z21" s="43"/>
      <c r="AA21" s="43"/>
      <c r="AB21" s="43"/>
      <c r="AC21" s="42">
        <v>4.0</v>
      </c>
      <c r="AD21" s="43"/>
      <c r="AE21" s="43"/>
      <c r="AF21" s="10">
        <f t="shared" si="1"/>
        <v>47</v>
      </c>
      <c r="AG21" s="10">
        <f t="shared" si="2"/>
        <v>11</v>
      </c>
      <c r="AH21" s="10">
        <f t="shared" si="3"/>
        <v>0</v>
      </c>
    </row>
    <row r="22">
      <c r="A22" s="61">
        <v>21.0</v>
      </c>
      <c r="B22" s="59" t="s">
        <v>15</v>
      </c>
      <c r="C22" s="42">
        <v>7.0</v>
      </c>
      <c r="D22" s="43"/>
      <c r="E22" s="42">
        <v>6.0</v>
      </c>
      <c r="F22" s="43"/>
      <c r="G22" s="42">
        <v>5.0</v>
      </c>
      <c r="H22" s="42">
        <v>10.0</v>
      </c>
      <c r="I22" s="43"/>
      <c r="J22" s="43"/>
      <c r="K22" s="43"/>
      <c r="L22" s="43"/>
      <c r="M22" s="43"/>
      <c r="N22" s="43"/>
      <c r="O22" s="42">
        <v>6.0</v>
      </c>
      <c r="P22" s="43"/>
      <c r="Q22" s="43"/>
      <c r="R22" s="43"/>
      <c r="S22" s="43"/>
      <c r="T22" s="43"/>
      <c r="U22" s="42">
        <v>5.0</v>
      </c>
      <c r="V22" s="43"/>
      <c r="W22" s="43"/>
      <c r="X22" s="43"/>
      <c r="Y22" s="43"/>
      <c r="Z22" s="43"/>
      <c r="AA22" s="42">
        <v>5.0</v>
      </c>
      <c r="AB22" s="43"/>
      <c r="AC22" s="43"/>
      <c r="AD22" s="42">
        <v>3.0</v>
      </c>
      <c r="AE22" s="43"/>
      <c r="AF22" s="10">
        <f t="shared" si="1"/>
        <v>47</v>
      </c>
      <c r="AG22" s="10">
        <f t="shared" si="2"/>
        <v>8</v>
      </c>
      <c r="AH22" s="10">
        <f t="shared" si="3"/>
        <v>0</v>
      </c>
    </row>
    <row r="23">
      <c r="A23" s="62">
        <v>22.0</v>
      </c>
      <c r="B23" s="53" t="s">
        <v>65</v>
      </c>
      <c r="C23" s="54"/>
      <c r="D23" s="54"/>
      <c r="E23" s="42">
        <v>4.0</v>
      </c>
      <c r="F23" s="42">
        <v>8.0</v>
      </c>
      <c r="G23" s="43"/>
      <c r="H23" s="43"/>
      <c r="I23" s="42">
        <v>3.0</v>
      </c>
      <c r="J23" s="42">
        <v>3.0</v>
      </c>
      <c r="K23" s="42">
        <v>10.0</v>
      </c>
      <c r="L23" s="43"/>
      <c r="M23" s="43"/>
      <c r="N23" s="43"/>
      <c r="O23" s="42">
        <v>8.0</v>
      </c>
      <c r="P23" s="43"/>
      <c r="Q23" s="42">
        <v>3.0</v>
      </c>
      <c r="R23" s="43"/>
      <c r="S23" s="42">
        <v>2.0</v>
      </c>
      <c r="T23" s="43"/>
      <c r="U23" s="43"/>
      <c r="V23" s="42">
        <v>3.0</v>
      </c>
      <c r="W23" s="43"/>
      <c r="X23" s="43"/>
      <c r="Y23" s="43"/>
      <c r="Z23" s="43"/>
      <c r="AA23" s="43"/>
      <c r="AB23" s="43"/>
      <c r="AC23" s="43"/>
      <c r="AD23" s="43"/>
      <c r="AE23" s="43"/>
      <c r="AF23" s="10">
        <f t="shared" si="1"/>
        <v>44</v>
      </c>
      <c r="AG23" s="10">
        <f t="shared" si="2"/>
        <v>9</v>
      </c>
      <c r="AH23" s="10">
        <f t="shared" si="3"/>
        <v>0</v>
      </c>
    </row>
    <row r="24">
      <c r="A24" s="60">
        <v>23.0</v>
      </c>
      <c r="B24" s="63" t="s">
        <v>30</v>
      </c>
      <c r="C24" s="34">
        <v>1.0</v>
      </c>
      <c r="D24" s="35"/>
      <c r="E24" s="35"/>
      <c r="F24" s="35"/>
      <c r="G24" s="35"/>
      <c r="H24" s="34">
        <v>1.0</v>
      </c>
      <c r="I24" s="35"/>
      <c r="J24" s="34">
        <v>7.0</v>
      </c>
      <c r="K24" s="35"/>
      <c r="L24" s="35"/>
      <c r="M24" s="34">
        <v>7.0</v>
      </c>
      <c r="N24" s="34">
        <v>8.0</v>
      </c>
      <c r="O24" s="35"/>
      <c r="P24" s="35"/>
      <c r="Q24" s="35"/>
      <c r="R24" s="35"/>
      <c r="S24" s="35"/>
      <c r="T24" s="35"/>
      <c r="U24" s="35"/>
      <c r="V24" s="34">
        <v>7.0</v>
      </c>
      <c r="W24" s="35"/>
      <c r="X24" s="35"/>
      <c r="Y24" s="35"/>
      <c r="Z24" s="35"/>
      <c r="AA24" s="34">
        <v>4.0</v>
      </c>
      <c r="AB24" s="34">
        <v>1.0</v>
      </c>
      <c r="AC24" s="34">
        <v>6.0</v>
      </c>
      <c r="AD24" s="35"/>
      <c r="AE24" s="35"/>
      <c r="AF24" s="10">
        <f t="shared" si="1"/>
        <v>42</v>
      </c>
      <c r="AG24" s="10">
        <f t="shared" si="2"/>
        <v>9</v>
      </c>
      <c r="AH24" s="10">
        <f t="shared" si="3"/>
        <v>0</v>
      </c>
    </row>
    <row r="25">
      <c r="A25" s="61">
        <v>24.0</v>
      </c>
      <c r="B25" s="53" t="s">
        <v>19</v>
      </c>
      <c r="C25" s="54"/>
      <c r="D25" s="54"/>
      <c r="E25" s="54"/>
      <c r="F25" s="54"/>
      <c r="G25" s="54"/>
      <c r="H25" s="54"/>
      <c r="I25" s="54"/>
      <c r="J25" s="42">
        <v>2.0</v>
      </c>
      <c r="K25" s="42">
        <v>4.0</v>
      </c>
      <c r="L25" s="43"/>
      <c r="M25" s="43"/>
      <c r="N25" s="42">
        <v>5.0</v>
      </c>
      <c r="O25" s="43"/>
      <c r="P25" s="42">
        <v>1.0</v>
      </c>
      <c r="Q25" s="43"/>
      <c r="R25" s="43"/>
      <c r="S25" s="43"/>
      <c r="T25" s="42">
        <v>2.0</v>
      </c>
      <c r="U25" s="43"/>
      <c r="V25" s="43"/>
      <c r="W25" s="42">
        <v>6.0</v>
      </c>
      <c r="X25" s="42">
        <v>4.0</v>
      </c>
      <c r="Y25" s="43"/>
      <c r="Z25" s="43"/>
      <c r="AA25" s="42">
        <v>12.0</v>
      </c>
      <c r="AB25" s="43"/>
      <c r="AC25" s="43"/>
      <c r="AD25" s="42">
        <v>1.0</v>
      </c>
      <c r="AE25" s="43"/>
      <c r="AF25" s="10">
        <f t="shared" si="1"/>
        <v>37</v>
      </c>
      <c r="AG25" s="10">
        <f t="shared" si="2"/>
        <v>9</v>
      </c>
      <c r="AH25" s="10">
        <f t="shared" si="3"/>
        <v>1</v>
      </c>
    </row>
    <row r="26">
      <c r="A26" s="62">
        <v>25.0</v>
      </c>
      <c r="B26" s="64" t="s">
        <v>66</v>
      </c>
      <c r="C26" s="65"/>
      <c r="D26" s="65"/>
      <c r="E26" s="65"/>
      <c r="F26" s="66">
        <v>4.0</v>
      </c>
      <c r="G26" s="67"/>
      <c r="H26" s="67"/>
      <c r="I26" s="66">
        <v>2.0</v>
      </c>
      <c r="J26" s="66">
        <v>1.0</v>
      </c>
      <c r="K26" s="66">
        <v>8.0</v>
      </c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6">
        <v>12.0</v>
      </c>
      <c r="Z26" s="66">
        <v>2.0</v>
      </c>
      <c r="AA26" s="67"/>
      <c r="AB26" s="67"/>
      <c r="AC26" s="67"/>
      <c r="AD26" s="66">
        <v>5.0</v>
      </c>
      <c r="AE26" s="67"/>
      <c r="AF26" s="10">
        <f t="shared" si="1"/>
        <v>34</v>
      </c>
      <c r="AG26" s="10">
        <f t="shared" si="2"/>
        <v>7</v>
      </c>
      <c r="AH26" s="10">
        <f t="shared" si="3"/>
        <v>1</v>
      </c>
    </row>
    <row r="27">
      <c r="A27" s="60">
        <v>26.0</v>
      </c>
      <c r="B27" s="56" t="s">
        <v>17</v>
      </c>
      <c r="C27" s="49"/>
      <c r="D27" s="49"/>
      <c r="E27" s="49"/>
      <c r="F27" s="49"/>
      <c r="G27" s="49"/>
      <c r="H27" s="49"/>
      <c r="I27" s="49"/>
      <c r="J27" s="49"/>
      <c r="K27" s="49"/>
      <c r="L27" s="30">
        <v>2.0</v>
      </c>
      <c r="M27" s="31"/>
      <c r="N27" s="30">
        <v>12.0</v>
      </c>
      <c r="O27" s="31"/>
      <c r="P27" s="31"/>
      <c r="Q27" s="31"/>
      <c r="R27" s="31"/>
      <c r="S27" s="31"/>
      <c r="T27" s="30">
        <v>7.0</v>
      </c>
      <c r="U27" s="31"/>
      <c r="V27" s="31"/>
      <c r="W27" s="30">
        <v>2.0</v>
      </c>
      <c r="X27" s="31"/>
      <c r="Y27" s="31"/>
      <c r="Z27" s="31"/>
      <c r="AA27" s="31"/>
      <c r="AB27" s="31"/>
      <c r="AC27" s="31"/>
      <c r="AD27" s="31"/>
      <c r="AE27" s="30">
        <v>3.0</v>
      </c>
      <c r="AF27" s="10">
        <f t="shared" si="1"/>
        <v>26</v>
      </c>
      <c r="AG27" s="10">
        <f t="shared" si="2"/>
        <v>5</v>
      </c>
      <c r="AH27" s="10">
        <f t="shared" si="3"/>
        <v>1</v>
      </c>
    </row>
    <row r="30">
      <c r="C30" s="10">
        <f t="shared" ref="C30:AE30" si="4">SUM(C2:C27)</f>
        <v>58</v>
      </c>
      <c r="D30" s="10">
        <f t="shared" si="4"/>
        <v>58</v>
      </c>
      <c r="E30" s="10">
        <f t="shared" si="4"/>
        <v>58</v>
      </c>
      <c r="F30" s="10">
        <f t="shared" si="4"/>
        <v>58</v>
      </c>
      <c r="G30" s="10">
        <f t="shared" si="4"/>
        <v>58</v>
      </c>
      <c r="H30" s="10">
        <f t="shared" si="4"/>
        <v>58</v>
      </c>
      <c r="I30" s="10">
        <f t="shared" si="4"/>
        <v>58</v>
      </c>
      <c r="J30" s="10">
        <f t="shared" si="4"/>
        <v>58</v>
      </c>
      <c r="K30" s="10">
        <f t="shared" si="4"/>
        <v>58</v>
      </c>
      <c r="L30" s="10">
        <f t="shared" si="4"/>
        <v>58</v>
      </c>
      <c r="M30" s="10">
        <f t="shared" si="4"/>
        <v>58</v>
      </c>
      <c r="N30" s="10">
        <f t="shared" si="4"/>
        <v>58</v>
      </c>
      <c r="O30" s="10">
        <f t="shared" si="4"/>
        <v>58</v>
      </c>
      <c r="P30" s="10">
        <f t="shared" si="4"/>
        <v>58</v>
      </c>
      <c r="Q30" s="10">
        <f t="shared" si="4"/>
        <v>58</v>
      </c>
      <c r="R30" s="10">
        <f t="shared" si="4"/>
        <v>58</v>
      </c>
      <c r="S30" s="10">
        <f t="shared" si="4"/>
        <v>58</v>
      </c>
      <c r="T30" s="10">
        <f t="shared" si="4"/>
        <v>58</v>
      </c>
      <c r="U30" s="10">
        <f t="shared" si="4"/>
        <v>58</v>
      </c>
      <c r="V30" s="10">
        <f t="shared" si="4"/>
        <v>58</v>
      </c>
      <c r="W30" s="10">
        <f t="shared" si="4"/>
        <v>58</v>
      </c>
      <c r="X30" s="10">
        <f t="shared" si="4"/>
        <v>58</v>
      </c>
      <c r="Y30" s="10">
        <f t="shared" si="4"/>
        <v>58</v>
      </c>
      <c r="Z30" s="10">
        <f t="shared" si="4"/>
        <v>58</v>
      </c>
      <c r="AA30" s="10">
        <f t="shared" si="4"/>
        <v>58</v>
      </c>
      <c r="AB30" s="10">
        <f t="shared" si="4"/>
        <v>58</v>
      </c>
      <c r="AC30" s="10">
        <f t="shared" si="4"/>
        <v>58</v>
      </c>
      <c r="AD30" s="10">
        <f t="shared" si="4"/>
        <v>58</v>
      </c>
      <c r="AE30" s="10">
        <f t="shared" si="4"/>
        <v>58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</cols>
  <sheetData>
    <row r="1">
      <c r="B1" s="11" t="s">
        <v>0</v>
      </c>
      <c r="C1" s="11" t="s">
        <v>2</v>
      </c>
      <c r="D1" s="53" t="s">
        <v>1</v>
      </c>
      <c r="E1" s="57" t="s">
        <v>21</v>
      </c>
      <c r="F1" s="11" t="s">
        <v>7</v>
      </c>
      <c r="G1" s="11" t="s">
        <v>13</v>
      </c>
      <c r="H1" s="11" t="s">
        <v>31</v>
      </c>
      <c r="I1" s="11" t="s">
        <v>42</v>
      </c>
      <c r="J1" s="11" t="s">
        <v>38</v>
      </c>
      <c r="K1" s="11" t="s">
        <v>33</v>
      </c>
      <c r="L1" s="11" t="s">
        <v>43</v>
      </c>
      <c r="M1" s="11" t="s">
        <v>29</v>
      </c>
      <c r="N1" s="11" t="s">
        <v>49</v>
      </c>
      <c r="O1" s="11" t="s">
        <v>67</v>
      </c>
      <c r="P1" s="11" t="s">
        <v>58</v>
      </c>
      <c r="Q1" s="11" t="s">
        <v>59</v>
      </c>
      <c r="R1" s="11" t="s">
        <v>60</v>
      </c>
    </row>
    <row r="2">
      <c r="A2" s="57" t="s">
        <v>41</v>
      </c>
      <c r="B2" s="40">
        <v>1.0</v>
      </c>
      <c r="C2" s="48"/>
      <c r="D2" s="40">
        <v>2.0</v>
      </c>
      <c r="E2" s="40">
        <v>3.0</v>
      </c>
      <c r="F2" s="40">
        <v>12.0</v>
      </c>
      <c r="G2" s="40">
        <v>7.0</v>
      </c>
      <c r="H2" s="41"/>
      <c r="I2" s="40">
        <v>5.0</v>
      </c>
      <c r="J2" s="40">
        <v>1.0</v>
      </c>
      <c r="K2" s="41"/>
      <c r="L2" s="40">
        <v>12.0</v>
      </c>
      <c r="M2" s="40">
        <v>12.0</v>
      </c>
      <c r="N2" s="41"/>
      <c r="O2" s="40">
        <v>6.0</v>
      </c>
      <c r="P2" s="10">
        <f t="shared" ref="P2:P27" si="1">sum(B2:O2)</f>
        <v>61</v>
      </c>
      <c r="Q2" s="10">
        <f t="shared" ref="Q2:Q27" si="2">counta(B2:N2)</f>
        <v>9</v>
      </c>
      <c r="R2" s="10">
        <f t="shared" ref="R2:R27" si="3">countif(B2:O2,12)</f>
        <v>3</v>
      </c>
    </row>
    <row r="3">
      <c r="A3" s="33" t="s">
        <v>56</v>
      </c>
      <c r="B3" s="40">
        <v>5.0</v>
      </c>
      <c r="C3" s="40">
        <v>7.0</v>
      </c>
      <c r="D3" s="40">
        <v>12.0</v>
      </c>
      <c r="E3" s="40">
        <v>12.0</v>
      </c>
      <c r="F3" s="40">
        <v>6.0</v>
      </c>
      <c r="G3" s="40">
        <v>1.0</v>
      </c>
      <c r="H3" s="41"/>
      <c r="I3" s="40">
        <v>3.0</v>
      </c>
      <c r="J3" s="40">
        <v>7.0</v>
      </c>
      <c r="K3" s="41"/>
      <c r="L3" s="41"/>
      <c r="M3" s="41"/>
      <c r="N3" s="41"/>
      <c r="O3" s="40">
        <v>6.0</v>
      </c>
      <c r="P3" s="10">
        <f t="shared" si="1"/>
        <v>59</v>
      </c>
      <c r="Q3" s="10">
        <f t="shared" si="2"/>
        <v>8</v>
      </c>
      <c r="R3" s="10">
        <f t="shared" si="3"/>
        <v>2</v>
      </c>
    </row>
    <row r="4">
      <c r="A4" s="63" t="s">
        <v>52</v>
      </c>
      <c r="B4" s="34">
        <v>6.0</v>
      </c>
      <c r="C4" s="46"/>
      <c r="D4" s="46"/>
      <c r="E4" s="34">
        <v>2.0</v>
      </c>
      <c r="F4" s="34">
        <v>5.0</v>
      </c>
      <c r="G4" s="35"/>
      <c r="H4" s="34">
        <v>5.0</v>
      </c>
      <c r="I4" s="34">
        <v>7.0</v>
      </c>
      <c r="J4" s="34">
        <v>5.0</v>
      </c>
      <c r="K4" s="34">
        <v>5.0</v>
      </c>
      <c r="L4" s="34">
        <v>8.0</v>
      </c>
      <c r="M4" s="34">
        <v>4.0</v>
      </c>
      <c r="N4" s="35"/>
      <c r="O4" s="34">
        <v>6.0</v>
      </c>
      <c r="P4" s="10">
        <f t="shared" si="1"/>
        <v>53</v>
      </c>
      <c r="Q4" s="10">
        <f t="shared" si="2"/>
        <v>9</v>
      </c>
      <c r="R4" s="10">
        <f t="shared" si="3"/>
        <v>0</v>
      </c>
    </row>
    <row r="5">
      <c r="A5" s="68" t="s">
        <v>9</v>
      </c>
      <c r="B5" s="38"/>
      <c r="C5" s="38">
        <v>12.0</v>
      </c>
      <c r="D5" s="38">
        <v>7.0</v>
      </c>
      <c r="E5" s="39"/>
      <c r="F5" s="38">
        <v>1.0</v>
      </c>
      <c r="G5" s="39"/>
      <c r="H5" s="38">
        <v>1.0</v>
      </c>
      <c r="I5" s="38">
        <v>1.0</v>
      </c>
      <c r="J5" s="38">
        <v>12.0</v>
      </c>
      <c r="K5" s="38">
        <v>1.0</v>
      </c>
      <c r="L5" s="39"/>
      <c r="M5" s="38">
        <v>6.0</v>
      </c>
      <c r="N5" s="38">
        <v>10.0</v>
      </c>
      <c r="O5" s="39"/>
      <c r="P5" s="10">
        <f t="shared" si="1"/>
        <v>51</v>
      </c>
      <c r="Q5" s="10">
        <f t="shared" si="2"/>
        <v>9</v>
      </c>
      <c r="R5" s="10">
        <f t="shared" si="3"/>
        <v>2</v>
      </c>
    </row>
    <row r="6">
      <c r="A6" s="57" t="s">
        <v>62</v>
      </c>
      <c r="B6" s="48"/>
      <c r="C6" s="48"/>
      <c r="D6" s="40">
        <v>8.0</v>
      </c>
      <c r="E6" s="40">
        <v>5.0</v>
      </c>
      <c r="F6" s="41"/>
      <c r="G6" s="41"/>
      <c r="H6" s="40">
        <v>2.0</v>
      </c>
      <c r="I6" s="41"/>
      <c r="J6" s="41"/>
      <c r="K6" s="41"/>
      <c r="L6" s="40">
        <v>10.0</v>
      </c>
      <c r="M6" s="40">
        <v>8.0</v>
      </c>
      <c r="N6" s="40">
        <v>12.0</v>
      </c>
      <c r="O6" s="40">
        <v>6.0</v>
      </c>
      <c r="P6" s="10">
        <f t="shared" si="1"/>
        <v>51</v>
      </c>
      <c r="Q6" s="10">
        <f t="shared" si="2"/>
        <v>6</v>
      </c>
      <c r="R6" s="10">
        <f t="shared" si="3"/>
        <v>1</v>
      </c>
    </row>
    <row r="7">
      <c r="A7" s="56" t="s">
        <v>17</v>
      </c>
      <c r="B7" s="30"/>
      <c r="C7" s="30">
        <v>10.0</v>
      </c>
      <c r="D7" s="31"/>
      <c r="E7" s="31"/>
      <c r="F7" s="31"/>
      <c r="G7" s="31"/>
      <c r="H7" s="30">
        <v>4.0</v>
      </c>
      <c r="I7" s="30">
        <v>12.0</v>
      </c>
      <c r="J7" s="30">
        <v>2.0</v>
      </c>
      <c r="K7" s="30">
        <v>6.0</v>
      </c>
      <c r="L7" s="30">
        <v>4.0</v>
      </c>
      <c r="M7" s="31"/>
      <c r="N7" s="30">
        <v>5.0</v>
      </c>
      <c r="O7" s="30">
        <v>6.0</v>
      </c>
      <c r="P7" s="10">
        <f t="shared" si="1"/>
        <v>49</v>
      </c>
      <c r="Q7" s="10">
        <f t="shared" si="2"/>
        <v>7</v>
      </c>
      <c r="R7" s="10">
        <f t="shared" si="3"/>
        <v>1</v>
      </c>
    </row>
    <row r="8">
      <c r="A8" s="59" t="s">
        <v>19</v>
      </c>
      <c r="B8" s="42">
        <v>8.0</v>
      </c>
      <c r="C8" s="42">
        <v>2.0</v>
      </c>
      <c r="D8" s="42">
        <v>4.0</v>
      </c>
      <c r="E8" s="42">
        <v>1.0</v>
      </c>
      <c r="F8" s="43"/>
      <c r="G8" s="42">
        <v>12.0</v>
      </c>
      <c r="H8" s="42">
        <v>8.0</v>
      </c>
      <c r="I8" s="43"/>
      <c r="J8" s="43"/>
      <c r="K8" s="42">
        <v>8.0</v>
      </c>
      <c r="L8" s="43"/>
      <c r="M8" s="43"/>
      <c r="N8" s="43"/>
      <c r="O8" s="42">
        <v>6.0</v>
      </c>
      <c r="P8" s="10">
        <f t="shared" si="1"/>
        <v>49</v>
      </c>
      <c r="Q8" s="10">
        <f t="shared" si="2"/>
        <v>7</v>
      </c>
      <c r="R8" s="10">
        <f t="shared" si="3"/>
        <v>1</v>
      </c>
    </row>
    <row r="9">
      <c r="A9" s="69" t="s">
        <v>66</v>
      </c>
      <c r="B9" s="66">
        <v>12.0</v>
      </c>
      <c r="C9" s="65"/>
      <c r="D9" s="65"/>
      <c r="E9" s="66">
        <v>8.0</v>
      </c>
      <c r="F9" s="67"/>
      <c r="G9" s="67"/>
      <c r="H9" s="67"/>
      <c r="I9" s="66">
        <v>10.0</v>
      </c>
      <c r="J9" s="66">
        <v>10.0</v>
      </c>
      <c r="K9" s="67"/>
      <c r="L9" s="67"/>
      <c r="M9" s="67"/>
      <c r="N9" s="67"/>
      <c r="O9" s="66">
        <v>6.0</v>
      </c>
      <c r="P9" s="10">
        <f t="shared" si="1"/>
        <v>46</v>
      </c>
      <c r="Q9" s="10">
        <f t="shared" si="2"/>
        <v>4</v>
      </c>
      <c r="R9" s="10">
        <f t="shared" si="3"/>
        <v>1</v>
      </c>
    </row>
    <row r="10">
      <c r="A10" s="51" t="s">
        <v>11</v>
      </c>
      <c r="B10" s="30">
        <v>7.0</v>
      </c>
      <c r="C10" s="30">
        <v>6.0</v>
      </c>
      <c r="D10" s="30">
        <v>10.0</v>
      </c>
      <c r="E10" s="31"/>
      <c r="F10" s="31"/>
      <c r="G10" s="30">
        <v>8.0</v>
      </c>
      <c r="H10" s="31"/>
      <c r="I10" s="31"/>
      <c r="J10" s="31"/>
      <c r="K10" s="30">
        <v>2.0</v>
      </c>
      <c r="L10" s="31"/>
      <c r="M10" s="31"/>
      <c r="N10" s="30">
        <v>6.0</v>
      </c>
      <c r="O10" s="30">
        <v>6.0</v>
      </c>
      <c r="P10" s="10">
        <f t="shared" si="1"/>
        <v>45</v>
      </c>
      <c r="Q10" s="10">
        <f t="shared" si="2"/>
        <v>6</v>
      </c>
      <c r="R10" s="10">
        <f t="shared" si="3"/>
        <v>0</v>
      </c>
    </row>
    <row r="11">
      <c r="A11" s="56" t="s">
        <v>27</v>
      </c>
      <c r="B11" s="49"/>
      <c r="C11" s="49"/>
      <c r="D11" s="30">
        <v>1.0</v>
      </c>
      <c r="E11" s="31"/>
      <c r="F11" s="30">
        <v>7.0</v>
      </c>
      <c r="G11" s="31"/>
      <c r="H11" s="30">
        <v>10.0</v>
      </c>
      <c r="I11" s="31"/>
      <c r="J11" s="31"/>
      <c r="K11" s="30">
        <v>7.0</v>
      </c>
      <c r="L11" s="31"/>
      <c r="M11" s="30">
        <v>7.0</v>
      </c>
      <c r="N11" s="31"/>
      <c r="O11" s="30">
        <v>6.0</v>
      </c>
      <c r="P11" s="10">
        <f t="shared" si="1"/>
        <v>38</v>
      </c>
      <c r="Q11" s="10">
        <f t="shared" si="2"/>
        <v>5</v>
      </c>
      <c r="R11" s="10">
        <f t="shared" si="3"/>
        <v>0</v>
      </c>
    </row>
    <row r="12">
      <c r="A12" s="59" t="s">
        <v>16</v>
      </c>
      <c r="B12" s="54"/>
      <c r="C12" s="54"/>
      <c r="D12" s="54"/>
      <c r="E12" s="42">
        <v>10.0</v>
      </c>
      <c r="F12" s="43"/>
      <c r="G12" s="43"/>
      <c r="H12" s="43"/>
      <c r="I12" s="42">
        <v>4.0</v>
      </c>
      <c r="J12" s="43"/>
      <c r="K12" s="43"/>
      <c r="L12" s="42">
        <v>6.0</v>
      </c>
      <c r="M12" s="42">
        <v>10.0</v>
      </c>
      <c r="N12" s="43"/>
      <c r="O12" s="42">
        <v>6.0</v>
      </c>
      <c r="P12" s="10">
        <f t="shared" si="1"/>
        <v>36</v>
      </c>
      <c r="Q12" s="10">
        <f t="shared" si="2"/>
        <v>4</v>
      </c>
      <c r="R12" s="10">
        <f t="shared" si="3"/>
        <v>0</v>
      </c>
    </row>
    <row r="13">
      <c r="A13" s="53" t="s">
        <v>39</v>
      </c>
      <c r="B13" s="42">
        <v>2.0</v>
      </c>
      <c r="C13" s="54"/>
      <c r="D13" s="54"/>
      <c r="E13" s="54"/>
      <c r="F13" s="54"/>
      <c r="G13" s="42">
        <v>6.0</v>
      </c>
      <c r="H13" s="42">
        <v>12.0</v>
      </c>
      <c r="I13" s="43"/>
      <c r="J13" s="43"/>
      <c r="K13" s="42">
        <v>12.0</v>
      </c>
      <c r="L13" s="43"/>
      <c r="M13" s="43"/>
      <c r="N13" s="42">
        <v>3.0</v>
      </c>
      <c r="O13" s="43"/>
      <c r="P13" s="10">
        <f t="shared" si="1"/>
        <v>35</v>
      </c>
      <c r="Q13" s="10">
        <f t="shared" si="2"/>
        <v>5</v>
      </c>
      <c r="R13" s="10">
        <f t="shared" si="3"/>
        <v>2</v>
      </c>
    </row>
    <row r="14">
      <c r="A14" s="57" t="s">
        <v>12</v>
      </c>
      <c r="B14" s="40">
        <v>4.0</v>
      </c>
      <c r="C14" s="48"/>
      <c r="D14" s="40">
        <v>6.0</v>
      </c>
      <c r="E14" s="40">
        <v>4.0</v>
      </c>
      <c r="F14" s="40">
        <v>10.0</v>
      </c>
      <c r="G14" s="41"/>
      <c r="H14" s="41"/>
      <c r="I14" s="41"/>
      <c r="J14" s="40">
        <v>6.0</v>
      </c>
      <c r="K14" s="41"/>
      <c r="L14" s="40">
        <v>5.0</v>
      </c>
      <c r="M14" s="41"/>
      <c r="N14" s="41"/>
      <c r="O14" s="41"/>
      <c r="P14" s="10">
        <f t="shared" si="1"/>
        <v>35</v>
      </c>
      <c r="Q14" s="10">
        <f t="shared" si="2"/>
        <v>6</v>
      </c>
      <c r="R14" s="10">
        <f t="shared" si="3"/>
        <v>0</v>
      </c>
    </row>
    <row r="15">
      <c r="A15" s="56" t="s">
        <v>3</v>
      </c>
      <c r="B15" s="49"/>
      <c r="C15" s="49"/>
      <c r="D15" s="49"/>
      <c r="E15" s="30">
        <v>7.0</v>
      </c>
      <c r="F15" s="31"/>
      <c r="G15" s="31"/>
      <c r="H15" s="31"/>
      <c r="I15" s="30">
        <v>8.0</v>
      </c>
      <c r="J15" s="31"/>
      <c r="K15" s="31"/>
      <c r="L15" s="30">
        <v>7.0</v>
      </c>
      <c r="M15" s="30">
        <v>2.0</v>
      </c>
      <c r="N15" s="31"/>
      <c r="O15" s="30">
        <v>6.0</v>
      </c>
      <c r="P15" s="10">
        <f t="shared" si="1"/>
        <v>30</v>
      </c>
      <c r="Q15" s="10">
        <f t="shared" si="2"/>
        <v>4</v>
      </c>
      <c r="R15" s="10">
        <f t="shared" si="3"/>
        <v>0</v>
      </c>
    </row>
    <row r="16">
      <c r="A16" s="51" t="s">
        <v>34</v>
      </c>
      <c r="B16" s="30">
        <v>3.0</v>
      </c>
      <c r="C16" s="30">
        <v>5.0</v>
      </c>
      <c r="D16" s="30">
        <v>5.0</v>
      </c>
      <c r="E16" s="31"/>
      <c r="F16" s="31"/>
      <c r="G16" s="31"/>
      <c r="H16" s="31"/>
      <c r="I16" s="31"/>
      <c r="J16" s="31"/>
      <c r="K16" s="31"/>
      <c r="L16" s="30">
        <v>3.0</v>
      </c>
      <c r="M16" s="31"/>
      <c r="N16" s="30">
        <v>7.0</v>
      </c>
      <c r="O16" s="30">
        <v>6.0</v>
      </c>
      <c r="P16" s="10">
        <f t="shared" si="1"/>
        <v>29</v>
      </c>
      <c r="Q16" s="10">
        <f t="shared" si="2"/>
        <v>5</v>
      </c>
      <c r="R16" s="10">
        <f t="shared" si="3"/>
        <v>0</v>
      </c>
    </row>
    <row r="17">
      <c r="A17" s="56" t="s">
        <v>10</v>
      </c>
      <c r="B17" s="49"/>
      <c r="C17" s="49"/>
      <c r="D17" s="49"/>
      <c r="E17" s="49"/>
      <c r="F17" s="49"/>
      <c r="G17" s="30">
        <v>10.0</v>
      </c>
      <c r="H17" s="31"/>
      <c r="I17" s="30">
        <v>6.0</v>
      </c>
      <c r="J17" s="30">
        <v>8.0</v>
      </c>
      <c r="K17" s="31"/>
      <c r="L17" s="30">
        <v>1.0</v>
      </c>
      <c r="M17" s="31"/>
      <c r="N17" s="30">
        <v>2.0</v>
      </c>
      <c r="O17" s="31"/>
      <c r="P17" s="10">
        <f t="shared" si="1"/>
        <v>27</v>
      </c>
      <c r="Q17" s="10">
        <f t="shared" si="2"/>
        <v>5</v>
      </c>
      <c r="R17" s="10">
        <f t="shared" si="3"/>
        <v>0</v>
      </c>
    </row>
    <row r="18">
      <c r="A18" s="59" t="s">
        <v>35</v>
      </c>
      <c r="B18" s="42"/>
      <c r="C18" s="42">
        <v>3.0</v>
      </c>
      <c r="D18" s="43"/>
      <c r="E18" s="43"/>
      <c r="F18" s="43"/>
      <c r="G18" s="43"/>
      <c r="H18" s="42">
        <v>6.0</v>
      </c>
      <c r="I18" s="43"/>
      <c r="J18" s="43"/>
      <c r="K18" s="42">
        <v>4.0</v>
      </c>
      <c r="L18" s="43"/>
      <c r="M18" s="42">
        <v>5.0</v>
      </c>
      <c r="N18" s="43"/>
      <c r="O18" s="42">
        <v>6.0</v>
      </c>
      <c r="P18" s="10">
        <f t="shared" si="1"/>
        <v>24</v>
      </c>
      <c r="Q18" s="10">
        <f t="shared" si="2"/>
        <v>4</v>
      </c>
      <c r="R18" s="10">
        <f t="shared" si="3"/>
        <v>0</v>
      </c>
    </row>
    <row r="19">
      <c r="A19" s="70" t="s">
        <v>30</v>
      </c>
      <c r="B19" s="34"/>
      <c r="C19" s="34">
        <v>4.0</v>
      </c>
      <c r="D19" s="34">
        <v>3.0</v>
      </c>
      <c r="E19" s="35"/>
      <c r="F19" s="34">
        <v>8.0</v>
      </c>
      <c r="G19" s="35"/>
      <c r="H19" s="35"/>
      <c r="I19" s="35"/>
      <c r="J19" s="35"/>
      <c r="K19" s="35"/>
      <c r="L19" s="35"/>
      <c r="M19" s="34">
        <v>1.0</v>
      </c>
      <c r="N19" s="34">
        <v>4.0</v>
      </c>
      <c r="O19" s="35"/>
      <c r="P19" s="10">
        <f t="shared" si="1"/>
        <v>20</v>
      </c>
      <c r="Q19" s="10">
        <f t="shared" si="2"/>
        <v>5</v>
      </c>
      <c r="R19" s="10">
        <f t="shared" si="3"/>
        <v>0</v>
      </c>
    </row>
    <row r="20">
      <c r="A20" s="51" t="s">
        <v>6</v>
      </c>
      <c r="B20" s="30">
        <v>10.0</v>
      </c>
      <c r="C20" s="49"/>
      <c r="D20" s="49"/>
      <c r="E20" s="49"/>
      <c r="F20" s="49"/>
      <c r="G20" s="30">
        <v>3.0</v>
      </c>
      <c r="H20" s="31"/>
      <c r="I20" s="31"/>
      <c r="J20" s="31"/>
      <c r="K20" s="31"/>
      <c r="L20" s="31"/>
      <c r="M20" s="31"/>
      <c r="N20" s="31"/>
      <c r="O20" s="30">
        <v>6.0</v>
      </c>
      <c r="P20" s="10">
        <f t="shared" si="1"/>
        <v>19</v>
      </c>
      <c r="Q20" s="10">
        <f t="shared" si="2"/>
        <v>2</v>
      </c>
      <c r="R20" s="10">
        <f t="shared" si="3"/>
        <v>0</v>
      </c>
    </row>
    <row r="21">
      <c r="A21" s="53" t="s">
        <v>15</v>
      </c>
      <c r="B21" s="54"/>
      <c r="C21" s="54"/>
      <c r="D21" s="54"/>
      <c r="E21" s="54"/>
      <c r="F21" s="54"/>
      <c r="G21" s="42">
        <v>2.0</v>
      </c>
      <c r="H21" s="43"/>
      <c r="I21" s="42">
        <v>2.0</v>
      </c>
      <c r="J21" s="42">
        <v>4.0</v>
      </c>
      <c r="K21" s="42">
        <v>3.0</v>
      </c>
      <c r="L21" s="43"/>
      <c r="M21" s="43"/>
      <c r="N21" s="42">
        <v>1.0</v>
      </c>
      <c r="O21" s="42">
        <v>6.0</v>
      </c>
      <c r="P21" s="10">
        <f t="shared" si="1"/>
        <v>18</v>
      </c>
      <c r="Q21" s="10">
        <f t="shared" si="2"/>
        <v>5</v>
      </c>
      <c r="R21" s="10">
        <f t="shared" si="3"/>
        <v>0</v>
      </c>
    </row>
    <row r="22">
      <c r="A22" s="71" t="s">
        <v>50</v>
      </c>
      <c r="B22" s="45"/>
      <c r="C22" s="45"/>
      <c r="D22" s="45"/>
      <c r="E22" s="45"/>
      <c r="F22" s="45"/>
      <c r="G22" s="45"/>
      <c r="H22" s="38">
        <v>7.0</v>
      </c>
      <c r="I22" s="39"/>
      <c r="J22" s="39"/>
      <c r="K22" s="38">
        <v>10.0</v>
      </c>
      <c r="L22" s="39"/>
      <c r="M22" s="39"/>
      <c r="N22" s="39"/>
      <c r="O22" s="39"/>
      <c r="P22" s="10">
        <f t="shared" si="1"/>
        <v>17</v>
      </c>
      <c r="Q22" s="10">
        <f t="shared" si="2"/>
        <v>2</v>
      </c>
      <c r="R22" s="10">
        <f t="shared" si="3"/>
        <v>0</v>
      </c>
    </row>
    <row r="23">
      <c r="A23" s="56" t="s">
        <v>5</v>
      </c>
      <c r="B23" s="30"/>
      <c r="C23" s="30">
        <v>1.0</v>
      </c>
      <c r="D23" s="31"/>
      <c r="E23" s="31"/>
      <c r="F23" s="30">
        <v>4.0</v>
      </c>
      <c r="G23" s="31"/>
      <c r="H23" s="31"/>
      <c r="I23" s="31"/>
      <c r="J23" s="30">
        <v>3.0</v>
      </c>
      <c r="K23" s="31"/>
      <c r="L23" s="31"/>
      <c r="M23" s="31"/>
      <c r="N23" s="31"/>
      <c r="O23" s="30">
        <v>6.0</v>
      </c>
      <c r="P23" s="10">
        <f t="shared" si="1"/>
        <v>14</v>
      </c>
      <c r="Q23" s="10">
        <f t="shared" si="2"/>
        <v>3</v>
      </c>
      <c r="R23" s="10">
        <f t="shared" si="3"/>
        <v>0</v>
      </c>
    </row>
    <row r="24">
      <c r="A24" s="57" t="s">
        <v>32</v>
      </c>
      <c r="B24" s="48"/>
      <c r="C24" s="48"/>
      <c r="D24" s="48"/>
      <c r="E24" s="40">
        <v>6.0</v>
      </c>
      <c r="F24" s="40">
        <v>2.0</v>
      </c>
      <c r="G24" s="41"/>
      <c r="H24" s="40">
        <v>3.0</v>
      </c>
      <c r="I24" s="41"/>
      <c r="J24" s="41"/>
      <c r="K24" s="41"/>
      <c r="L24" s="40">
        <v>2.0</v>
      </c>
      <c r="M24" s="41"/>
      <c r="N24" s="41"/>
      <c r="O24" s="41"/>
      <c r="P24" s="10">
        <f t="shared" si="1"/>
        <v>13</v>
      </c>
      <c r="Q24" s="10">
        <f t="shared" si="2"/>
        <v>4</v>
      </c>
      <c r="R24" s="10">
        <f t="shared" si="3"/>
        <v>0</v>
      </c>
    </row>
    <row r="25">
      <c r="A25" s="70" t="s">
        <v>45</v>
      </c>
      <c r="B25" s="46"/>
      <c r="C25" s="46"/>
      <c r="D25" s="46"/>
      <c r="E25" s="46"/>
      <c r="F25" s="46"/>
      <c r="G25" s="34">
        <v>4.0</v>
      </c>
      <c r="H25" s="35"/>
      <c r="I25" s="35"/>
      <c r="J25" s="35"/>
      <c r="K25" s="35"/>
      <c r="L25" s="35"/>
      <c r="M25" s="35"/>
      <c r="N25" s="34">
        <v>8.0</v>
      </c>
      <c r="O25" s="35"/>
      <c r="P25" s="10">
        <f t="shared" si="1"/>
        <v>12</v>
      </c>
      <c r="Q25" s="10">
        <f t="shared" si="2"/>
        <v>2</v>
      </c>
      <c r="R25" s="10">
        <f t="shared" si="3"/>
        <v>0</v>
      </c>
    </row>
    <row r="26">
      <c r="A26" s="59" t="s">
        <v>65</v>
      </c>
      <c r="B26" s="54"/>
      <c r="C26" s="54"/>
      <c r="D26" s="54"/>
      <c r="E26" s="54"/>
      <c r="F26" s="42">
        <v>3.0</v>
      </c>
      <c r="G26" s="42">
        <v>5.0</v>
      </c>
      <c r="H26" s="43"/>
      <c r="I26" s="43"/>
      <c r="J26" s="43"/>
      <c r="K26" s="43"/>
      <c r="L26" s="43"/>
      <c r="M26" s="42">
        <v>3.0</v>
      </c>
      <c r="N26" s="43"/>
      <c r="O26" s="43"/>
      <c r="P26" s="10">
        <f t="shared" si="1"/>
        <v>11</v>
      </c>
      <c r="Q26" s="10">
        <f t="shared" si="2"/>
        <v>3</v>
      </c>
      <c r="R26" s="10">
        <f t="shared" si="3"/>
        <v>0</v>
      </c>
    </row>
    <row r="27">
      <c r="A27" s="53" t="s">
        <v>23</v>
      </c>
      <c r="B27" s="42"/>
      <c r="C27" s="42">
        <v>8.0</v>
      </c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10">
        <f t="shared" si="1"/>
        <v>8</v>
      </c>
      <c r="Q27" s="10">
        <f t="shared" si="2"/>
        <v>1</v>
      </c>
      <c r="R27" s="10">
        <f t="shared" si="3"/>
        <v>0</v>
      </c>
    </row>
    <row r="34">
      <c r="B34" s="10">
        <f t="shared" ref="B34:O34" si="4">sum(B2:B27)</f>
        <v>58</v>
      </c>
      <c r="C34" s="10">
        <f t="shared" si="4"/>
        <v>58</v>
      </c>
      <c r="D34" s="10">
        <f t="shared" si="4"/>
        <v>58</v>
      </c>
      <c r="E34" s="10">
        <f t="shared" si="4"/>
        <v>58</v>
      </c>
      <c r="F34" s="10">
        <f t="shared" si="4"/>
        <v>58</v>
      </c>
      <c r="G34" s="10">
        <f t="shared" si="4"/>
        <v>58</v>
      </c>
      <c r="H34" s="10">
        <f t="shared" si="4"/>
        <v>58</v>
      </c>
      <c r="I34" s="10">
        <f t="shared" si="4"/>
        <v>58</v>
      </c>
      <c r="J34" s="10">
        <f t="shared" si="4"/>
        <v>58</v>
      </c>
      <c r="K34" s="10">
        <f t="shared" si="4"/>
        <v>58</v>
      </c>
      <c r="L34" s="10">
        <f t="shared" si="4"/>
        <v>58</v>
      </c>
      <c r="M34" s="10">
        <f t="shared" si="4"/>
        <v>58</v>
      </c>
      <c r="N34" s="10">
        <f t="shared" si="4"/>
        <v>58</v>
      </c>
      <c r="O34" s="10">
        <f t="shared" si="4"/>
        <v>96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3" width="3.88"/>
  </cols>
  <sheetData>
    <row r="1">
      <c r="C1" s="2" t="s">
        <v>2</v>
      </c>
      <c r="D1" s="24" t="s">
        <v>1</v>
      </c>
      <c r="E1" s="2" t="s">
        <v>8</v>
      </c>
      <c r="F1" s="2" t="s">
        <v>28</v>
      </c>
      <c r="G1" s="2" t="s">
        <v>26</v>
      </c>
      <c r="H1" s="27" t="s">
        <v>7</v>
      </c>
      <c r="I1" s="2" t="s">
        <v>38</v>
      </c>
      <c r="J1" s="2" t="s">
        <v>13</v>
      </c>
      <c r="K1" s="26" t="s">
        <v>21</v>
      </c>
      <c r="L1" s="2" t="s">
        <v>4</v>
      </c>
      <c r="M1" s="2" t="s">
        <v>0</v>
      </c>
      <c r="N1" s="2" t="s">
        <v>18</v>
      </c>
      <c r="O1" s="2" t="s">
        <v>20</v>
      </c>
      <c r="P1" s="2" t="s">
        <v>55</v>
      </c>
      <c r="Q1" s="2" t="s">
        <v>47</v>
      </c>
      <c r="R1" s="2" t="s">
        <v>31</v>
      </c>
      <c r="S1" s="2" t="s">
        <v>24</v>
      </c>
      <c r="T1" s="2" t="s">
        <v>42</v>
      </c>
      <c r="U1" s="2" t="s">
        <v>33</v>
      </c>
      <c r="V1" s="2" t="s">
        <v>43</v>
      </c>
      <c r="W1" s="2" t="s">
        <v>40</v>
      </c>
      <c r="X1" s="27" t="s">
        <v>53</v>
      </c>
      <c r="Y1" s="27" t="s">
        <v>29</v>
      </c>
      <c r="Z1" s="2" t="s">
        <v>36</v>
      </c>
      <c r="AA1" s="72" t="s">
        <v>48</v>
      </c>
      <c r="AB1" s="2" t="s">
        <v>51</v>
      </c>
      <c r="AC1" s="2" t="s">
        <v>49</v>
      </c>
      <c r="AD1" s="73" t="s">
        <v>37</v>
      </c>
      <c r="AE1" s="2" t="s">
        <v>58</v>
      </c>
      <c r="AF1" s="2" t="s">
        <v>59</v>
      </c>
      <c r="AG1" s="2" t="s">
        <v>60</v>
      </c>
    </row>
    <row r="2">
      <c r="A2" s="28">
        <v>1.0</v>
      </c>
      <c r="B2" s="44" t="s">
        <v>37</v>
      </c>
      <c r="C2" s="30">
        <v>8.0</v>
      </c>
      <c r="D2" s="30">
        <v>10.0</v>
      </c>
      <c r="E2" s="31"/>
      <c r="F2" s="30">
        <v>7.0</v>
      </c>
      <c r="G2" s="30">
        <v>12.0</v>
      </c>
      <c r="H2" s="30">
        <v>3.0</v>
      </c>
      <c r="I2" s="31"/>
      <c r="J2" s="31"/>
      <c r="K2" s="30">
        <v>8.0</v>
      </c>
      <c r="L2" s="31"/>
      <c r="M2" s="30">
        <v>8.0</v>
      </c>
      <c r="N2" s="30">
        <v>10.0</v>
      </c>
      <c r="O2" s="30">
        <v>12.0</v>
      </c>
      <c r="P2" s="30">
        <v>12.0</v>
      </c>
      <c r="Q2" s="30">
        <v>5.0</v>
      </c>
      <c r="R2" s="31"/>
      <c r="S2" s="31"/>
      <c r="T2" s="31"/>
      <c r="U2" s="31"/>
      <c r="V2" s="31"/>
      <c r="W2" s="30">
        <v>2.0</v>
      </c>
      <c r="X2" s="30">
        <v>4.0</v>
      </c>
      <c r="Y2" s="31"/>
      <c r="Z2" s="30">
        <v>7.0</v>
      </c>
      <c r="AA2" s="31"/>
      <c r="AB2" s="31"/>
      <c r="AC2" s="30">
        <v>8.0</v>
      </c>
      <c r="AD2" s="31"/>
      <c r="AE2" s="10">
        <f t="shared" ref="AE2:AE27" si="1">sum(C2:AD2)</f>
        <v>116</v>
      </c>
      <c r="AF2" s="10">
        <f t="shared" ref="AF2:AF27" si="2">counta(C2:AD2)</f>
        <v>15</v>
      </c>
      <c r="AG2" s="10">
        <f t="shared" ref="AG2:AG27" si="3">countif(C2:AD2,12)</f>
        <v>3</v>
      </c>
    </row>
    <row r="3">
      <c r="A3" s="32">
        <v>2.0</v>
      </c>
      <c r="B3" s="47" t="s">
        <v>61</v>
      </c>
      <c r="C3" s="40">
        <v>2.0</v>
      </c>
      <c r="D3" s="40">
        <v>12.0</v>
      </c>
      <c r="E3" s="41"/>
      <c r="F3" s="41"/>
      <c r="G3" s="40">
        <v>2.0</v>
      </c>
      <c r="H3" s="41"/>
      <c r="I3" s="41"/>
      <c r="J3" s="41"/>
      <c r="K3" s="41"/>
      <c r="L3" s="40">
        <v>10.0</v>
      </c>
      <c r="M3" s="41"/>
      <c r="N3" s="41"/>
      <c r="O3" s="41"/>
      <c r="P3" s="41"/>
      <c r="Q3" s="41"/>
      <c r="R3" s="40">
        <v>5.0</v>
      </c>
      <c r="S3" s="40">
        <v>6.0</v>
      </c>
      <c r="T3" s="41"/>
      <c r="U3" s="40">
        <v>6.0</v>
      </c>
      <c r="V3" s="41"/>
      <c r="W3" s="40">
        <v>1.0</v>
      </c>
      <c r="X3" s="40">
        <v>6.0</v>
      </c>
      <c r="Y3" s="41"/>
      <c r="Z3" s="40">
        <v>5.0</v>
      </c>
      <c r="AA3" s="40">
        <v>12.0</v>
      </c>
      <c r="AB3" s="40">
        <v>5.0</v>
      </c>
      <c r="AC3" s="40">
        <v>10.0</v>
      </c>
      <c r="AD3" s="40">
        <v>8.0</v>
      </c>
      <c r="AE3" s="10">
        <f t="shared" si="1"/>
        <v>90</v>
      </c>
      <c r="AF3" s="10">
        <f t="shared" si="2"/>
        <v>14</v>
      </c>
      <c r="AG3" s="10">
        <f t="shared" si="3"/>
        <v>2</v>
      </c>
    </row>
    <row r="4">
      <c r="A4" s="28">
        <v>3.0</v>
      </c>
      <c r="B4" s="44" t="s">
        <v>36</v>
      </c>
      <c r="C4" s="42">
        <v>6.0</v>
      </c>
      <c r="D4" s="43"/>
      <c r="E4" s="42">
        <v>8.0</v>
      </c>
      <c r="F4" s="43"/>
      <c r="G4" s="42">
        <v>6.0</v>
      </c>
      <c r="H4" s="42">
        <v>8.0</v>
      </c>
      <c r="I4" s="42">
        <v>2.0</v>
      </c>
      <c r="J4" s="42">
        <v>5.0</v>
      </c>
      <c r="K4" s="43"/>
      <c r="L4" s="43"/>
      <c r="M4" s="43"/>
      <c r="N4" s="43"/>
      <c r="O4" s="42">
        <v>5.0</v>
      </c>
      <c r="P4" s="42">
        <v>8.0</v>
      </c>
      <c r="Q4" s="43"/>
      <c r="R4" s="43"/>
      <c r="S4" s="43"/>
      <c r="T4" s="42">
        <v>12.0</v>
      </c>
      <c r="U4" s="43"/>
      <c r="V4" s="43"/>
      <c r="W4" s="42">
        <v>4.0</v>
      </c>
      <c r="X4" s="42">
        <v>12.0</v>
      </c>
      <c r="Y4" s="43"/>
      <c r="Z4" s="43"/>
      <c r="AA4" s="43"/>
      <c r="AB4" s="43"/>
      <c r="AC4" s="43"/>
      <c r="AD4" s="42">
        <v>12.0</v>
      </c>
      <c r="AE4" s="10">
        <f t="shared" si="1"/>
        <v>88</v>
      </c>
      <c r="AF4" s="10">
        <f t="shared" si="2"/>
        <v>12</v>
      </c>
      <c r="AG4" s="10">
        <f t="shared" si="3"/>
        <v>3</v>
      </c>
    </row>
    <row r="5">
      <c r="A5" s="28">
        <v>4.0</v>
      </c>
      <c r="B5" s="29" t="s">
        <v>8</v>
      </c>
      <c r="C5" s="54"/>
      <c r="D5" s="54"/>
      <c r="E5" s="54"/>
      <c r="F5" s="54"/>
      <c r="G5" s="42">
        <v>7.0</v>
      </c>
      <c r="H5" s="43"/>
      <c r="I5" s="42">
        <v>8.0</v>
      </c>
      <c r="J5" s="42">
        <v>7.0</v>
      </c>
      <c r="K5" s="42">
        <v>6.0</v>
      </c>
      <c r="L5" s="42">
        <v>1.0</v>
      </c>
      <c r="M5" s="42">
        <v>7.0</v>
      </c>
      <c r="N5" s="42">
        <v>1.0</v>
      </c>
      <c r="O5" s="43"/>
      <c r="P5" s="43"/>
      <c r="Q5" s="43"/>
      <c r="R5" s="43"/>
      <c r="S5" s="42">
        <v>8.0</v>
      </c>
      <c r="T5" s="42">
        <v>10.0</v>
      </c>
      <c r="U5" s="43"/>
      <c r="V5" s="42">
        <v>10.0</v>
      </c>
      <c r="W5" s="43"/>
      <c r="X5" s="43"/>
      <c r="Y5" s="42">
        <v>6.0</v>
      </c>
      <c r="Z5" s="43"/>
      <c r="AA5" s="43"/>
      <c r="AB5" s="43"/>
      <c r="AC5" s="42">
        <v>7.0</v>
      </c>
      <c r="AD5" s="42">
        <v>6.0</v>
      </c>
      <c r="AE5" s="10">
        <f t="shared" si="1"/>
        <v>84</v>
      </c>
      <c r="AF5" s="10">
        <f t="shared" si="2"/>
        <v>13</v>
      </c>
      <c r="AG5" s="10">
        <f t="shared" si="3"/>
        <v>0</v>
      </c>
    </row>
    <row r="6">
      <c r="A6" s="32">
        <v>5.0</v>
      </c>
      <c r="B6" s="44" t="s">
        <v>2</v>
      </c>
      <c r="C6" s="54"/>
      <c r="D6" s="42">
        <v>5.0</v>
      </c>
      <c r="E6" s="43"/>
      <c r="F6" s="42">
        <v>2.0</v>
      </c>
      <c r="G6" s="43"/>
      <c r="H6" s="42">
        <v>12.0</v>
      </c>
      <c r="I6" s="43"/>
      <c r="J6" s="42">
        <v>12.0</v>
      </c>
      <c r="K6" s="42">
        <v>4.0</v>
      </c>
      <c r="L6" s="42">
        <v>4.0</v>
      </c>
      <c r="M6" s="43"/>
      <c r="N6" s="43"/>
      <c r="O6" s="43"/>
      <c r="P6" s="42">
        <v>5.0</v>
      </c>
      <c r="Q6" s="42">
        <v>1.0</v>
      </c>
      <c r="R6" s="43"/>
      <c r="S6" s="43"/>
      <c r="T6" s="43"/>
      <c r="U6" s="43"/>
      <c r="V6" s="42">
        <v>4.0</v>
      </c>
      <c r="W6" s="43"/>
      <c r="X6" s="42">
        <v>2.0</v>
      </c>
      <c r="Y6" s="42">
        <v>5.0</v>
      </c>
      <c r="Z6" s="42">
        <v>10.0</v>
      </c>
      <c r="AA6" s="43"/>
      <c r="AB6" s="42">
        <v>8.0</v>
      </c>
      <c r="AC6" s="43"/>
      <c r="AD6" s="42">
        <v>5.0</v>
      </c>
      <c r="AE6" s="10">
        <f t="shared" si="1"/>
        <v>79</v>
      </c>
      <c r="AF6" s="10">
        <f t="shared" si="2"/>
        <v>14</v>
      </c>
      <c r="AG6" s="10">
        <f t="shared" si="3"/>
        <v>2</v>
      </c>
    </row>
    <row r="7">
      <c r="A7" s="28">
        <v>6.0</v>
      </c>
      <c r="B7" s="29" t="s">
        <v>29</v>
      </c>
      <c r="C7" s="49"/>
      <c r="D7" s="49"/>
      <c r="E7" s="30">
        <v>5.0</v>
      </c>
      <c r="F7" s="31"/>
      <c r="G7" s="30">
        <v>5.0</v>
      </c>
      <c r="H7" s="30">
        <v>5.0</v>
      </c>
      <c r="I7" s="31"/>
      <c r="J7" s="30">
        <v>2.0</v>
      </c>
      <c r="K7" s="31"/>
      <c r="L7" s="31"/>
      <c r="M7" s="31"/>
      <c r="N7" s="31"/>
      <c r="O7" s="30">
        <v>6.0</v>
      </c>
      <c r="P7" s="30">
        <v>6.0</v>
      </c>
      <c r="Q7" s="30">
        <v>7.0</v>
      </c>
      <c r="R7" s="31"/>
      <c r="S7" s="30">
        <v>5.0</v>
      </c>
      <c r="T7" s="30">
        <v>7.0</v>
      </c>
      <c r="U7" s="30">
        <v>1.0</v>
      </c>
      <c r="V7" s="30">
        <v>6.0</v>
      </c>
      <c r="W7" s="30">
        <v>7.0</v>
      </c>
      <c r="X7" s="31"/>
      <c r="Y7" s="31"/>
      <c r="Z7" s="31"/>
      <c r="AA7" s="30">
        <v>10.0</v>
      </c>
      <c r="AB7" s="30">
        <v>3.0</v>
      </c>
      <c r="AC7" s="31"/>
      <c r="AD7" s="30">
        <v>3.0</v>
      </c>
      <c r="AE7" s="10">
        <f t="shared" si="1"/>
        <v>78</v>
      </c>
      <c r="AF7" s="10">
        <f t="shared" si="2"/>
        <v>15</v>
      </c>
      <c r="AG7" s="10">
        <f t="shared" si="3"/>
        <v>0</v>
      </c>
    </row>
    <row r="8">
      <c r="A8" s="28">
        <v>7.0</v>
      </c>
      <c r="B8" s="44" t="s">
        <v>47</v>
      </c>
      <c r="C8" s="30">
        <v>5.0</v>
      </c>
      <c r="D8" s="30">
        <v>7.0</v>
      </c>
      <c r="E8" s="31"/>
      <c r="F8" s="30">
        <v>5.0</v>
      </c>
      <c r="G8" s="31"/>
      <c r="H8" s="30">
        <v>4.0</v>
      </c>
      <c r="I8" s="30">
        <v>4.0</v>
      </c>
      <c r="J8" s="31"/>
      <c r="K8" s="30">
        <v>10.0</v>
      </c>
      <c r="L8" s="31"/>
      <c r="M8" s="30">
        <v>12.0</v>
      </c>
      <c r="N8" s="30">
        <v>12.0</v>
      </c>
      <c r="O8" s="30">
        <v>4.0</v>
      </c>
      <c r="P8" s="31"/>
      <c r="Q8" s="31"/>
      <c r="R8" s="31"/>
      <c r="S8" s="30">
        <v>12.0</v>
      </c>
      <c r="T8" s="31"/>
      <c r="U8" s="31"/>
      <c r="V8" s="31"/>
      <c r="W8" s="31"/>
      <c r="X8" s="31"/>
      <c r="Y8" s="31"/>
      <c r="Z8" s="31"/>
      <c r="AA8" s="31"/>
      <c r="AB8" s="31"/>
      <c r="AC8" s="30">
        <v>3.0</v>
      </c>
      <c r="AD8" s="31"/>
      <c r="AE8" s="10">
        <f t="shared" si="1"/>
        <v>78</v>
      </c>
      <c r="AF8" s="10">
        <f t="shared" si="2"/>
        <v>11</v>
      </c>
      <c r="AG8" s="10">
        <f t="shared" si="3"/>
        <v>3</v>
      </c>
    </row>
    <row r="9">
      <c r="A9" s="32">
        <v>8.0</v>
      </c>
      <c r="B9" s="29" t="s">
        <v>7</v>
      </c>
      <c r="C9" s="30">
        <v>7.0</v>
      </c>
      <c r="D9" s="30">
        <v>4.0</v>
      </c>
      <c r="E9" s="30">
        <v>10.0</v>
      </c>
      <c r="F9" s="31"/>
      <c r="G9" s="30">
        <v>3.0</v>
      </c>
      <c r="H9" s="31"/>
      <c r="I9" s="30">
        <v>5.0</v>
      </c>
      <c r="J9" s="30">
        <v>4.0</v>
      </c>
      <c r="K9" s="31"/>
      <c r="L9" s="30">
        <v>5.0</v>
      </c>
      <c r="M9" s="31"/>
      <c r="N9" s="31"/>
      <c r="O9" s="31"/>
      <c r="P9" s="30">
        <v>4.0</v>
      </c>
      <c r="Q9" s="31"/>
      <c r="R9" s="31"/>
      <c r="S9" s="30">
        <v>3.0</v>
      </c>
      <c r="T9" s="31"/>
      <c r="U9" s="31"/>
      <c r="V9" s="30">
        <v>12.0</v>
      </c>
      <c r="W9" s="31"/>
      <c r="X9" s="30">
        <v>3.0</v>
      </c>
      <c r="Y9" s="31"/>
      <c r="Z9" s="30">
        <v>8.0</v>
      </c>
      <c r="AA9" s="30">
        <v>1.0</v>
      </c>
      <c r="AB9" s="30">
        <v>1.0</v>
      </c>
      <c r="AC9" s="31"/>
      <c r="AD9" s="30">
        <v>7.0</v>
      </c>
      <c r="AE9" s="10">
        <f t="shared" si="1"/>
        <v>77</v>
      </c>
      <c r="AF9" s="10">
        <f t="shared" si="2"/>
        <v>15</v>
      </c>
      <c r="AG9" s="10">
        <f t="shared" si="3"/>
        <v>1</v>
      </c>
    </row>
    <row r="10">
      <c r="A10" s="28">
        <v>9.0</v>
      </c>
      <c r="B10" s="44" t="s">
        <v>20</v>
      </c>
      <c r="C10" s="42">
        <v>12.0</v>
      </c>
      <c r="D10" s="43"/>
      <c r="E10" s="43"/>
      <c r="F10" s="43"/>
      <c r="G10" s="42">
        <v>8.0</v>
      </c>
      <c r="H10" s="43"/>
      <c r="I10" s="43"/>
      <c r="J10" s="42">
        <v>3.0</v>
      </c>
      <c r="K10" s="42">
        <v>12.0</v>
      </c>
      <c r="L10" s="43"/>
      <c r="M10" s="43"/>
      <c r="N10" s="42">
        <v>5.0</v>
      </c>
      <c r="O10" s="43"/>
      <c r="P10" s="42">
        <v>7.0</v>
      </c>
      <c r="Q10" s="42">
        <v>2.0</v>
      </c>
      <c r="R10" s="43"/>
      <c r="S10" s="43"/>
      <c r="T10" s="43"/>
      <c r="U10" s="43"/>
      <c r="V10" s="43"/>
      <c r="W10" s="42">
        <v>10.0</v>
      </c>
      <c r="X10" s="43"/>
      <c r="Y10" s="42">
        <v>3.0</v>
      </c>
      <c r="Z10" s="42">
        <v>2.0</v>
      </c>
      <c r="AA10" s="43"/>
      <c r="AB10" s="42">
        <v>12.0</v>
      </c>
      <c r="AC10" s="43"/>
      <c r="AD10" s="43"/>
      <c r="AE10" s="10">
        <f t="shared" si="1"/>
        <v>76</v>
      </c>
      <c r="AF10" s="10">
        <f t="shared" si="2"/>
        <v>11</v>
      </c>
      <c r="AG10" s="10">
        <f t="shared" si="3"/>
        <v>3</v>
      </c>
    </row>
    <row r="11">
      <c r="A11" s="28">
        <v>10.0</v>
      </c>
      <c r="B11" s="29" t="s">
        <v>33</v>
      </c>
      <c r="C11" s="30">
        <v>1.0</v>
      </c>
      <c r="D11" s="30">
        <v>2.0</v>
      </c>
      <c r="E11" s="31"/>
      <c r="F11" s="31"/>
      <c r="G11" s="30">
        <v>1.0</v>
      </c>
      <c r="H11" s="31"/>
      <c r="I11" s="31"/>
      <c r="J11" s="30">
        <v>8.0</v>
      </c>
      <c r="K11" s="31"/>
      <c r="L11" s="30">
        <v>6.0</v>
      </c>
      <c r="M11" s="30">
        <v>4.0</v>
      </c>
      <c r="N11" s="30">
        <v>4.0</v>
      </c>
      <c r="O11" s="30">
        <v>3.0</v>
      </c>
      <c r="P11" s="31"/>
      <c r="Q11" s="30">
        <v>6.0</v>
      </c>
      <c r="R11" s="30">
        <v>12.0</v>
      </c>
      <c r="S11" s="31"/>
      <c r="T11" s="31"/>
      <c r="U11" s="31"/>
      <c r="V11" s="30">
        <v>3.0</v>
      </c>
      <c r="W11" s="31"/>
      <c r="X11" s="30">
        <v>8.0</v>
      </c>
      <c r="Y11" s="31"/>
      <c r="Z11" s="30">
        <v>12.0</v>
      </c>
      <c r="AA11" s="30">
        <v>4.0</v>
      </c>
      <c r="AB11" s="31"/>
      <c r="AC11" s="31"/>
      <c r="AD11" s="31"/>
      <c r="AE11" s="10">
        <f t="shared" si="1"/>
        <v>74</v>
      </c>
      <c r="AF11" s="10">
        <f t="shared" si="2"/>
        <v>14</v>
      </c>
      <c r="AG11" s="10">
        <f t="shared" si="3"/>
        <v>2</v>
      </c>
    </row>
    <row r="12">
      <c r="A12" s="50">
        <v>11.0</v>
      </c>
      <c r="B12" s="74" t="s">
        <v>1</v>
      </c>
      <c r="C12" s="42">
        <v>3.0</v>
      </c>
      <c r="D12" s="43"/>
      <c r="E12" s="43"/>
      <c r="F12" s="42">
        <v>12.0</v>
      </c>
      <c r="G12" s="42">
        <v>10.0</v>
      </c>
      <c r="H12" s="43"/>
      <c r="I12" s="43"/>
      <c r="J12" s="43"/>
      <c r="K12" s="42">
        <v>2.0</v>
      </c>
      <c r="L12" s="42">
        <v>12.0</v>
      </c>
      <c r="M12" s="43"/>
      <c r="N12" s="43"/>
      <c r="O12" s="43"/>
      <c r="P12" s="43"/>
      <c r="Q12" s="42">
        <v>3.0</v>
      </c>
      <c r="R12" s="42">
        <v>7.0</v>
      </c>
      <c r="S12" s="43"/>
      <c r="T12" s="43"/>
      <c r="U12" s="43"/>
      <c r="V12" s="43"/>
      <c r="W12" s="43"/>
      <c r="X12" s="42">
        <v>5.0</v>
      </c>
      <c r="Y12" s="43"/>
      <c r="Z12" s="42">
        <v>6.0</v>
      </c>
      <c r="AA12" s="43"/>
      <c r="AB12" s="43"/>
      <c r="AC12" s="42">
        <v>12.0</v>
      </c>
      <c r="AD12" s="43"/>
      <c r="AE12" s="10">
        <f t="shared" si="1"/>
        <v>72</v>
      </c>
      <c r="AF12" s="10">
        <f t="shared" si="2"/>
        <v>10</v>
      </c>
      <c r="AG12" s="10">
        <f t="shared" si="3"/>
        <v>3</v>
      </c>
    </row>
    <row r="13">
      <c r="A13" s="55">
        <v>12.0</v>
      </c>
      <c r="B13" s="51" t="s">
        <v>24</v>
      </c>
      <c r="C13" s="49"/>
      <c r="D13" s="49"/>
      <c r="E13" s="30">
        <v>7.0</v>
      </c>
      <c r="F13" s="30">
        <v>3.0</v>
      </c>
      <c r="G13" s="31"/>
      <c r="H13" s="31"/>
      <c r="I13" s="30">
        <v>1.0</v>
      </c>
      <c r="J13" s="31"/>
      <c r="K13" s="31"/>
      <c r="L13" s="31"/>
      <c r="M13" s="30">
        <v>10.0</v>
      </c>
      <c r="N13" s="31"/>
      <c r="O13" s="31"/>
      <c r="P13" s="30">
        <v>3.0</v>
      </c>
      <c r="Q13" s="31"/>
      <c r="R13" s="30">
        <v>10.0</v>
      </c>
      <c r="S13" s="31"/>
      <c r="T13" s="31"/>
      <c r="U13" s="30">
        <v>8.0</v>
      </c>
      <c r="V13" s="31"/>
      <c r="W13" s="30">
        <v>12.0</v>
      </c>
      <c r="X13" s="31"/>
      <c r="Y13" s="31"/>
      <c r="Z13" s="30">
        <v>4.0</v>
      </c>
      <c r="AA13" s="31"/>
      <c r="AB13" s="30">
        <v>4.0</v>
      </c>
      <c r="AC13" s="30">
        <v>6.0</v>
      </c>
      <c r="AD13" s="31"/>
      <c r="AE13" s="10">
        <f t="shared" si="1"/>
        <v>68</v>
      </c>
      <c r="AF13" s="10">
        <f t="shared" si="2"/>
        <v>11</v>
      </c>
      <c r="AG13" s="10">
        <f t="shared" si="3"/>
        <v>1</v>
      </c>
    </row>
    <row r="14">
      <c r="A14" s="55">
        <v>13.0</v>
      </c>
      <c r="B14" s="58" t="s">
        <v>43</v>
      </c>
      <c r="C14" s="48"/>
      <c r="D14" s="48"/>
      <c r="E14" s="48"/>
      <c r="F14" s="48"/>
      <c r="G14" s="48"/>
      <c r="H14" s="40">
        <v>10.0</v>
      </c>
      <c r="I14" s="41"/>
      <c r="J14" s="41"/>
      <c r="K14" s="40">
        <v>5.0</v>
      </c>
      <c r="L14" s="41"/>
      <c r="M14" s="41"/>
      <c r="N14" s="41"/>
      <c r="O14" s="41"/>
      <c r="P14" s="40">
        <v>10.0</v>
      </c>
      <c r="Q14" s="40">
        <v>4.0</v>
      </c>
      <c r="R14" s="41"/>
      <c r="S14" s="40">
        <v>2.0</v>
      </c>
      <c r="T14" s="41"/>
      <c r="U14" s="41"/>
      <c r="V14" s="41"/>
      <c r="W14" s="40">
        <v>3.0</v>
      </c>
      <c r="X14" s="40">
        <v>1.0</v>
      </c>
      <c r="Y14" s="40">
        <v>12.0</v>
      </c>
      <c r="Z14" s="41"/>
      <c r="AA14" s="40">
        <v>6.0</v>
      </c>
      <c r="AB14" s="40">
        <v>7.0</v>
      </c>
      <c r="AC14" s="40">
        <v>5.0</v>
      </c>
      <c r="AD14" s="41"/>
      <c r="AE14" s="10">
        <f t="shared" si="1"/>
        <v>65</v>
      </c>
      <c r="AF14" s="10">
        <f t="shared" si="2"/>
        <v>11</v>
      </c>
      <c r="AG14" s="10">
        <f t="shared" si="3"/>
        <v>1</v>
      </c>
    </row>
    <row r="15">
      <c r="A15" s="50">
        <v>14.0</v>
      </c>
      <c r="B15" s="51" t="s">
        <v>51</v>
      </c>
      <c r="C15" s="49"/>
      <c r="D15" s="49"/>
      <c r="E15" s="49"/>
      <c r="F15" s="30">
        <v>10.0</v>
      </c>
      <c r="G15" s="31"/>
      <c r="H15" s="31"/>
      <c r="I15" s="31"/>
      <c r="J15" s="31"/>
      <c r="K15" s="31"/>
      <c r="L15" s="30">
        <v>8.0</v>
      </c>
      <c r="M15" s="31"/>
      <c r="N15" s="31"/>
      <c r="O15" s="31"/>
      <c r="P15" s="31"/>
      <c r="Q15" s="31"/>
      <c r="R15" s="30">
        <v>6.0</v>
      </c>
      <c r="S15" s="30">
        <v>10.0</v>
      </c>
      <c r="T15" s="31"/>
      <c r="U15" s="30">
        <v>3.0</v>
      </c>
      <c r="V15" s="30">
        <v>7.0</v>
      </c>
      <c r="W15" s="31"/>
      <c r="X15" s="30">
        <v>10.0</v>
      </c>
      <c r="Y15" s="30">
        <v>10.0</v>
      </c>
      <c r="Z15" s="31"/>
      <c r="AA15" s="31"/>
      <c r="AB15" s="31"/>
      <c r="AC15" s="31"/>
      <c r="AD15" s="31"/>
      <c r="AE15" s="10">
        <f t="shared" si="1"/>
        <v>64</v>
      </c>
      <c r="AF15" s="10">
        <f t="shared" si="2"/>
        <v>8</v>
      </c>
      <c r="AG15" s="10">
        <f t="shared" si="3"/>
        <v>0</v>
      </c>
    </row>
    <row r="16">
      <c r="A16" s="55">
        <v>15.0</v>
      </c>
      <c r="B16" s="56" t="s">
        <v>53</v>
      </c>
      <c r="C16" s="49"/>
      <c r="D16" s="30">
        <v>3.0</v>
      </c>
      <c r="E16" s="31"/>
      <c r="F16" s="31"/>
      <c r="G16" s="30">
        <v>4.0</v>
      </c>
      <c r="H16" s="30">
        <v>7.0</v>
      </c>
      <c r="I16" s="31"/>
      <c r="J16" s="30">
        <v>6.0</v>
      </c>
      <c r="K16" s="31"/>
      <c r="L16" s="30">
        <v>3.0</v>
      </c>
      <c r="M16" s="31"/>
      <c r="N16" s="31"/>
      <c r="O16" s="31"/>
      <c r="P16" s="31"/>
      <c r="Q16" s="31"/>
      <c r="R16" s="30">
        <v>8.0</v>
      </c>
      <c r="S16" s="30">
        <v>4.0</v>
      </c>
      <c r="T16" s="31"/>
      <c r="U16" s="30">
        <v>10.0</v>
      </c>
      <c r="V16" s="31"/>
      <c r="W16" s="31"/>
      <c r="X16" s="31"/>
      <c r="Y16" s="31"/>
      <c r="Z16" s="30">
        <v>1.0</v>
      </c>
      <c r="AA16" s="30">
        <v>3.0</v>
      </c>
      <c r="AB16" s="30">
        <v>10.0</v>
      </c>
      <c r="AC16" s="31"/>
      <c r="AD16" s="31"/>
      <c r="AE16" s="10">
        <f t="shared" si="1"/>
        <v>59</v>
      </c>
      <c r="AF16" s="10">
        <f t="shared" si="2"/>
        <v>11</v>
      </c>
      <c r="AG16" s="10">
        <f t="shared" si="3"/>
        <v>0</v>
      </c>
    </row>
    <row r="17">
      <c r="A17" s="28">
        <v>16.0</v>
      </c>
      <c r="B17" s="47" t="s">
        <v>49</v>
      </c>
      <c r="C17" s="46"/>
      <c r="D17" s="34">
        <v>8.0</v>
      </c>
      <c r="E17" s="35"/>
      <c r="F17" s="34">
        <v>8.0</v>
      </c>
      <c r="G17" s="35"/>
      <c r="H17" s="35"/>
      <c r="I17" s="35"/>
      <c r="J17" s="34">
        <v>1.0</v>
      </c>
      <c r="K17" s="35"/>
      <c r="L17" s="35"/>
      <c r="M17" s="34">
        <v>5.0</v>
      </c>
      <c r="N17" s="34">
        <v>6.0</v>
      </c>
      <c r="O17" s="34">
        <v>10.0</v>
      </c>
      <c r="P17" s="35"/>
      <c r="Q17" s="35"/>
      <c r="R17" s="34">
        <v>3.0</v>
      </c>
      <c r="S17" s="35"/>
      <c r="T17" s="35"/>
      <c r="U17" s="34">
        <v>4.0</v>
      </c>
      <c r="V17" s="34">
        <v>5.0</v>
      </c>
      <c r="W17" s="35"/>
      <c r="X17" s="35"/>
      <c r="Y17" s="35"/>
      <c r="Z17" s="35"/>
      <c r="AA17" s="34">
        <v>8.0</v>
      </c>
      <c r="AB17" s="35"/>
      <c r="AC17" s="35"/>
      <c r="AD17" s="35"/>
      <c r="AE17" s="10">
        <f t="shared" si="1"/>
        <v>58</v>
      </c>
      <c r="AF17" s="10">
        <f t="shared" si="2"/>
        <v>10</v>
      </c>
      <c r="AG17" s="10">
        <f t="shared" si="3"/>
        <v>0</v>
      </c>
    </row>
    <row r="18">
      <c r="A18" s="50">
        <v>17.0</v>
      </c>
      <c r="B18" s="53" t="s">
        <v>31</v>
      </c>
      <c r="C18" s="54"/>
      <c r="D18" s="42">
        <v>6.0</v>
      </c>
      <c r="E18" s="43"/>
      <c r="F18" s="42">
        <v>1.0</v>
      </c>
      <c r="G18" s="43"/>
      <c r="H18" s="43"/>
      <c r="I18" s="42">
        <v>3.0</v>
      </c>
      <c r="J18" s="43"/>
      <c r="K18" s="43"/>
      <c r="L18" s="42">
        <v>7.0</v>
      </c>
      <c r="M18" s="43"/>
      <c r="N18" s="43"/>
      <c r="O18" s="42">
        <v>1.0</v>
      </c>
      <c r="P18" s="43"/>
      <c r="Q18" s="43"/>
      <c r="R18" s="43"/>
      <c r="S18" s="42">
        <v>7.0</v>
      </c>
      <c r="T18" s="43"/>
      <c r="U18" s="42">
        <v>12.0</v>
      </c>
      <c r="V18" s="43"/>
      <c r="W18" s="43"/>
      <c r="X18" s="42">
        <v>7.0</v>
      </c>
      <c r="Y18" s="42">
        <v>7.0</v>
      </c>
      <c r="Z18" s="42">
        <v>3.0</v>
      </c>
      <c r="AA18" s="42">
        <v>2.0</v>
      </c>
      <c r="AB18" s="43"/>
      <c r="AC18" s="43"/>
      <c r="AD18" s="42">
        <v>1.0</v>
      </c>
      <c r="AE18" s="10">
        <f t="shared" si="1"/>
        <v>57</v>
      </c>
      <c r="AF18" s="10">
        <f t="shared" si="2"/>
        <v>12</v>
      </c>
      <c r="AG18" s="10">
        <f t="shared" si="3"/>
        <v>1</v>
      </c>
    </row>
    <row r="19">
      <c r="A19" s="55">
        <v>18.0</v>
      </c>
      <c r="B19" s="63" t="s">
        <v>48</v>
      </c>
      <c r="C19" s="34">
        <v>4.0</v>
      </c>
      <c r="D19" s="35"/>
      <c r="E19" s="34">
        <v>4.0</v>
      </c>
      <c r="F19" s="34">
        <v>4.0</v>
      </c>
      <c r="G19" s="35"/>
      <c r="H19" s="34">
        <v>6.0</v>
      </c>
      <c r="I19" s="34">
        <v>12.0</v>
      </c>
      <c r="J19" s="35"/>
      <c r="K19" s="35"/>
      <c r="L19" s="35"/>
      <c r="M19" s="34">
        <v>2.0</v>
      </c>
      <c r="N19" s="34">
        <v>2.0</v>
      </c>
      <c r="O19" s="35"/>
      <c r="P19" s="34">
        <v>1.0</v>
      </c>
      <c r="Q19" s="35"/>
      <c r="R19" s="35"/>
      <c r="S19" s="35"/>
      <c r="T19" s="34">
        <v>4.0</v>
      </c>
      <c r="U19" s="35"/>
      <c r="V19" s="34">
        <v>1.0</v>
      </c>
      <c r="W19" s="35"/>
      <c r="X19" s="35"/>
      <c r="Y19" s="34">
        <v>1.0</v>
      </c>
      <c r="Z19" s="35"/>
      <c r="AA19" s="35"/>
      <c r="AB19" s="34">
        <v>6.0</v>
      </c>
      <c r="AC19" s="35"/>
      <c r="AD19" s="34">
        <v>4.0</v>
      </c>
      <c r="AE19" s="10">
        <f t="shared" si="1"/>
        <v>51</v>
      </c>
      <c r="AF19" s="10">
        <f t="shared" si="2"/>
        <v>13</v>
      </c>
      <c r="AG19" s="10">
        <f t="shared" si="3"/>
        <v>1</v>
      </c>
    </row>
    <row r="20">
      <c r="A20" s="55">
        <v>19.0</v>
      </c>
      <c r="B20" s="58" t="s">
        <v>21</v>
      </c>
      <c r="C20" s="48"/>
      <c r="D20" s="48"/>
      <c r="E20" s="40">
        <v>12.0</v>
      </c>
      <c r="F20" s="41"/>
      <c r="G20" s="41"/>
      <c r="H20" s="41"/>
      <c r="I20" s="40">
        <v>7.0</v>
      </c>
      <c r="J20" s="41"/>
      <c r="K20" s="41"/>
      <c r="L20" s="41"/>
      <c r="M20" s="40">
        <v>3.0</v>
      </c>
      <c r="N20" s="41"/>
      <c r="O20" s="41"/>
      <c r="P20" s="40">
        <v>2.0</v>
      </c>
      <c r="Q20" s="40">
        <v>8.0</v>
      </c>
      <c r="R20" s="41"/>
      <c r="S20" s="41"/>
      <c r="T20" s="40">
        <v>2.0</v>
      </c>
      <c r="U20" s="41"/>
      <c r="V20" s="41"/>
      <c r="W20" s="40">
        <v>8.0</v>
      </c>
      <c r="X20" s="41"/>
      <c r="Y20" s="40">
        <v>4.0</v>
      </c>
      <c r="Z20" s="41"/>
      <c r="AA20" s="41"/>
      <c r="AB20" s="41"/>
      <c r="AC20" s="41"/>
      <c r="AD20" s="41"/>
      <c r="AE20" s="10">
        <f t="shared" si="1"/>
        <v>46</v>
      </c>
      <c r="AF20" s="10">
        <f t="shared" si="2"/>
        <v>8</v>
      </c>
      <c r="AG20" s="10">
        <f t="shared" si="3"/>
        <v>1</v>
      </c>
    </row>
    <row r="21">
      <c r="A21" s="50">
        <v>20.0</v>
      </c>
      <c r="B21" s="57" t="s">
        <v>38</v>
      </c>
      <c r="C21" s="48"/>
      <c r="D21" s="48"/>
      <c r="E21" s="40">
        <v>6.0</v>
      </c>
      <c r="F21" s="41"/>
      <c r="G21" s="41"/>
      <c r="H21" s="41"/>
      <c r="I21" s="41"/>
      <c r="J21" s="41"/>
      <c r="K21" s="40">
        <v>3.0</v>
      </c>
      <c r="L21" s="40">
        <v>2.0</v>
      </c>
      <c r="M21" s="41"/>
      <c r="N21" s="40">
        <v>3.0</v>
      </c>
      <c r="O21" s="40">
        <v>2.0</v>
      </c>
      <c r="P21" s="41"/>
      <c r="Q21" s="40">
        <v>12.0</v>
      </c>
      <c r="R21" s="41"/>
      <c r="S21" s="41"/>
      <c r="T21" s="40">
        <v>1.0</v>
      </c>
      <c r="U21" s="40">
        <v>5.0</v>
      </c>
      <c r="V21" s="40">
        <v>8.0</v>
      </c>
      <c r="W21" s="41"/>
      <c r="X21" s="41"/>
      <c r="Y21" s="41"/>
      <c r="Z21" s="41"/>
      <c r="AA21" s="41"/>
      <c r="AB21" s="41"/>
      <c r="AC21" s="41"/>
      <c r="AD21" s="41"/>
      <c r="AE21" s="10">
        <f t="shared" si="1"/>
        <v>42</v>
      </c>
      <c r="AF21" s="10">
        <f t="shared" si="2"/>
        <v>9</v>
      </c>
      <c r="AG21" s="10">
        <f t="shared" si="3"/>
        <v>1</v>
      </c>
    </row>
    <row r="22">
      <c r="A22" s="55">
        <v>21.0</v>
      </c>
      <c r="B22" s="70" t="s">
        <v>40</v>
      </c>
      <c r="C22" s="46"/>
      <c r="D22" s="46"/>
      <c r="E22" s="34">
        <v>1.0</v>
      </c>
      <c r="F22" s="35"/>
      <c r="G22" s="35"/>
      <c r="H22" s="34">
        <v>1.0</v>
      </c>
      <c r="I22" s="35"/>
      <c r="J22" s="35"/>
      <c r="K22" s="34">
        <v>7.0</v>
      </c>
      <c r="L22" s="35"/>
      <c r="M22" s="35"/>
      <c r="N22" s="34">
        <v>7.0</v>
      </c>
      <c r="O22" s="35"/>
      <c r="P22" s="35"/>
      <c r="Q22" s="34">
        <v>10.0</v>
      </c>
      <c r="R22" s="35"/>
      <c r="S22" s="35"/>
      <c r="T22" s="34">
        <v>8.0</v>
      </c>
      <c r="U22" s="35"/>
      <c r="V22" s="35"/>
      <c r="W22" s="35"/>
      <c r="X22" s="35"/>
      <c r="Y22" s="34">
        <v>8.0</v>
      </c>
      <c r="Z22" s="35"/>
      <c r="AA22" s="35"/>
      <c r="AB22" s="35"/>
      <c r="AC22" s="35"/>
      <c r="AD22" s="35"/>
      <c r="AE22" s="10">
        <f t="shared" si="1"/>
        <v>42</v>
      </c>
      <c r="AF22" s="10">
        <f t="shared" si="2"/>
        <v>7</v>
      </c>
      <c r="AG22" s="10">
        <f t="shared" si="3"/>
        <v>0</v>
      </c>
    </row>
    <row r="23">
      <c r="A23" s="55">
        <v>22.0</v>
      </c>
      <c r="B23" s="75" t="s">
        <v>42</v>
      </c>
      <c r="C23" s="40">
        <v>10.0</v>
      </c>
      <c r="D23" s="41"/>
      <c r="E23" s="41"/>
      <c r="F23" s="40">
        <v>6.0</v>
      </c>
      <c r="G23" s="41"/>
      <c r="H23" s="41"/>
      <c r="I23" s="41"/>
      <c r="J23" s="40">
        <v>10.0</v>
      </c>
      <c r="K23" s="41"/>
      <c r="L23" s="41"/>
      <c r="M23" s="40">
        <v>1.0</v>
      </c>
      <c r="N23" s="41"/>
      <c r="O23" s="41"/>
      <c r="P23" s="41"/>
      <c r="Q23" s="41"/>
      <c r="R23" s="40">
        <v>4.0</v>
      </c>
      <c r="S23" s="41"/>
      <c r="T23" s="41"/>
      <c r="U23" s="41"/>
      <c r="V23" s="41"/>
      <c r="W23" s="41"/>
      <c r="X23" s="41"/>
      <c r="Y23" s="41"/>
      <c r="Z23" s="41"/>
      <c r="AA23" s="40">
        <v>7.0</v>
      </c>
      <c r="AB23" s="41"/>
      <c r="AC23" s="40">
        <v>4.0</v>
      </c>
      <c r="AD23" s="41"/>
      <c r="AE23" s="10">
        <f t="shared" si="1"/>
        <v>42</v>
      </c>
      <c r="AF23" s="10">
        <f t="shared" si="2"/>
        <v>7</v>
      </c>
      <c r="AG23" s="10">
        <f t="shared" si="3"/>
        <v>0</v>
      </c>
    </row>
    <row r="24">
      <c r="A24" s="50">
        <v>23.0</v>
      </c>
      <c r="B24" s="56" t="s">
        <v>18</v>
      </c>
      <c r="C24" s="49"/>
      <c r="D24" s="30">
        <v>1.0</v>
      </c>
      <c r="E24" s="30">
        <v>2.0</v>
      </c>
      <c r="F24" s="31"/>
      <c r="G24" s="31"/>
      <c r="H24" s="31"/>
      <c r="I24" s="30">
        <v>10.0</v>
      </c>
      <c r="J24" s="31"/>
      <c r="K24" s="31"/>
      <c r="L24" s="31"/>
      <c r="M24" s="30">
        <v>6.0</v>
      </c>
      <c r="N24" s="31"/>
      <c r="O24" s="30">
        <v>7.0</v>
      </c>
      <c r="P24" s="31"/>
      <c r="Q24" s="31"/>
      <c r="R24" s="30">
        <v>2.0</v>
      </c>
      <c r="S24" s="31"/>
      <c r="T24" s="30">
        <v>5.0</v>
      </c>
      <c r="U24" s="30">
        <v>2.0</v>
      </c>
      <c r="V24" s="31"/>
      <c r="W24" s="30">
        <v>5.0</v>
      </c>
      <c r="X24" s="31"/>
      <c r="Y24" s="31"/>
      <c r="Z24" s="31"/>
      <c r="AA24" s="31"/>
      <c r="AB24" s="31"/>
      <c r="AC24" s="30">
        <v>1.0</v>
      </c>
      <c r="AD24" s="31"/>
      <c r="AE24" s="10">
        <f t="shared" si="1"/>
        <v>41</v>
      </c>
      <c r="AF24" s="10">
        <f t="shared" si="2"/>
        <v>10</v>
      </c>
      <c r="AG24" s="10">
        <f t="shared" si="3"/>
        <v>0</v>
      </c>
    </row>
    <row r="25">
      <c r="A25" s="55">
        <v>24.0</v>
      </c>
      <c r="B25" s="59" t="s">
        <v>68</v>
      </c>
      <c r="C25" s="54"/>
      <c r="D25" s="54"/>
      <c r="E25" s="42">
        <v>3.0</v>
      </c>
      <c r="F25" s="43"/>
      <c r="G25" s="43"/>
      <c r="H25" s="43"/>
      <c r="I25" s="42">
        <v>6.0</v>
      </c>
      <c r="J25" s="43"/>
      <c r="K25" s="42">
        <v>1.0</v>
      </c>
      <c r="L25" s="43"/>
      <c r="M25" s="43"/>
      <c r="N25" s="42">
        <v>8.0</v>
      </c>
      <c r="O25" s="42">
        <v>8.0</v>
      </c>
      <c r="P25" s="43"/>
      <c r="Q25" s="43"/>
      <c r="R25" s="43"/>
      <c r="S25" s="43"/>
      <c r="T25" s="42">
        <v>3.0</v>
      </c>
      <c r="U25" s="43"/>
      <c r="V25" s="43"/>
      <c r="W25" s="42">
        <v>6.0</v>
      </c>
      <c r="X25" s="43"/>
      <c r="Y25" s="43"/>
      <c r="Z25" s="43"/>
      <c r="AA25" s="43"/>
      <c r="AB25" s="43"/>
      <c r="AC25" s="43"/>
      <c r="AD25" s="42">
        <v>2.0</v>
      </c>
      <c r="AE25" s="10">
        <f t="shared" si="1"/>
        <v>37</v>
      </c>
      <c r="AF25" s="10">
        <f t="shared" si="2"/>
        <v>8</v>
      </c>
      <c r="AG25" s="10">
        <f t="shared" si="3"/>
        <v>0</v>
      </c>
    </row>
    <row r="26">
      <c r="A26" s="55">
        <v>25.0</v>
      </c>
      <c r="B26" s="70" t="s">
        <v>13</v>
      </c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34">
        <v>1.0</v>
      </c>
      <c r="S26" s="35"/>
      <c r="T26" s="34">
        <v>6.0</v>
      </c>
      <c r="U26" s="34">
        <v>7.0</v>
      </c>
      <c r="V26" s="35"/>
      <c r="W26" s="35"/>
      <c r="X26" s="35"/>
      <c r="Y26" s="35"/>
      <c r="Z26" s="35"/>
      <c r="AA26" s="34">
        <v>5.0</v>
      </c>
      <c r="AB26" s="35"/>
      <c r="AC26" s="34">
        <v>2.0</v>
      </c>
      <c r="AD26" s="35"/>
      <c r="AE26" s="10">
        <f t="shared" si="1"/>
        <v>21</v>
      </c>
      <c r="AF26" s="10">
        <f t="shared" si="2"/>
        <v>5</v>
      </c>
      <c r="AG26" s="10">
        <f t="shared" si="3"/>
        <v>0</v>
      </c>
    </row>
    <row r="27">
      <c r="A27" s="50">
        <v>26.0</v>
      </c>
      <c r="B27" s="59" t="s">
        <v>26</v>
      </c>
      <c r="C27" s="54"/>
      <c r="D27" s="54"/>
      <c r="E27" s="54"/>
      <c r="F27" s="54"/>
      <c r="G27" s="54"/>
      <c r="H27" s="42">
        <v>2.0</v>
      </c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2">
        <v>1.0</v>
      </c>
      <c r="T27" s="43"/>
      <c r="U27" s="43"/>
      <c r="V27" s="42">
        <v>2.0</v>
      </c>
      <c r="W27" s="43"/>
      <c r="X27" s="43"/>
      <c r="Y27" s="42">
        <v>2.0</v>
      </c>
      <c r="Z27" s="43"/>
      <c r="AA27" s="43"/>
      <c r="AB27" s="42">
        <v>2.0</v>
      </c>
      <c r="AC27" s="43"/>
      <c r="AD27" s="42">
        <v>10.0</v>
      </c>
      <c r="AE27" s="10">
        <f t="shared" si="1"/>
        <v>19</v>
      </c>
      <c r="AF27" s="10">
        <f t="shared" si="2"/>
        <v>6</v>
      </c>
      <c r="AG27" s="10">
        <f t="shared" si="3"/>
        <v>0</v>
      </c>
    </row>
    <row r="35">
      <c r="C35" s="10">
        <f t="shared" ref="C35:Q35" si="4">sum(C2:C27)</f>
        <v>58</v>
      </c>
      <c r="D35" s="10">
        <f t="shared" si="4"/>
        <v>58</v>
      </c>
      <c r="E35" s="10">
        <f t="shared" si="4"/>
        <v>58</v>
      </c>
      <c r="F35" s="10">
        <f t="shared" si="4"/>
        <v>58</v>
      </c>
      <c r="G35" s="10">
        <f t="shared" si="4"/>
        <v>58</v>
      </c>
      <c r="H35" s="10">
        <f t="shared" si="4"/>
        <v>58</v>
      </c>
      <c r="I35" s="10">
        <f t="shared" si="4"/>
        <v>58</v>
      </c>
      <c r="J35" s="10">
        <f t="shared" si="4"/>
        <v>58</v>
      </c>
      <c r="K35" s="10">
        <f t="shared" si="4"/>
        <v>58</v>
      </c>
      <c r="L35" s="10">
        <f t="shared" si="4"/>
        <v>58</v>
      </c>
      <c r="M35" s="10">
        <f t="shared" si="4"/>
        <v>58</v>
      </c>
      <c r="N35" s="10">
        <f t="shared" si="4"/>
        <v>58</v>
      </c>
      <c r="O35" s="10">
        <f t="shared" si="4"/>
        <v>58</v>
      </c>
      <c r="P35" s="10">
        <f t="shared" si="4"/>
        <v>58</v>
      </c>
      <c r="Q35" s="10">
        <f t="shared" si="4"/>
        <v>58</v>
      </c>
      <c r="AE35" s="10">
        <f>sum(AE2:AE27)</f>
        <v>1624</v>
      </c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23" width="3.88"/>
  </cols>
  <sheetData>
    <row r="1">
      <c r="C1" s="2" t="s">
        <v>3</v>
      </c>
      <c r="D1" s="2" t="s">
        <v>6</v>
      </c>
      <c r="E1" s="5" t="s">
        <v>56</v>
      </c>
      <c r="F1" s="24" t="s">
        <v>16</v>
      </c>
      <c r="G1" s="2" t="s">
        <v>11</v>
      </c>
      <c r="H1" s="2" t="s">
        <v>19</v>
      </c>
      <c r="I1" s="2" t="s">
        <v>17</v>
      </c>
      <c r="J1" s="25" t="s">
        <v>66</v>
      </c>
      <c r="K1" s="2" t="s">
        <v>15</v>
      </c>
      <c r="L1" s="26" t="s">
        <v>62</v>
      </c>
      <c r="M1" s="2" t="s">
        <v>27</v>
      </c>
      <c r="N1" s="2" t="s">
        <v>34</v>
      </c>
      <c r="O1" s="2" t="s">
        <v>52</v>
      </c>
      <c r="P1" s="2" t="s">
        <v>41</v>
      </c>
      <c r="Q1" s="2" t="s">
        <v>5</v>
      </c>
      <c r="R1" s="2" t="s">
        <v>46</v>
      </c>
      <c r="S1" s="2" t="s">
        <v>35</v>
      </c>
      <c r="T1" s="2" t="s">
        <v>67</v>
      </c>
      <c r="U1" s="2" t="s">
        <v>58</v>
      </c>
      <c r="V1" s="2" t="s">
        <v>59</v>
      </c>
      <c r="W1" s="2" t="s">
        <v>60</v>
      </c>
    </row>
    <row r="2">
      <c r="A2" s="42">
        <v>1.0</v>
      </c>
      <c r="B2" s="53" t="s">
        <v>20</v>
      </c>
      <c r="C2" s="54"/>
      <c r="D2" s="42">
        <v>10.0</v>
      </c>
      <c r="E2" s="43"/>
      <c r="F2" s="42">
        <v>7.0</v>
      </c>
      <c r="G2" s="42">
        <v>12.0</v>
      </c>
      <c r="H2" s="43"/>
      <c r="I2" s="42">
        <v>10.0</v>
      </c>
      <c r="J2" s="42">
        <v>5.0</v>
      </c>
      <c r="K2" s="42">
        <v>10.0</v>
      </c>
      <c r="L2" s="43"/>
      <c r="M2" s="43"/>
      <c r="N2" s="42">
        <v>6.0</v>
      </c>
      <c r="O2" s="43"/>
      <c r="P2" s="42">
        <v>3.0</v>
      </c>
      <c r="Q2" s="42">
        <v>8.0</v>
      </c>
      <c r="R2" s="43"/>
      <c r="S2" s="42">
        <v>5.0</v>
      </c>
      <c r="T2" s="43"/>
      <c r="U2" s="10">
        <f t="shared" ref="U2:U27" si="1">sum(C2:T2)</f>
        <v>76</v>
      </c>
      <c r="V2" s="10">
        <f t="shared" ref="V2:V27" si="2">counta(C2:S2)</f>
        <v>10</v>
      </c>
      <c r="W2" s="10">
        <f t="shared" ref="W2:W27" si="3">countif(C2:T2,12)</f>
        <v>1</v>
      </c>
    </row>
    <row r="3">
      <c r="A3" s="32">
        <v>2.0</v>
      </c>
      <c r="B3" s="47" t="s">
        <v>49</v>
      </c>
      <c r="C3" s="46"/>
      <c r="D3" s="46"/>
      <c r="E3" s="46"/>
      <c r="F3" s="46"/>
      <c r="G3" s="34">
        <v>10.0</v>
      </c>
      <c r="H3" s="35"/>
      <c r="I3" s="35"/>
      <c r="J3" s="35"/>
      <c r="K3" s="35"/>
      <c r="L3" s="34">
        <v>12.0</v>
      </c>
      <c r="M3" s="34">
        <v>7.0</v>
      </c>
      <c r="N3" s="34">
        <v>12.0</v>
      </c>
      <c r="O3" s="34">
        <v>4.0</v>
      </c>
      <c r="P3" s="35"/>
      <c r="Q3" s="35"/>
      <c r="R3" s="34">
        <v>8.0</v>
      </c>
      <c r="S3" s="34">
        <v>12.0</v>
      </c>
      <c r="T3" s="34">
        <v>6.0</v>
      </c>
      <c r="U3" s="10">
        <f t="shared" si="1"/>
        <v>71</v>
      </c>
      <c r="V3" s="10">
        <f t="shared" si="2"/>
        <v>7</v>
      </c>
      <c r="W3" s="10">
        <f t="shared" si="3"/>
        <v>3</v>
      </c>
    </row>
    <row r="4">
      <c r="A4" s="76">
        <v>3.0</v>
      </c>
      <c r="B4" s="53" t="s">
        <v>8</v>
      </c>
      <c r="C4" s="54"/>
      <c r="D4" s="54"/>
      <c r="E4" s="42">
        <v>5.0</v>
      </c>
      <c r="F4" s="42">
        <v>3.0</v>
      </c>
      <c r="G4" s="42">
        <v>5.0</v>
      </c>
      <c r="H4" s="42">
        <v>6.0</v>
      </c>
      <c r="I4" s="43"/>
      <c r="J4" s="43"/>
      <c r="K4" s="42">
        <v>12.0</v>
      </c>
      <c r="L4" s="42">
        <v>8.0</v>
      </c>
      <c r="M4" s="43"/>
      <c r="N4" s="42">
        <v>8.0</v>
      </c>
      <c r="O4" s="42">
        <v>12.0</v>
      </c>
      <c r="P4" s="42">
        <v>7.0</v>
      </c>
      <c r="Q4" s="42">
        <v>2.0</v>
      </c>
      <c r="R4" s="43"/>
      <c r="S4" s="43"/>
      <c r="T4" s="43"/>
      <c r="U4" s="10">
        <f t="shared" si="1"/>
        <v>68</v>
      </c>
      <c r="V4" s="10">
        <f t="shared" si="2"/>
        <v>10</v>
      </c>
      <c r="W4" s="10">
        <f t="shared" si="3"/>
        <v>2</v>
      </c>
    </row>
    <row r="5">
      <c r="A5" s="76">
        <v>4.0</v>
      </c>
      <c r="B5" s="75" t="s">
        <v>42</v>
      </c>
      <c r="C5" s="77"/>
      <c r="D5" s="78">
        <v>12.0</v>
      </c>
      <c r="E5" s="79"/>
      <c r="F5" s="79"/>
      <c r="G5" s="79"/>
      <c r="H5" s="40">
        <v>2.0</v>
      </c>
      <c r="I5" s="41"/>
      <c r="J5" s="40">
        <v>12.0</v>
      </c>
      <c r="K5" s="41"/>
      <c r="L5" s="40">
        <v>7.0</v>
      </c>
      <c r="M5" s="41"/>
      <c r="N5" s="40">
        <v>10.0</v>
      </c>
      <c r="O5" s="40">
        <v>8.0</v>
      </c>
      <c r="P5" s="41"/>
      <c r="Q5" s="41"/>
      <c r="R5" s="41"/>
      <c r="S5" s="40">
        <v>7.0</v>
      </c>
      <c r="T5" s="40">
        <v>6.0</v>
      </c>
      <c r="U5" s="10">
        <f t="shared" si="1"/>
        <v>64</v>
      </c>
      <c r="V5" s="10">
        <f t="shared" si="2"/>
        <v>7</v>
      </c>
      <c r="W5" s="10">
        <f t="shared" si="3"/>
        <v>2</v>
      </c>
    </row>
    <row r="6">
      <c r="A6" s="50">
        <v>5.0</v>
      </c>
      <c r="B6" s="56" t="s">
        <v>37</v>
      </c>
      <c r="C6" s="30">
        <v>5.0</v>
      </c>
      <c r="D6" s="31"/>
      <c r="E6" s="31"/>
      <c r="F6" s="31"/>
      <c r="G6" s="30">
        <v>7.0</v>
      </c>
      <c r="H6" s="31"/>
      <c r="I6" s="30">
        <v>5.0</v>
      </c>
      <c r="J6" s="30">
        <v>4.0</v>
      </c>
      <c r="K6" s="30">
        <v>2.0</v>
      </c>
      <c r="L6" s="30">
        <v>10.0</v>
      </c>
      <c r="M6" s="30">
        <v>12.0</v>
      </c>
      <c r="N6" s="30">
        <v>7.0</v>
      </c>
      <c r="O6" s="30">
        <v>1.0</v>
      </c>
      <c r="P6" s="31"/>
      <c r="Q6" s="30">
        <v>7.0</v>
      </c>
      <c r="R6" s="31"/>
      <c r="S6" s="31"/>
      <c r="T6" s="31"/>
      <c r="U6" s="10">
        <f t="shared" si="1"/>
        <v>60</v>
      </c>
      <c r="V6" s="10">
        <f t="shared" si="2"/>
        <v>10</v>
      </c>
      <c r="W6" s="10">
        <f t="shared" si="3"/>
        <v>1</v>
      </c>
    </row>
    <row r="7">
      <c r="A7" s="76">
        <v>6.0</v>
      </c>
      <c r="B7" s="51" t="s">
        <v>7</v>
      </c>
      <c r="C7" s="30">
        <v>12.0</v>
      </c>
      <c r="D7" s="30">
        <v>5.0</v>
      </c>
      <c r="E7" s="30">
        <v>2.0</v>
      </c>
      <c r="F7" s="31"/>
      <c r="G7" s="30">
        <v>2.0</v>
      </c>
      <c r="H7" s="30">
        <v>12.0</v>
      </c>
      <c r="I7" s="30">
        <v>4.0</v>
      </c>
      <c r="J7" s="31"/>
      <c r="K7" s="31"/>
      <c r="L7" s="30">
        <v>2.0</v>
      </c>
      <c r="M7" s="30">
        <v>2.0</v>
      </c>
      <c r="N7" s="31"/>
      <c r="O7" s="31"/>
      <c r="P7" s="30">
        <v>8.0</v>
      </c>
      <c r="Q7" s="31"/>
      <c r="R7" s="30">
        <v>4.0</v>
      </c>
      <c r="S7" s="31"/>
      <c r="T7" s="30">
        <v>6.0</v>
      </c>
      <c r="U7" s="10">
        <f t="shared" si="1"/>
        <v>59</v>
      </c>
      <c r="V7" s="10">
        <f t="shared" si="2"/>
        <v>10</v>
      </c>
      <c r="W7" s="10">
        <f t="shared" si="3"/>
        <v>2</v>
      </c>
    </row>
    <row r="8">
      <c r="A8" s="76">
        <v>7.0</v>
      </c>
      <c r="B8" s="56" t="s">
        <v>29</v>
      </c>
      <c r="C8" s="30">
        <v>7.0</v>
      </c>
      <c r="D8" s="31"/>
      <c r="E8" s="31"/>
      <c r="F8" s="30">
        <v>12.0</v>
      </c>
      <c r="G8" s="31"/>
      <c r="H8" s="30">
        <v>8.0</v>
      </c>
      <c r="I8" s="31"/>
      <c r="J8" s="30">
        <v>1.0</v>
      </c>
      <c r="K8" s="30">
        <v>4.0</v>
      </c>
      <c r="L8" s="31"/>
      <c r="M8" s="30">
        <v>5.0</v>
      </c>
      <c r="N8" s="30">
        <v>5.0</v>
      </c>
      <c r="O8" s="31"/>
      <c r="P8" s="30">
        <v>1.0</v>
      </c>
      <c r="Q8" s="31"/>
      <c r="R8" s="30">
        <v>10.0</v>
      </c>
      <c r="S8" s="31"/>
      <c r="T8" s="30">
        <v>6.0</v>
      </c>
      <c r="U8" s="10">
        <f t="shared" si="1"/>
        <v>59</v>
      </c>
      <c r="V8" s="10">
        <f t="shared" si="2"/>
        <v>9</v>
      </c>
      <c r="W8" s="10">
        <f t="shared" si="3"/>
        <v>1</v>
      </c>
    </row>
    <row r="9">
      <c r="A9" s="50">
        <v>8.0</v>
      </c>
      <c r="B9" s="59" t="s">
        <v>31</v>
      </c>
      <c r="C9" s="42">
        <v>4.0</v>
      </c>
      <c r="D9" s="42">
        <v>7.0</v>
      </c>
      <c r="E9" s="42">
        <v>1.0</v>
      </c>
      <c r="F9" s="43"/>
      <c r="G9" s="43"/>
      <c r="H9" s="43"/>
      <c r="I9" s="42">
        <v>7.0</v>
      </c>
      <c r="J9" s="42">
        <v>2.0</v>
      </c>
      <c r="K9" s="42">
        <v>5.0</v>
      </c>
      <c r="L9" s="42">
        <v>3.0</v>
      </c>
      <c r="M9" s="43"/>
      <c r="N9" s="43"/>
      <c r="O9" s="42">
        <v>10.0</v>
      </c>
      <c r="P9" s="43"/>
      <c r="Q9" s="43"/>
      <c r="R9" s="42">
        <v>3.0</v>
      </c>
      <c r="S9" s="42">
        <v>10.0</v>
      </c>
      <c r="T9" s="42">
        <v>6.0</v>
      </c>
      <c r="U9" s="10">
        <f t="shared" si="1"/>
        <v>58</v>
      </c>
      <c r="V9" s="10">
        <f t="shared" si="2"/>
        <v>10</v>
      </c>
      <c r="W9" s="10">
        <f t="shared" si="3"/>
        <v>0</v>
      </c>
    </row>
    <row r="10">
      <c r="A10" s="76">
        <v>9.0</v>
      </c>
      <c r="B10" s="53" t="s">
        <v>1</v>
      </c>
      <c r="C10" s="42">
        <v>6.0</v>
      </c>
      <c r="D10" s="42">
        <v>8.0</v>
      </c>
      <c r="E10" s="43"/>
      <c r="F10" s="43"/>
      <c r="G10" s="42">
        <v>4.0</v>
      </c>
      <c r="H10" s="42">
        <v>3.0</v>
      </c>
      <c r="I10" s="42">
        <v>12.0</v>
      </c>
      <c r="J10" s="42">
        <v>6.0</v>
      </c>
      <c r="K10" s="42">
        <v>6.0</v>
      </c>
      <c r="L10" s="42">
        <v>5.0</v>
      </c>
      <c r="M10" s="43"/>
      <c r="N10" s="43"/>
      <c r="O10" s="43"/>
      <c r="P10" s="43"/>
      <c r="Q10" s="43"/>
      <c r="R10" s="43"/>
      <c r="S10" s="43"/>
      <c r="T10" s="42">
        <v>6.0</v>
      </c>
      <c r="U10" s="10">
        <f t="shared" si="1"/>
        <v>56</v>
      </c>
      <c r="V10" s="10">
        <f t="shared" si="2"/>
        <v>8</v>
      </c>
      <c r="W10" s="10">
        <f t="shared" si="3"/>
        <v>1</v>
      </c>
    </row>
    <row r="11">
      <c r="A11" s="76">
        <v>10.0</v>
      </c>
      <c r="B11" s="57" t="s">
        <v>21</v>
      </c>
      <c r="C11" s="40">
        <v>3.0</v>
      </c>
      <c r="D11" s="41"/>
      <c r="E11" s="41"/>
      <c r="F11" s="40">
        <v>6.0</v>
      </c>
      <c r="G11" s="41"/>
      <c r="H11" s="41"/>
      <c r="I11" s="41"/>
      <c r="J11" s="41"/>
      <c r="K11" s="40">
        <v>3.0</v>
      </c>
      <c r="L11" s="41"/>
      <c r="M11" s="40">
        <v>10.0</v>
      </c>
      <c r="N11" s="41"/>
      <c r="O11" s="41"/>
      <c r="P11" s="40">
        <v>12.0</v>
      </c>
      <c r="Q11" s="40">
        <v>10.0</v>
      </c>
      <c r="R11" s="41"/>
      <c r="S11" s="41"/>
      <c r="T11" s="40">
        <v>6.0</v>
      </c>
      <c r="U11" s="10">
        <f t="shared" si="1"/>
        <v>50</v>
      </c>
      <c r="V11" s="10">
        <f t="shared" si="2"/>
        <v>6</v>
      </c>
      <c r="W11" s="10">
        <f t="shared" si="3"/>
        <v>1</v>
      </c>
    </row>
    <row r="12">
      <c r="A12" s="50">
        <v>11.0</v>
      </c>
      <c r="B12" s="56" t="s">
        <v>33</v>
      </c>
      <c r="C12" s="30">
        <v>10.0</v>
      </c>
      <c r="D12" s="31"/>
      <c r="E12" s="30">
        <v>6.0</v>
      </c>
      <c r="F12" s="31"/>
      <c r="G12" s="30">
        <v>8.0</v>
      </c>
      <c r="H12" s="31"/>
      <c r="I12" s="30">
        <v>6.0</v>
      </c>
      <c r="J12" s="31"/>
      <c r="K12" s="31"/>
      <c r="L12" s="31"/>
      <c r="M12" s="31"/>
      <c r="N12" s="31"/>
      <c r="O12" s="30">
        <v>2.0</v>
      </c>
      <c r="P12" s="31"/>
      <c r="Q12" s="31"/>
      <c r="R12" s="30">
        <v>2.0</v>
      </c>
      <c r="S12" s="30">
        <v>8.0</v>
      </c>
      <c r="T12" s="30">
        <v>6.0</v>
      </c>
      <c r="U12" s="10">
        <f t="shared" si="1"/>
        <v>48</v>
      </c>
      <c r="V12" s="10">
        <f t="shared" si="2"/>
        <v>7</v>
      </c>
      <c r="W12" s="10">
        <f t="shared" si="3"/>
        <v>0</v>
      </c>
    </row>
    <row r="13">
      <c r="A13" s="76">
        <v>12.0</v>
      </c>
      <c r="B13" s="57" t="s">
        <v>43</v>
      </c>
      <c r="C13" s="48"/>
      <c r="D13" s="48"/>
      <c r="E13" s="48"/>
      <c r="F13" s="40">
        <v>1.0</v>
      </c>
      <c r="G13" s="41"/>
      <c r="H13" s="41"/>
      <c r="I13" s="41"/>
      <c r="J13" s="41"/>
      <c r="K13" s="41"/>
      <c r="L13" s="40">
        <v>4.0</v>
      </c>
      <c r="M13" s="40">
        <v>4.0</v>
      </c>
      <c r="N13" s="40">
        <v>4.0</v>
      </c>
      <c r="O13" s="41"/>
      <c r="P13" s="40">
        <v>10.0</v>
      </c>
      <c r="Q13" s="41"/>
      <c r="R13" s="40">
        <v>12.0</v>
      </c>
      <c r="S13" s="41"/>
      <c r="T13" s="40">
        <v>6.0</v>
      </c>
      <c r="U13" s="10">
        <f t="shared" si="1"/>
        <v>41</v>
      </c>
      <c r="V13" s="10">
        <f t="shared" si="2"/>
        <v>6</v>
      </c>
      <c r="W13" s="10">
        <f t="shared" si="3"/>
        <v>1</v>
      </c>
    </row>
    <row r="14">
      <c r="A14" s="76">
        <v>13.0</v>
      </c>
      <c r="B14" s="56" t="s">
        <v>51</v>
      </c>
      <c r="C14" s="49"/>
      <c r="D14" s="30">
        <v>6.0</v>
      </c>
      <c r="E14" s="30">
        <v>3.0</v>
      </c>
      <c r="F14" s="31"/>
      <c r="G14" s="31"/>
      <c r="H14" s="31"/>
      <c r="I14" s="31"/>
      <c r="J14" s="31"/>
      <c r="K14" s="30">
        <v>8.0</v>
      </c>
      <c r="L14" s="31"/>
      <c r="M14" s="30">
        <v>6.0</v>
      </c>
      <c r="N14" s="30">
        <v>1.0</v>
      </c>
      <c r="O14" s="31"/>
      <c r="P14" s="30">
        <v>5.0</v>
      </c>
      <c r="Q14" s="31"/>
      <c r="R14" s="30">
        <v>5.0</v>
      </c>
      <c r="S14" s="31"/>
      <c r="T14" s="31"/>
      <c r="U14" s="10">
        <f t="shared" si="1"/>
        <v>34</v>
      </c>
      <c r="V14" s="10">
        <f t="shared" si="2"/>
        <v>7</v>
      </c>
      <c r="W14" s="10">
        <f t="shared" si="3"/>
        <v>0</v>
      </c>
    </row>
    <row r="15">
      <c r="A15" s="50">
        <v>14.0</v>
      </c>
      <c r="B15" s="63" t="s">
        <v>48</v>
      </c>
      <c r="C15" s="46"/>
      <c r="D15" s="34">
        <v>1.0</v>
      </c>
      <c r="E15" s="35"/>
      <c r="F15" s="35"/>
      <c r="G15" s="34">
        <v>3.0</v>
      </c>
      <c r="H15" s="34">
        <v>10.0</v>
      </c>
      <c r="I15" s="35"/>
      <c r="J15" s="34">
        <v>7.0</v>
      </c>
      <c r="K15" s="35"/>
      <c r="L15" s="35"/>
      <c r="M15" s="35"/>
      <c r="N15" s="35"/>
      <c r="O15" s="35"/>
      <c r="P15" s="35"/>
      <c r="Q15" s="34">
        <v>3.0</v>
      </c>
      <c r="R15" s="34">
        <v>7.0</v>
      </c>
      <c r="S15" s="34">
        <v>2.0</v>
      </c>
      <c r="T15" s="35"/>
      <c r="U15" s="10">
        <f t="shared" si="1"/>
        <v>33</v>
      </c>
      <c r="V15" s="10">
        <f t="shared" si="2"/>
        <v>7</v>
      </c>
      <c r="W15" s="10">
        <f t="shared" si="3"/>
        <v>0</v>
      </c>
    </row>
    <row r="16">
      <c r="A16" s="76">
        <v>15.0</v>
      </c>
      <c r="B16" s="56" t="s">
        <v>24</v>
      </c>
      <c r="C16" s="49"/>
      <c r="D16" s="30">
        <v>2.0</v>
      </c>
      <c r="E16" s="31"/>
      <c r="F16" s="31"/>
      <c r="G16" s="31"/>
      <c r="H16" s="31"/>
      <c r="I16" s="30">
        <v>2.0</v>
      </c>
      <c r="J16" s="31"/>
      <c r="K16" s="30">
        <v>7.0</v>
      </c>
      <c r="L16" s="31"/>
      <c r="M16" s="31"/>
      <c r="N16" s="31"/>
      <c r="O16" s="30">
        <v>7.0</v>
      </c>
      <c r="P16" s="31"/>
      <c r="Q16" s="30">
        <v>12.0</v>
      </c>
      <c r="R16" s="31"/>
      <c r="S16" s="30">
        <v>3.0</v>
      </c>
      <c r="T16" s="31"/>
      <c r="U16" s="10">
        <f t="shared" si="1"/>
        <v>33</v>
      </c>
      <c r="V16" s="10">
        <f t="shared" si="2"/>
        <v>6</v>
      </c>
      <c r="W16" s="10">
        <f t="shared" si="3"/>
        <v>1</v>
      </c>
    </row>
    <row r="17">
      <c r="A17" s="76">
        <v>16.0</v>
      </c>
      <c r="B17" s="63" t="s">
        <v>40</v>
      </c>
      <c r="C17" s="46"/>
      <c r="D17" s="46"/>
      <c r="E17" s="46"/>
      <c r="F17" s="34">
        <v>10.0</v>
      </c>
      <c r="G17" s="35"/>
      <c r="H17" s="35"/>
      <c r="I17" s="35"/>
      <c r="J17" s="34">
        <v>10.0</v>
      </c>
      <c r="K17" s="35"/>
      <c r="L17" s="35"/>
      <c r="M17" s="35"/>
      <c r="N17" s="35"/>
      <c r="O17" s="35"/>
      <c r="P17" s="34">
        <v>6.0</v>
      </c>
      <c r="Q17" s="34">
        <v>6.0</v>
      </c>
      <c r="R17" s="35"/>
      <c r="S17" s="35"/>
      <c r="T17" s="35"/>
      <c r="U17" s="10">
        <f t="shared" si="1"/>
        <v>32</v>
      </c>
      <c r="V17" s="10">
        <f t="shared" si="2"/>
        <v>4</v>
      </c>
      <c r="W17" s="10">
        <f t="shared" si="3"/>
        <v>0</v>
      </c>
    </row>
    <row r="18">
      <c r="A18" s="50">
        <v>17.0</v>
      </c>
      <c r="B18" s="58" t="s">
        <v>61</v>
      </c>
      <c r="C18" s="40">
        <v>2.0</v>
      </c>
      <c r="D18" s="40">
        <v>4.0</v>
      </c>
      <c r="E18" s="41"/>
      <c r="F18" s="41"/>
      <c r="G18" s="40">
        <v>1.0</v>
      </c>
      <c r="H18" s="40">
        <v>4.0</v>
      </c>
      <c r="I18" s="41"/>
      <c r="J18" s="40">
        <v>3.0</v>
      </c>
      <c r="K18" s="41"/>
      <c r="L18" s="40">
        <v>6.0</v>
      </c>
      <c r="M18" s="41"/>
      <c r="N18" s="41"/>
      <c r="O18" s="41"/>
      <c r="P18" s="41"/>
      <c r="Q18" s="40">
        <v>5.0</v>
      </c>
      <c r="R18" s="41"/>
      <c r="S18" s="40">
        <v>6.0</v>
      </c>
      <c r="T18" s="41"/>
      <c r="U18" s="10">
        <f t="shared" si="1"/>
        <v>31</v>
      </c>
      <c r="V18" s="10">
        <f t="shared" si="2"/>
        <v>8</v>
      </c>
      <c r="W18" s="10">
        <f t="shared" si="3"/>
        <v>0</v>
      </c>
    </row>
    <row r="19">
      <c r="A19" s="76">
        <v>18.0</v>
      </c>
      <c r="B19" s="59" t="s">
        <v>36</v>
      </c>
      <c r="C19" s="42">
        <v>8.0</v>
      </c>
      <c r="D19" s="42">
        <v>3.0</v>
      </c>
      <c r="E19" s="42">
        <v>12.0</v>
      </c>
      <c r="F19" s="42">
        <v>4.0</v>
      </c>
      <c r="G19" s="43"/>
      <c r="H19" s="43"/>
      <c r="I19" s="43"/>
      <c r="J19" s="43"/>
      <c r="K19" s="43"/>
      <c r="L19" s="43"/>
      <c r="M19" s="43"/>
      <c r="N19" s="43"/>
      <c r="O19" s="43"/>
      <c r="P19" s="42">
        <v>4.0</v>
      </c>
      <c r="Q19" s="43"/>
      <c r="R19" s="43"/>
      <c r="S19" s="43"/>
      <c r="T19" s="43"/>
      <c r="U19" s="10">
        <f t="shared" si="1"/>
        <v>31</v>
      </c>
      <c r="V19" s="10">
        <f t="shared" si="2"/>
        <v>5</v>
      </c>
      <c r="W19" s="10">
        <f t="shared" si="3"/>
        <v>1</v>
      </c>
    </row>
    <row r="20">
      <c r="A20" s="76">
        <v>19.0</v>
      </c>
      <c r="B20" s="53" t="s">
        <v>2</v>
      </c>
      <c r="C20" s="54"/>
      <c r="D20" s="54"/>
      <c r="E20" s="42">
        <v>7.0</v>
      </c>
      <c r="F20" s="43"/>
      <c r="G20" s="43"/>
      <c r="H20" s="43"/>
      <c r="I20" s="42">
        <v>8.0</v>
      </c>
      <c r="J20" s="43"/>
      <c r="K20" s="43"/>
      <c r="L20" s="43"/>
      <c r="M20" s="43"/>
      <c r="N20" s="43"/>
      <c r="O20" s="43"/>
      <c r="P20" s="43"/>
      <c r="Q20" s="43"/>
      <c r="R20" s="42">
        <v>6.0</v>
      </c>
      <c r="S20" s="43"/>
      <c r="T20" s="42">
        <v>6.0</v>
      </c>
      <c r="U20" s="10">
        <f t="shared" si="1"/>
        <v>27</v>
      </c>
      <c r="V20" s="10">
        <f t="shared" si="2"/>
        <v>3</v>
      </c>
      <c r="W20" s="10">
        <f t="shared" si="3"/>
        <v>0</v>
      </c>
    </row>
    <row r="21">
      <c r="A21" s="50">
        <v>20.0</v>
      </c>
      <c r="B21" s="51" t="s">
        <v>47</v>
      </c>
      <c r="C21" s="49"/>
      <c r="D21" s="49"/>
      <c r="E21" s="30">
        <v>8.0</v>
      </c>
      <c r="F21" s="31"/>
      <c r="G21" s="31"/>
      <c r="H21" s="30">
        <v>7.0</v>
      </c>
      <c r="I21" s="31"/>
      <c r="J21" s="30">
        <v>8.0</v>
      </c>
      <c r="K21" s="31"/>
      <c r="L21" s="31"/>
      <c r="M21" s="31"/>
      <c r="N21" s="31"/>
      <c r="O21" s="31"/>
      <c r="P21" s="31"/>
      <c r="Q21" s="30">
        <v>1.0</v>
      </c>
      <c r="R21" s="31"/>
      <c r="S21" s="31"/>
      <c r="T21" s="31"/>
      <c r="U21" s="10">
        <f t="shared" si="1"/>
        <v>24</v>
      </c>
      <c r="V21" s="10">
        <f t="shared" si="2"/>
        <v>4</v>
      </c>
      <c r="W21" s="10">
        <f t="shared" si="3"/>
        <v>0</v>
      </c>
    </row>
    <row r="22">
      <c r="A22" s="76">
        <v>21.0</v>
      </c>
      <c r="B22" s="56" t="s">
        <v>18</v>
      </c>
      <c r="C22" s="49"/>
      <c r="D22" s="49"/>
      <c r="E22" s="30">
        <v>10.0</v>
      </c>
      <c r="F22" s="31"/>
      <c r="G22" s="31"/>
      <c r="H22" s="31"/>
      <c r="I22" s="31"/>
      <c r="J22" s="31"/>
      <c r="K22" s="30">
        <v>1.0</v>
      </c>
      <c r="L22" s="30">
        <v>1.0</v>
      </c>
      <c r="M22" s="30">
        <v>1.0</v>
      </c>
      <c r="N22" s="31"/>
      <c r="O22" s="30">
        <v>5.0</v>
      </c>
      <c r="P22" s="31"/>
      <c r="Q22" s="30">
        <v>4.0</v>
      </c>
      <c r="R22" s="31"/>
      <c r="S22" s="31"/>
      <c r="T22" s="31"/>
      <c r="U22" s="10">
        <f t="shared" si="1"/>
        <v>22</v>
      </c>
      <c r="V22" s="10">
        <f t="shared" si="2"/>
        <v>6</v>
      </c>
      <c r="W22" s="10">
        <f t="shared" si="3"/>
        <v>0</v>
      </c>
    </row>
    <row r="23">
      <c r="A23" s="76">
        <v>22.0</v>
      </c>
      <c r="B23" s="59" t="s">
        <v>68</v>
      </c>
      <c r="C23" s="54"/>
      <c r="D23" s="54"/>
      <c r="E23" s="54"/>
      <c r="F23" s="42">
        <v>2.0</v>
      </c>
      <c r="G23" s="43"/>
      <c r="H23" s="42">
        <v>1.0</v>
      </c>
      <c r="I23" s="42">
        <v>3.0</v>
      </c>
      <c r="J23" s="43"/>
      <c r="K23" s="43"/>
      <c r="L23" s="43"/>
      <c r="M23" s="42">
        <v>8.0</v>
      </c>
      <c r="N23" s="42">
        <v>3.0</v>
      </c>
      <c r="O23" s="42">
        <v>3.0</v>
      </c>
      <c r="P23" s="43"/>
      <c r="Q23" s="43"/>
      <c r="R23" s="42">
        <v>1.0</v>
      </c>
      <c r="S23" s="43"/>
      <c r="T23" s="43"/>
      <c r="U23" s="10">
        <f t="shared" si="1"/>
        <v>21</v>
      </c>
      <c r="V23" s="10">
        <f t="shared" si="2"/>
        <v>7</v>
      </c>
      <c r="W23" s="10">
        <f t="shared" si="3"/>
        <v>0</v>
      </c>
    </row>
    <row r="24">
      <c r="A24" s="50">
        <v>23.0</v>
      </c>
      <c r="B24" s="58" t="s">
        <v>38</v>
      </c>
      <c r="C24" s="48"/>
      <c r="D24" s="48"/>
      <c r="E24" s="40">
        <v>4.0</v>
      </c>
      <c r="F24" s="41"/>
      <c r="G24" s="40">
        <v>6.0</v>
      </c>
      <c r="H24" s="41"/>
      <c r="I24" s="41"/>
      <c r="J24" s="41"/>
      <c r="K24" s="41"/>
      <c r="L24" s="41"/>
      <c r="M24" s="40">
        <v>3.0</v>
      </c>
      <c r="N24" s="41"/>
      <c r="O24" s="41"/>
      <c r="P24" s="41"/>
      <c r="Q24" s="41"/>
      <c r="R24" s="41"/>
      <c r="S24" s="40">
        <v>1.0</v>
      </c>
      <c r="T24" s="40">
        <v>6.0</v>
      </c>
      <c r="U24" s="10">
        <f t="shared" si="1"/>
        <v>20</v>
      </c>
      <c r="V24" s="10">
        <f t="shared" si="2"/>
        <v>4</v>
      </c>
      <c r="W24" s="10">
        <f t="shared" si="3"/>
        <v>0</v>
      </c>
    </row>
    <row r="25">
      <c r="A25" s="76">
        <v>24.0</v>
      </c>
      <c r="B25" s="51" t="s">
        <v>53</v>
      </c>
      <c r="C25" s="49"/>
      <c r="D25" s="49"/>
      <c r="E25" s="49"/>
      <c r="F25" s="30">
        <v>5.0</v>
      </c>
      <c r="G25" s="31"/>
      <c r="H25" s="30">
        <v>5.0</v>
      </c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0">
        <v>4.0</v>
      </c>
      <c r="T25" s="31"/>
      <c r="U25" s="10">
        <f t="shared" si="1"/>
        <v>14</v>
      </c>
      <c r="V25" s="10">
        <f t="shared" si="2"/>
        <v>3</v>
      </c>
      <c r="W25" s="10">
        <f t="shared" si="3"/>
        <v>0</v>
      </c>
    </row>
    <row r="26">
      <c r="A26" s="76">
        <v>25.0</v>
      </c>
      <c r="B26" s="70" t="s">
        <v>13</v>
      </c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34">
        <v>2.0</v>
      </c>
      <c r="O26" s="34">
        <v>6.0</v>
      </c>
      <c r="P26" s="35"/>
      <c r="Q26" s="35"/>
      <c r="R26" s="35"/>
      <c r="S26" s="35"/>
      <c r="T26" s="34">
        <v>6.0</v>
      </c>
      <c r="U26" s="10">
        <f t="shared" si="1"/>
        <v>14</v>
      </c>
      <c r="V26" s="10">
        <f t="shared" si="2"/>
        <v>2</v>
      </c>
      <c r="W26" s="10">
        <f t="shared" si="3"/>
        <v>0</v>
      </c>
    </row>
    <row r="27">
      <c r="A27" s="50">
        <v>26.0</v>
      </c>
      <c r="B27" s="59" t="s">
        <v>26</v>
      </c>
      <c r="C27" s="42">
        <v>1.0</v>
      </c>
      <c r="D27" s="43"/>
      <c r="E27" s="43"/>
      <c r="F27" s="42">
        <v>8.0</v>
      </c>
      <c r="G27" s="43"/>
      <c r="H27" s="43"/>
      <c r="I27" s="42">
        <v>1.0</v>
      </c>
      <c r="J27" s="43"/>
      <c r="K27" s="43"/>
      <c r="L27" s="43"/>
      <c r="M27" s="43"/>
      <c r="N27" s="43"/>
      <c r="O27" s="43"/>
      <c r="P27" s="42">
        <v>2.0</v>
      </c>
      <c r="Q27" s="43"/>
      <c r="R27" s="43"/>
      <c r="S27" s="43"/>
      <c r="T27" s="43"/>
      <c r="U27" s="10">
        <f t="shared" si="1"/>
        <v>12</v>
      </c>
      <c r="V27" s="10">
        <f t="shared" si="2"/>
        <v>4</v>
      </c>
      <c r="W27" s="10">
        <f t="shared" si="3"/>
        <v>0</v>
      </c>
    </row>
    <row r="32">
      <c r="C32" s="10">
        <f t="shared" ref="C32:S32" si="4">SUM(C2:C27)</f>
        <v>58</v>
      </c>
      <c r="D32" s="10">
        <f t="shared" si="4"/>
        <v>58</v>
      </c>
      <c r="E32" s="10">
        <f t="shared" si="4"/>
        <v>58</v>
      </c>
      <c r="F32" s="10">
        <f t="shared" si="4"/>
        <v>58</v>
      </c>
      <c r="G32" s="10">
        <f t="shared" si="4"/>
        <v>58</v>
      </c>
      <c r="H32" s="10">
        <f t="shared" si="4"/>
        <v>58</v>
      </c>
      <c r="I32" s="10">
        <f t="shared" si="4"/>
        <v>58</v>
      </c>
      <c r="J32" s="10">
        <f t="shared" si="4"/>
        <v>58</v>
      </c>
      <c r="K32" s="10">
        <f t="shared" si="4"/>
        <v>58</v>
      </c>
      <c r="L32" s="10">
        <f t="shared" si="4"/>
        <v>58</v>
      </c>
      <c r="M32" s="10">
        <f t="shared" si="4"/>
        <v>58</v>
      </c>
      <c r="N32" s="10">
        <f t="shared" si="4"/>
        <v>58</v>
      </c>
      <c r="O32" s="10">
        <f t="shared" si="4"/>
        <v>58</v>
      </c>
      <c r="P32" s="10">
        <f t="shared" si="4"/>
        <v>58</v>
      </c>
      <c r="Q32" s="10">
        <f t="shared" si="4"/>
        <v>58</v>
      </c>
      <c r="R32" s="10">
        <f t="shared" si="4"/>
        <v>58</v>
      </c>
      <c r="S32" s="10">
        <f t="shared" si="4"/>
        <v>58</v>
      </c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0" t="s">
        <v>69</v>
      </c>
      <c r="B1" s="1"/>
      <c r="C1" s="80" t="s">
        <v>58</v>
      </c>
      <c r="D1" s="80" t="s">
        <v>59</v>
      </c>
      <c r="E1" s="80" t="s">
        <v>60</v>
      </c>
      <c r="G1" s="80" t="s">
        <v>70</v>
      </c>
      <c r="H1" s="1"/>
      <c r="I1" s="80" t="s">
        <v>58</v>
      </c>
      <c r="J1" s="80" t="s">
        <v>59</v>
      </c>
      <c r="K1" s="80">
        <v>12.0</v>
      </c>
    </row>
    <row r="2">
      <c r="A2" s="81">
        <v>10.0</v>
      </c>
      <c r="B2" s="82"/>
      <c r="C2" s="1">
        <v>66.0</v>
      </c>
      <c r="D2" s="1">
        <v>11.0</v>
      </c>
      <c r="E2" s="1">
        <v>2.0</v>
      </c>
      <c r="G2" s="83">
        <v>10.0</v>
      </c>
      <c r="H2" s="84"/>
      <c r="I2" s="85">
        <v>74.0</v>
      </c>
      <c r="J2" s="85">
        <v>14.0</v>
      </c>
      <c r="K2" s="85">
        <v>2.0</v>
      </c>
    </row>
    <row r="3">
      <c r="A3" s="86">
        <v>11.0</v>
      </c>
      <c r="B3" s="87" t="s">
        <v>11</v>
      </c>
      <c r="C3" s="1">
        <v>61.0</v>
      </c>
      <c r="D3" s="1">
        <v>12.0</v>
      </c>
      <c r="E3" s="1">
        <v>0.0</v>
      </c>
      <c r="G3" s="86">
        <v>11.0</v>
      </c>
      <c r="H3" s="88" t="s">
        <v>1</v>
      </c>
      <c r="I3" s="89">
        <v>72.0</v>
      </c>
      <c r="J3" s="89">
        <v>10.0</v>
      </c>
      <c r="K3" s="89">
        <v>3.0</v>
      </c>
    </row>
    <row r="4">
      <c r="A4" s="90">
        <v>12.0</v>
      </c>
      <c r="B4" s="91" t="s">
        <v>39</v>
      </c>
      <c r="C4" s="1">
        <v>58.0</v>
      </c>
      <c r="D4" s="1">
        <v>10.0</v>
      </c>
      <c r="E4" s="1">
        <v>1.0</v>
      </c>
      <c r="G4" s="92">
        <v>12.0</v>
      </c>
      <c r="H4" s="87" t="s">
        <v>24</v>
      </c>
      <c r="I4" s="87">
        <v>68.0</v>
      </c>
      <c r="J4" s="87">
        <v>11.0</v>
      </c>
      <c r="K4" s="87">
        <v>1.0</v>
      </c>
    </row>
    <row r="5">
      <c r="A5" s="92">
        <v>13.0</v>
      </c>
      <c r="B5" s="87" t="s">
        <v>5</v>
      </c>
      <c r="C5" s="1">
        <v>58.0</v>
      </c>
      <c r="D5" s="1">
        <v>10.0</v>
      </c>
      <c r="E5" s="1">
        <v>0.0</v>
      </c>
      <c r="G5" s="92">
        <v>13.0</v>
      </c>
      <c r="H5" s="93" t="s">
        <v>43</v>
      </c>
      <c r="I5" s="93">
        <v>65.0</v>
      </c>
      <c r="J5" s="93">
        <v>11.0</v>
      </c>
      <c r="K5" s="93">
        <v>1.0</v>
      </c>
    </row>
    <row r="6">
      <c r="A6" s="86">
        <v>14.0</v>
      </c>
      <c r="B6" s="87" t="s">
        <v>34</v>
      </c>
      <c r="C6" s="1">
        <v>57.0</v>
      </c>
      <c r="D6" s="1">
        <v>13.0</v>
      </c>
      <c r="E6" s="1">
        <v>0.0</v>
      </c>
      <c r="G6" s="86">
        <v>14.0</v>
      </c>
      <c r="H6" s="87" t="s">
        <v>51</v>
      </c>
      <c r="I6" s="87">
        <v>64.0</v>
      </c>
      <c r="J6" s="87">
        <v>8.0</v>
      </c>
      <c r="K6" s="87">
        <v>0.0</v>
      </c>
    </row>
    <row r="7">
      <c r="A7" s="90">
        <v>15.0</v>
      </c>
      <c r="B7" s="93" t="s">
        <v>32</v>
      </c>
      <c r="C7" s="1">
        <v>57.0</v>
      </c>
      <c r="D7" s="1">
        <v>11.0</v>
      </c>
      <c r="E7" s="1">
        <v>1.0</v>
      </c>
      <c r="G7" s="92">
        <v>15.0</v>
      </c>
      <c r="H7" s="87" t="s">
        <v>53</v>
      </c>
      <c r="I7" s="87">
        <v>59.0</v>
      </c>
      <c r="J7" s="87">
        <v>11.0</v>
      </c>
      <c r="K7" s="87">
        <v>0.0</v>
      </c>
    </row>
    <row r="8">
      <c r="A8" s="92">
        <v>16.0</v>
      </c>
      <c r="B8" s="93" t="s">
        <v>12</v>
      </c>
      <c r="C8" s="1">
        <v>56.0</v>
      </c>
      <c r="D8" s="1">
        <v>9.0</v>
      </c>
      <c r="E8" s="1">
        <v>2.0</v>
      </c>
      <c r="G8" s="83">
        <v>16.0</v>
      </c>
      <c r="H8" s="94"/>
      <c r="I8" s="95">
        <v>58.0</v>
      </c>
      <c r="J8" s="95">
        <v>10.0</v>
      </c>
      <c r="K8" s="95">
        <v>0.0</v>
      </c>
    </row>
    <row r="9">
      <c r="A9" s="86">
        <v>17.0</v>
      </c>
      <c r="B9" s="91" t="s">
        <v>23</v>
      </c>
      <c r="C9" s="1">
        <v>50.0</v>
      </c>
      <c r="D9" s="1">
        <v>11.0</v>
      </c>
      <c r="E9" s="1">
        <v>0.0</v>
      </c>
      <c r="G9" s="86">
        <v>17.0</v>
      </c>
      <c r="H9" s="91" t="s">
        <v>31</v>
      </c>
      <c r="I9" s="91">
        <v>57.0</v>
      </c>
      <c r="J9" s="91">
        <v>12.0</v>
      </c>
      <c r="K9" s="91">
        <v>1.0</v>
      </c>
    </row>
    <row r="10">
      <c r="A10" s="90">
        <v>18.0</v>
      </c>
      <c r="B10" s="87" t="s">
        <v>3</v>
      </c>
      <c r="C10" s="1">
        <v>49.0</v>
      </c>
      <c r="D10" s="1">
        <v>8.0</v>
      </c>
      <c r="E10" s="1">
        <v>2.0</v>
      </c>
      <c r="G10" s="92">
        <v>18.0</v>
      </c>
      <c r="H10" s="96" t="s">
        <v>48</v>
      </c>
      <c r="I10" s="96">
        <v>51.0</v>
      </c>
      <c r="J10" s="96">
        <v>13.0</v>
      </c>
      <c r="K10" s="96">
        <v>1.0</v>
      </c>
    </row>
    <row r="11">
      <c r="A11" s="83">
        <v>19.0</v>
      </c>
      <c r="B11" s="94"/>
      <c r="C11" s="1">
        <v>49.0</v>
      </c>
      <c r="D11" s="1">
        <v>8.0</v>
      </c>
      <c r="E11" s="1">
        <v>1.0</v>
      </c>
      <c r="G11" s="92">
        <v>19.0</v>
      </c>
      <c r="H11" s="93" t="s">
        <v>21</v>
      </c>
      <c r="I11" s="93">
        <v>46.0</v>
      </c>
      <c r="J11" s="93">
        <v>8.0</v>
      </c>
      <c r="K11" s="93">
        <v>1.0</v>
      </c>
    </row>
    <row r="12">
      <c r="A12" s="97">
        <v>20.0</v>
      </c>
      <c r="B12" s="91" t="s">
        <v>16</v>
      </c>
      <c r="C12" s="1">
        <v>47.0</v>
      </c>
      <c r="D12" s="1">
        <v>11.0</v>
      </c>
      <c r="E12" s="1">
        <v>0.0</v>
      </c>
      <c r="G12" s="86">
        <v>20.0</v>
      </c>
      <c r="H12" s="93" t="s">
        <v>38</v>
      </c>
      <c r="I12" s="93">
        <v>42.0</v>
      </c>
      <c r="J12" s="93">
        <v>9.0</v>
      </c>
      <c r="K12" s="93">
        <v>1.0</v>
      </c>
    </row>
    <row r="13">
      <c r="A13" s="98">
        <v>21.0</v>
      </c>
      <c r="B13" s="91" t="s">
        <v>15</v>
      </c>
      <c r="C13" s="1">
        <v>47.0</v>
      </c>
      <c r="D13" s="1">
        <v>8.0</v>
      </c>
      <c r="E13" s="1">
        <v>0.0</v>
      </c>
      <c r="G13" s="92">
        <v>21.0</v>
      </c>
      <c r="H13" s="96" t="s">
        <v>40</v>
      </c>
      <c r="I13" s="96">
        <v>42.0</v>
      </c>
      <c r="J13" s="96">
        <v>7.0</v>
      </c>
      <c r="K13" s="96">
        <v>0.0</v>
      </c>
    </row>
    <row r="14">
      <c r="A14" s="99">
        <v>22.0</v>
      </c>
      <c r="B14" s="91" t="s">
        <v>65</v>
      </c>
      <c r="C14" s="1">
        <v>44.0</v>
      </c>
      <c r="D14" s="1">
        <v>9.0</v>
      </c>
      <c r="E14" s="1">
        <v>0.0</v>
      </c>
      <c r="G14" s="92">
        <v>22.0</v>
      </c>
      <c r="H14" s="100" t="s">
        <v>42</v>
      </c>
      <c r="I14" s="100">
        <v>42.0</v>
      </c>
      <c r="J14" s="100">
        <v>7.0</v>
      </c>
      <c r="K14" s="100">
        <v>0.0</v>
      </c>
    </row>
    <row r="15">
      <c r="A15" s="97">
        <v>23.0</v>
      </c>
      <c r="B15" s="96" t="s">
        <v>30</v>
      </c>
      <c r="C15" s="1">
        <v>42.0</v>
      </c>
      <c r="D15" s="1">
        <v>9.0</v>
      </c>
      <c r="E15" s="1">
        <v>0.0</v>
      </c>
      <c r="G15" s="86">
        <v>23.0</v>
      </c>
      <c r="H15" s="87" t="s">
        <v>18</v>
      </c>
      <c r="I15" s="87">
        <v>41.0</v>
      </c>
      <c r="J15" s="87">
        <v>10.0</v>
      </c>
      <c r="K15" s="87">
        <v>0.0</v>
      </c>
    </row>
    <row r="16">
      <c r="A16" s="98">
        <v>24.0</v>
      </c>
      <c r="B16" s="91" t="s">
        <v>19</v>
      </c>
      <c r="C16" s="1">
        <v>37.0</v>
      </c>
      <c r="D16" s="1">
        <v>9.0</v>
      </c>
      <c r="E16" s="1">
        <v>1.0</v>
      </c>
      <c r="G16" s="101">
        <v>26.0</v>
      </c>
      <c r="H16" s="102" t="s">
        <v>68</v>
      </c>
      <c r="I16" s="88">
        <v>37.0</v>
      </c>
      <c r="J16" s="88">
        <v>8.0</v>
      </c>
      <c r="K16" s="88">
        <v>0.0</v>
      </c>
    </row>
    <row r="17">
      <c r="A17" s="99">
        <v>25.0</v>
      </c>
      <c r="B17" s="103" t="s">
        <v>66</v>
      </c>
      <c r="C17" s="1">
        <v>34.0</v>
      </c>
      <c r="D17" s="1">
        <v>7.0</v>
      </c>
      <c r="E17" s="1">
        <v>1.0</v>
      </c>
      <c r="G17" s="92">
        <v>24.0</v>
      </c>
      <c r="H17" s="96" t="s">
        <v>13</v>
      </c>
      <c r="I17" s="96">
        <v>21.0</v>
      </c>
      <c r="J17" s="96">
        <v>5.0</v>
      </c>
      <c r="K17" s="96">
        <v>0.0</v>
      </c>
    </row>
    <row r="18">
      <c r="A18" s="97">
        <v>26.0</v>
      </c>
      <c r="B18" s="87" t="s">
        <v>17</v>
      </c>
      <c r="C18" s="1">
        <v>26.0</v>
      </c>
      <c r="D18" s="1">
        <v>5.0</v>
      </c>
      <c r="E18" s="1">
        <v>1.0</v>
      </c>
      <c r="G18" s="86">
        <v>25.0</v>
      </c>
      <c r="H18" s="91" t="s">
        <v>26</v>
      </c>
      <c r="I18" s="91">
        <v>19.0</v>
      </c>
      <c r="J18" s="91">
        <v>6.0</v>
      </c>
      <c r="K18" s="91">
        <v>0.0</v>
      </c>
    </row>
    <row r="20">
      <c r="A20" s="1"/>
      <c r="B20" s="1"/>
      <c r="C20" s="80" t="s">
        <v>58</v>
      </c>
      <c r="D20" s="80" t="s">
        <v>59</v>
      </c>
      <c r="E20" s="80" t="s">
        <v>60</v>
      </c>
      <c r="G20" s="1"/>
      <c r="H20" s="1"/>
      <c r="I20" s="80" t="s">
        <v>58</v>
      </c>
      <c r="J20" s="80" t="s">
        <v>59</v>
      </c>
      <c r="K20" s="80" t="s">
        <v>60</v>
      </c>
    </row>
    <row r="21">
      <c r="A21" s="81">
        <v>2.0</v>
      </c>
      <c r="B21" s="94"/>
      <c r="C21" s="1">
        <v>59.0</v>
      </c>
      <c r="D21" s="1">
        <v>8.0</v>
      </c>
      <c r="E21" s="1">
        <v>2.0</v>
      </c>
      <c r="G21" s="104">
        <v>2.0</v>
      </c>
      <c r="H21" s="94"/>
      <c r="I21" s="95">
        <v>71.0</v>
      </c>
      <c r="J21" s="95">
        <v>7.0</v>
      </c>
      <c r="K21" s="105">
        <v>2.0</v>
      </c>
    </row>
    <row r="22">
      <c r="A22" s="80">
        <v>6.0</v>
      </c>
      <c r="B22" s="87" t="s">
        <v>17</v>
      </c>
      <c r="C22" s="1">
        <v>49.0</v>
      </c>
      <c r="D22" s="1">
        <v>7.0</v>
      </c>
      <c r="E22" s="1">
        <v>1.0</v>
      </c>
      <c r="G22" s="106">
        <v>4.0</v>
      </c>
      <c r="H22" s="100" t="s">
        <v>42</v>
      </c>
      <c r="I22" s="100">
        <v>64.0</v>
      </c>
      <c r="J22" s="100">
        <v>7.0</v>
      </c>
      <c r="K22" s="107">
        <v>2.0</v>
      </c>
    </row>
    <row r="23">
      <c r="A23" s="80">
        <v>7.0</v>
      </c>
      <c r="B23" s="91" t="s">
        <v>19</v>
      </c>
      <c r="C23" s="1">
        <v>49.0</v>
      </c>
      <c r="D23" s="1">
        <v>7.0</v>
      </c>
      <c r="E23" s="1">
        <v>1.0</v>
      </c>
      <c r="G23" s="86">
        <v>8.0</v>
      </c>
      <c r="H23" s="91" t="s">
        <v>31</v>
      </c>
      <c r="I23" s="91">
        <v>58.0</v>
      </c>
      <c r="J23" s="91">
        <v>10.0</v>
      </c>
      <c r="K23" s="108">
        <v>0.0</v>
      </c>
    </row>
    <row r="24">
      <c r="A24" s="80">
        <v>8.0</v>
      </c>
      <c r="B24" s="103" t="s">
        <v>66</v>
      </c>
      <c r="C24" s="1">
        <v>46.0</v>
      </c>
      <c r="D24" s="1">
        <v>4.0</v>
      </c>
      <c r="E24" s="1">
        <v>1.0</v>
      </c>
      <c r="G24" s="106">
        <v>9.0</v>
      </c>
      <c r="H24" s="91" t="s">
        <v>1</v>
      </c>
      <c r="I24" s="91">
        <v>56.0</v>
      </c>
      <c r="J24" s="91">
        <v>8.0</v>
      </c>
      <c r="K24" s="109">
        <v>1.0</v>
      </c>
    </row>
    <row r="25">
      <c r="A25" s="80">
        <v>9.0</v>
      </c>
      <c r="B25" s="87" t="s">
        <v>11</v>
      </c>
      <c r="C25" s="1">
        <v>45.0</v>
      </c>
      <c r="D25" s="1">
        <v>6.0</v>
      </c>
      <c r="E25" s="1">
        <v>0.0</v>
      </c>
      <c r="G25" s="106">
        <v>10.0</v>
      </c>
      <c r="H25" s="93" t="s">
        <v>21</v>
      </c>
      <c r="I25" s="93">
        <v>50.0</v>
      </c>
      <c r="J25" s="93">
        <v>6.0</v>
      </c>
      <c r="K25" s="105">
        <v>1.0</v>
      </c>
    </row>
    <row r="26">
      <c r="A26" s="80">
        <v>11.0</v>
      </c>
      <c r="B26" s="91" t="s">
        <v>16</v>
      </c>
      <c r="C26" s="1">
        <v>36.0</v>
      </c>
      <c r="D26" s="1">
        <v>4.0</v>
      </c>
      <c r="E26" s="1">
        <v>0.0</v>
      </c>
      <c r="G26" s="106">
        <v>12.0</v>
      </c>
      <c r="H26" s="93" t="s">
        <v>43</v>
      </c>
      <c r="I26" s="93">
        <v>41.0</v>
      </c>
      <c r="J26" s="93">
        <v>6.0</v>
      </c>
      <c r="K26" s="107">
        <v>1.0</v>
      </c>
    </row>
    <row r="27">
      <c r="A27" s="80">
        <v>12.0</v>
      </c>
      <c r="B27" s="91" t="s">
        <v>39</v>
      </c>
      <c r="C27" s="1">
        <v>35.0</v>
      </c>
      <c r="D27" s="1">
        <v>5.0</v>
      </c>
      <c r="E27" s="1">
        <v>2.0</v>
      </c>
      <c r="G27" s="106">
        <v>13.0</v>
      </c>
      <c r="H27" s="87" t="s">
        <v>51</v>
      </c>
      <c r="I27" s="87">
        <v>34.0</v>
      </c>
      <c r="J27" s="87">
        <v>7.0</v>
      </c>
      <c r="K27" s="108">
        <v>0.0</v>
      </c>
    </row>
    <row r="28">
      <c r="A28" s="80">
        <v>13.0</v>
      </c>
      <c r="B28" s="93" t="s">
        <v>12</v>
      </c>
      <c r="C28" s="1">
        <v>35.0</v>
      </c>
      <c r="D28" s="1">
        <v>6.0</v>
      </c>
      <c r="E28" s="1">
        <v>0.0</v>
      </c>
      <c r="G28" s="86">
        <v>14.0</v>
      </c>
      <c r="H28" s="96" t="s">
        <v>48</v>
      </c>
      <c r="I28" s="96">
        <v>33.0</v>
      </c>
      <c r="J28" s="96">
        <v>7.0</v>
      </c>
      <c r="K28" s="107">
        <v>0.0</v>
      </c>
    </row>
    <row r="29">
      <c r="A29" s="80">
        <v>14.0</v>
      </c>
      <c r="B29" s="87" t="s">
        <v>3</v>
      </c>
      <c r="C29" s="1">
        <v>30.0</v>
      </c>
      <c r="D29" s="1">
        <v>4.0</v>
      </c>
      <c r="E29" s="1">
        <v>0.0</v>
      </c>
      <c r="G29" s="106">
        <v>15.0</v>
      </c>
      <c r="H29" s="87" t="s">
        <v>24</v>
      </c>
      <c r="I29" s="87">
        <v>33.0</v>
      </c>
      <c r="J29" s="87">
        <v>6.0</v>
      </c>
      <c r="K29" s="108">
        <v>1.0</v>
      </c>
    </row>
    <row r="30">
      <c r="A30" s="80">
        <v>15.0</v>
      </c>
      <c r="B30" s="87" t="s">
        <v>34</v>
      </c>
      <c r="C30" s="1">
        <v>29.0</v>
      </c>
      <c r="D30" s="1">
        <v>5.0</v>
      </c>
      <c r="E30" s="1">
        <v>0.0</v>
      </c>
      <c r="G30" s="106">
        <v>16.0</v>
      </c>
      <c r="H30" s="96" t="s">
        <v>40</v>
      </c>
      <c r="I30" s="96">
        <v>32.0</v>
      </c>
      <c r="J30" s="96">
        <v>4.0</v>
      </c>
      <c r="K30" s="107">
        <v>0.0</v>
      </c>
    </row>
    <row r="31">
      <c r="A31" s="80">
        <v>18.0</v>
      </c>
      <c r="B31" s="96" t="s">
        <v>30</v>
      </c>
      <c r="C31" s="1">
        <v>20.0</v>
      </c>
      <c r="D31" s="1">
        <v>5.0</v>
      </c>
      <c r="E31" s="1">
        <v>0.0</v>
      </c>
      <c r="G31" s="106">
        <v>21.0</v>
      </c>
      <c r="H31" s="87" t="s">
        <v>18</v>
      </c>
      <c r="I31" s="87">
        <v>22.0</v>
      </c>
      <c r="J31" s="87">
        <v>6.0</v>
      </c>
      <c r="K31" s="108">
        <v>0.0</v>
      </c>
    </row>
    <row r="32">
      <c r="A32" s="80">
        <v>20.0</v>
      </c>
      <c r="B32" s="91" t="s">
        <v>15</v>
      </c>
      <c r="C32" s="1">
        <v>18.0</v>
      </c>
      <c r="D32" s="1">
        <v>5.0</v>
      </c>
      <c r="E32" s="1">
        <v>0.0</v>
      </c>
      <c r="G32" s="101">
        <v>26.0</v>
      </c>
      <c r="H32" s="102" t="s">
        <v>68</v>
      </c>
      <c r="I32" s="91">
        <v>21.0</v>
      </c>
      <c r="J32" s="91">
        <v>7.0</v>
      </c>
      <c r="K32" s="109">
        <v>0.0</v>
      </c>
    </row>
    <row r="33">
      <c r="A33" s="80">
        <v>22.0</v>
      </c>
      <c r="B33" s="87" t="s">
        <v>5</v>
      </c>
      <c r="C33" s="1">
        <v>14.0</v>
      </c>
      <c r="D33" s="1">
        <v>3.0</v>
      </c>
      <c r="E33" s="1">
        <v>0.0</v>
      </c>
      <c r="G33" s="86">
        <v>22.0</v>
      </c>
      <c r="H33" s="93" t="s">
        <v>38</v>
      </c>
      <c r="I33" s="93">
        <v>20.0</v>
      </c>
      <c r="J33" s="93">
        <v>4.0</v>
      </c>
      <c r="K33" s="105">
        <v>0.0</v>
      </c>
    </row>
    <row r="34">
      <c r="A34" s="80">
        <v>23.0</v>
      </c>
      <c r="B34" s="93" t="s">
        <v>32</v>
      </c>
      <c r="C34" s="1">
        <v>13.0</v>
      </c>
      <c r="D34" s="1">
        <v>4.0</v>
      </c>
      <c r="E34" s="1">
        <v>0.0</v>
      </c>
      <c r="G34" s="106">
        <v>23.0</v>
      </c>
      <c r="H34" s="87" t="s">
        <v>53</v>
      </c>
      <c r="I34" s="87">
        <v>14.0</v>
      </c>
      <c r="J34" s="87">
        <v>3.0</v>
      </c>
      <c r="K34" s="109">
        <v>0.0</v>
      </c>
    </row>
    <row r="35">
      <c r="A35" s="80">
        <v>25.0</v>
      </c>
      <c r="B35" s="91" t="s">
        <v>65</v>
      </c>
      <c r="C35" s="1">
        <v>11.0</v>
      </c>
      <c r="D35" s="1">
        <v>3.0</v>
      </c>
      <c r="E35" s="1">
        <v>0.0</v>
      </c>
      <c r="G35" s="106">
        <v>24.0</v>
      </c>
      <c r="H35" s="96" t="s">
        <v>13</v>
      </c>
      <c r="I35" s="96">
        <v>14.0</v>
      </c>
      <c r="J35" s="96">
        <v>2.0</v>
      </c>
      <c r="K35" s="105">
        <v>0.0</v>
      </c>
    </row>
    <row r="36">
      <c r="A36" s="80">
        <v>26.0</v>
      </c>
      <c r="B36" s="91" t="s">
        <v>23</v>
      </c>
      <c r="C36" s="1">
        <v>8.0</v>
      </c>
      <c r="D36" s="1">
        <v>1.0</v>
      </c>
      <c r="E36" s="1">
        <v>0.0</v>
      </c>
      <c r="G36" s="86">
        <v>25.0</v>
      </c>
      <c r="H36" s="91" t="s">
        <v>26</v>
      </c>
      <c r="I36" s="91">
        <v>12.0</v>
      </c>
      <c r="J36" s="91">
        <v>4.0</v>
      </c>
      <c r="K36" s="109">
        <v>0.0</v>
      </c>
    </row>
  </sheetData>
  <drawing r:id="rId1"/>
  <tableParts count="4">
    <tablePart r:id="rId6"/>
    <tablePart r:id="rId7"/>
    <tablePart r:id="rId8"/>
    <tablePart r:id="rId9"/>
  </tableParts>
</worksheet>
</file>